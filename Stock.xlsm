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5BEAB6B6-D6E0-4BF5-B23E-B71F095126FA}" xr6:coauthVersionLast="45" xr6:coauthVersionMax="45" xr10:uidLastSave="{00000000-0000-0000-0000-000000000000}"/>
  <bookViews>
    <workbookView xWindow="-120" yWindow="-120" windowWidth="29040" windowHeight="15840" activeTab="1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1" sheetId="16" state="hidden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8" hidden="1">ProductTemplate!$A$1:$F$2</definedName>
    <definedName name="_xlnm._FilterDatabase" localSheetId="7" hidden="1">USB_Tool_v1!$A$1:$F$26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N2" i="19" l="1"/>
  <c r="K2" i="19" l="1"/>
  <c r="AF2" i="19" l="1"/>
  <c r="AD2" i="19"/>
  <c r="U2" i="19" l="1"/>
  <c r="AA2" i="19" l="1"/>
  <c r="L3" i="15" l="1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C19" i="20"/>
  <c r="C11" i="20"/>
  <c r="C3" i="20"/>
  <c r="C26" i="3"/>
  <c r="C18" i="3"/>
  <c r="C10" i="3"/>
  <c r="C25" i="16"/>
  <c r="C17" i="16"/>
  <c r="F2" i="16"/>
  <c r="G2" i="16" s="1"/>
  <c r="C29" i="20"/>
  <c r="C27" i="20"/>
  <c r="C26" i="20"/>
  <c r="C18" i="20"/>
  <c r="C10" i="20"/>
  <c r="C33" i="3"/>
  <c r="C25" i="3"/>
  <c r="C17" i="3"/>
  <c r="C9" i="3"/>
  <c r="C24" i="16"/>
  <c r="C16" i="16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J2" i="16" l="1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E33" i="21" l="1"/>
  <c r="B12" i="21" l="1"/>
  <c r="F12" i="21"/>
  <c r="G12" i="21" s="1"/>
  <c r="I12" i="21"/>
  <c r="J12" i="21" l="1"/>
  <c r="B15" i="21" l="1"/>
  <c r="B14" i="21"/>
  <c r="F14" i="21"/>
  <c r="G14" i="21" s="1"/>
  <c r="I14" i="21"/>
  <c r="J14" i="21" l="1"/>
  <c r="B5" i="21" l="1"/>
  <c r="F5" i="21"/>
  <c r="G5" i="21" s="1"/>
  <c r="I5" i="21"/>
  <c r="H5" i="21" l="1"/>
  <c r="J5" i="21"/>
  <c r="E31" i="21" l="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I2" i="19"/>
  <c r="J2" i="19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14" i="21" l="1"/>
  <c r="H19" i="16"/>
  <c r="H16" i="16"/>
  <c r="H7" i="16"/>
  <c r="H6" i="16"/>
  <c r="H18" i="16"/>
  <c r="H15" i="16"/>
  <c r="H9" i="16"/>
  <c r="H3" i="16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12" i="21"/>
  <c r="H27" i="3"/>
  <c r="H16" i="3"/>
  <c r="H15" i="21"/>
  <c r="H26" i="16"/>
  <c r="H10" i="21"/>
  <c r="H25" i="16"/>
  <c r="H12" i="16"/>
  <c r="H26" i="21"/>
  <c r="H24" i="16"/>
  <c r="H10" i="16"/>
  <c r="H27" i="21"/>
  <c r="H11" i="16"/>
  <c r="H23" i="16"/>
  <c r="H8" i="21"/>
  <c r="H14" i="16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5" i="21" l="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sharedStrings.xml><?xml version="1.0" encoding="utf-8"?>
<sst xmlns="http://schemas.openxmlformats.org/spreadsheetml/2006/main" count="478" uniqueCount="243">
  <si>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</si>
  <si>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</si>
  <si>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</si>
  <si>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</si>
  <si>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</si>
  <si>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</si>
  <si>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</si>
  <si>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</si>
  <si>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</si>
  <si>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</si>
  <si>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</si>
  <si>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</si>
  <si>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</si>
  <si>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</si>
  <si>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</si>
  <si>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</si>
  <si>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</si>
  <si>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</si>
  <si>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</si>
  <si>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</si>
  <si>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</si>
  <si>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</si>
  <si>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</si>
  <si>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</si>
  <si>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</si>
  <si>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</si>
  <si>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</si>
  <si>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</si>
  <si>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</si>
  <si>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</si>
  <si>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</si>
  <si>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</si>
  <si>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</si>
  <si>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</si>
  <si>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</si>
  <si>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</si>
  <si>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</si>
  <si>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</si>
  <si>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</si>
  <si>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</si>
  <si>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</si>
  <si>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</si>
  <si>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</si>
  <si>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</si>
  <si>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</si>
  <si>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</si>
  <si>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</si>
  <si>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</si>
  <si>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</si>
  <si>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</si>
  <si>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</si>
  <si>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</si>
  <si>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</si>
  <si>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</si>
  <si>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</si>
  <si>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</si>
  <si>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</si>
  <si>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</si>
  <si>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</si>
  <si>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</si>
  <si>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</si>
  <si>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</si>
  <si>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</si>
  <si>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</si>
  <si>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</si>
  <si>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</si>
  <si>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</si>
  <si>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</si>
  <si>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</si>
  <si>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</si>
  <si>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</si>
  <si>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</si>
  <si>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</si>
  <si>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</si>
  <si>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</si>
  <si>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</si>
  <si>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</si>
  <si>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</si>
  <si>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</si>
  <si>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</si>
  <si>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</si>
  <si>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</si>
  <si>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</si>
  <si>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</si>
  <si>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</si>
  <si>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</si>
  <si>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</si>
  <si>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</si>
  <si>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</si>
  <si>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</si>
  <si>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</si>
  <si>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</si>
  <si>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</si>
  <si>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</si>
  <si>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</si>
  <si>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</si>
  <si>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</si>
  <si>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</si>
  <si>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</si>
  <si>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</si>
  <si>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</si>
  <si>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</si>
  <si>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</si>
  <si>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E-PCB-000</t>
  </si>
  <si>
    <t>E-PCB-001</t>
  </si>
  <si>
    <t>E-PCB-002</t>
  </si>
  <si>
    <t>E-PCB-003</t>
  </si>
  <si>
    <t>E-PCB-004</t>
  </si>
  <si>
    <t>Min in stock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</si>
  <si>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</si>
  <si>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</si>
  <si>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</si>
  <si>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</si>
  <si>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</si>
  <si>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</si>
  <si>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</si>
  <si>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</si>
  <si>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</si>
  <si>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</si>
  <si>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</si>
  <si>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</si>
  <si>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</si>
  <si>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</si>
  <si>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</si>
  <si>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</si>
  <si>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</si>
  <si>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</si>
  <si>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</si>
  <si>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</si>
  <si>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</si>
  <si>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</si>
  <si>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</si>
  <si>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</si>
  <si>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</si>
  <si>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</si>
  <si>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</si>
  <si>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</si>
  <si>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</si>
  <si>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</si>
  <si>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</si>
  <si>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</si>
  <si>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</si>
  <si>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</si>
  <si>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</si>
  <si>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</si>
  <si>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</si>
  <si>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</si>
  <si>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</si>
  <si>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</si>
  <si>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</si>
  <si>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</si>
  <si>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</si>
  <si>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</si>
  <si>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</si>
  <si>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</si>
  <si>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</si>
  <si>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</si>
  <si>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</si>
  <si>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</si>
  <si>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</si>
  <si>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</si>
  <si>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</si>
  <si>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</si>
  <si>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</si>
  <si>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</si>
  <si>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</si>
  <si>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</si>
  <si>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</si>
  <si>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</si>
  <si>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</si>
  <si>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</si>
  <si>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</si>
  <si>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</si>
  <si>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</si>
  <si>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</si>
  <si>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</si>
  <si>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</si>
  <si>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</si>
  <si>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</si>
  <si>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</si>
  <si>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</si>
  <si>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</si>
  <si>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</si>
  <si>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</si>
  <si>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</si>
  <si>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</si>
  <si>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</si>
  <si>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</si>
  <si>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</si>
  <si>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</si>
  <si>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</si>
  <si>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</si>
  <si>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</si>
  <si>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</si>
  <si>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</si>
  <si>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</si>
  <si>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</si>
  <si>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</si>
  <si>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</si>
  <si>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</si>
  <si>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</si>
  <si>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</si>
  <si>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</si>
  <si>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</si>
  <si>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</si>
  <si>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</si>
  <si>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</si>
  <si>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</si>
  <si>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</si>
  <si>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</si>
  <si>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Retailers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</si>
  <si>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</si>
  <si>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</si>
  <si>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</si>
  <si>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</si>
  <si>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</si>
  <si>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</si>
  <si>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</si>
  <si>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</si>
  <si>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</si>
  <si>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</si>
  <si>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50M040070D008</t>
  </si>
  <si>
    <t>R3,R8,R9,R12</t>
  </si>
  <si>
    <t>R4,R5</t>
  </si>
  <si>
    <t>R7</t>
  </si>
  <si>
    <t>R10</t>
  </si>
  <si>
    <t>W3..5,X2</t>
  </si>
  <si>
    <t>C1,C7,C9,C10</t>
  </si>
  <si>
    <t>C3..6,C8,C11,C12</t>
  </si>
  <si>
    <t>D200-XXXX</t>
  </si>
  <si>
    <t>D500-XXXX</t>
  </si>
  <si>
    <t>D501-XXXX</t>
  </si>
  <si>
    <t>D0XX-XXXX</t>
  </si>
  <si>
    <t>D1XX-XXXX</t>
  </si>
  <si>
    <t>E-PCB-000-005</t>
  </si>
  <si>
    <t>ESR10EZPJ332</t>
  </si>
  <si>
    <t>Dgikey Table 2</t>
  </si>
  <si>
    <t>Obsolete</t>
  </si>
  <si>
    <t>Obsolete_Hidden</t>
  </si>
  <si>
    <t>Digikey Link</t>
  </si>
  <si>
    <t>Locked</t>
  </si>
  <si>
    <t>ProductTemplate</t>
  </si>
  <si>
    <t>Product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</si>
</sst>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0" xfId="0" applyFont="1" applyFill="1" applyAlignment="1">
      <alignment horizontal="left"/>
    </xf>
    <xf numFmtId="2" fontId="6" fillId="0" borderId="4" xfId="2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/>
    </xf>
    <xf numFmtId="49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Border="1" applyAlignment="1">
      <alignment vertical="center" wrapText="1"/>
    </xf>
    <xf numFmtId="2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2" fontId="3" fillId="0" borderId="0" xfId="0" applyNumberFormat="1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243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242"/>
      <tableStyleElement type="headerRow" dxfId="241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240">
  <autoFilter ref="A1:F2" xr:uid="{BDAE12D6-129D-4B55-B01B-D1493E590308}"/>
  <tableColumns count="6">
    <tableColumn id="1" xr3:uid="{F20AB9A4-F1CA-4493-AFCA-1ECFD6C72926}" name="Date" dataDxfId="239"/>
    <tableColumn id="2" xr3:uid="{9E5C5770-C960-45BB-8115-75DB62A3B16C}" name="Article Number" dataDxfId="238"/>
    <tableColumn id="5" xr3:uid="{16BFD56B-B56A-4848-9201-68C2F28CFA64}" name="Modification" dataDxfId="237"/>
    <tableColumn id="3" xr3:uid="{10BA92E7-A8AC-46B9-9939-48EDBF630513}" name="Stock Before" dataDxfId="236"/>
    <tableColumn id="4" xr3:uid="{89A58CF5-EDCB-4EF1-963E-E9EB1A0CCFEF}" name="Stock After" dataDxfId="235"/>
    <tableColumn id="6" xr3:uid="{FF179CF1-10A5-4445-94E5-D3770F8EB2DA}" name="INFO" dataDxfId="23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33" dataDxfId="231" headerRowBorderDxfId="232" tableBorderDxfId="230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29" totalsRowDxfId="228"/>
    <tableColumn id="1" xr3:uid="{B10D53AF-03D1-4287-B98C-B2EBD99019D4}" name="Ret. Art. Number" dataDxfId="227" totalsRowDxfId="226"/>
    <tableColumn id="3" xr3:uid="{4C487402-2AAB-4AF3-BE67-7394C36C842C}" name="Manufacturer" dataDxfId="225" totalsRowDxfId="224"/>
    <tableColumn id="4" xr3:uid="{8EC0DC8E-76AD-4B9F-83B7-1A0DD14BB27F}" name="Retailer" dataDxfId="223" totalsRowDxfId="222"/>
    <tableColumn id="5" xr3:uid="{F034F88F-58E3-461F-AA98-A329A317450C}" name="Place" dataDxfId="221" totalsRowDxfId="220"/>
    <tableColumn id="6" xr3:uid="{270626A5-5AC9-4B4B-BFA1-CB61FB278FF7}" name="Description" dataDxfId="219" totalsRowDxfId="218"/>
    <tableColumn id="7" xr3:uid="{6AED47F2-55E6-446F-831B-A118A7B0B1ED}" name="In stock" dataDxfId="217" totalsRowDxfId="216"/>
    <tableColumn id="8" xr3:uid="{AC92F839-E54E-493C-ABE5-5E0757E61859}" name="Min Stock" dataDxfId="215" totalsRowDxfId="214"/>
    <tableColumn id="11" xr3:uid="{FA19872E-A366-497E-9D69-828A97ECF042}" name="Unit price" dataDxfId="213" totalsRowDxfId="212"/>
    <tableColumn id="13" xr3:uid="{EA825846-8448-46C3-B6A4-847B2F364E4E}" name="Quantity" dataDxfId="211" totalsRowDxfId="210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09" totalsRowDxfId="208">
      <calculatedColumnFormula>Table8[[#This Row],[Quantity]]*Table8[[#This Row],[Unit price]]</calculatedColumnFormula>
    </tableColumn>
    <tableColumn id="9" xr3:uid="{CF148814-A309-4554-8503-283AD3C9BC12}" name="Bulk Add" dataDxfId="207" totalsRowDxfId="206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F2" totalsRowShown="0" headerRowDxfId="205" dataDxfId="204" tableBorderDxfId="203">
  <autoFilter ref="A1:AF2" xr:uid="{D4CB05D4-73DA-43F1-913F-071595400883}"/>
  <tableColumns count="32">
    <tableColumn id="1" xr3:uid="{435165AF-465B-418C-8DDE-9CFA2D278BBE}" name="Art. Number" dataDxfId="202" totalsRowDxfId="201"/>
    <tableColumn id="2" xr3:uid="{FBC6B9C9-57F8-45DA-AF22-C249E2B185F4}" name="Manufacturer" dataDxfId="200" totalsRowDxfId="199"/>
    <tableColumn id="3" xr3:uid="{288AF9C9-A6A1-4913-A84A-1B41F0951CD7}" name="Place" dataDxfId="198" totalsRowDxfId="197"/>
    <tableColumn id="4" xr3:uid="{991CB349-C1A2-4024-AD86-41FE070F01AA}" name="Description" dataDxfId="196" totalsRowDxfId="195"/>
    <tableColumn id="28" xr3:uid="{2D19DEDD-0807-4720-910B-711676B70DD0}" name="Category" dataDxfId="194"/>
    <tableColumn id="5" xr3:uid="{AF531B20-C2C7-43E4-88F6-C002EAFA6EF0}" name="In stock" dataDxfId="193" totalsRowDxfId="192"/>
    <tableColumn id="6" xr3:uid="{4AE22FEC-1D74-4166-880B-DE3C3B0F48C3}" name="Min in stock" dataDxfId="191" totalsRowDxfId="190"/>
    <tableColumn id="7" xr3:uid="{DDF25EC9-10A6-4A51-A3FF-5F173DC0429C}" name="Auto Order" dataDxfId="189" totalsRowDxfId="188"/>
    <tableColumn id="8" xr3:uid="{8FB77B6F-1796-445F-A628-6683E80A406B}" name="Default Art. Number" dataDxfId="187" totalsRowDxfId="186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85" totalsRowDxfId="184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83" totalsRowDxfId="182">
      <calculatedColumnFormula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</calculatedColumnFormula>
    </tableColumn>
    <tableColumn id="10" xr3:uid="{7E60C342-9987-408E-8654-849687FC9CF5}" name="Digikey" dataDxfId="181" totalsRowDxfId="180"/>
    <tableColumn id="11" xr3:uid="{904ACEAE-3EBB-4B5A-B40F-F27BEC67197D}" name="Unit price - Digikey" dataDxfId="179" totalsRowDxfId="178"/>
    <tableColumn id="32" xr3:uid="{45FA2355-0EA6-47F8-9FAD-B42EBD381C73}" name="Digikey Link" dataDxfId="177">
      <calculatedColumnFormula>IF(Table1[[#This Row],[Digikey]]="","", HYPERLINK(_xlfn.CONCAT("https://www.digikey.ch/products/en?keywords=",Table1[[#This Row],[Digikey]]),_xlfn.CONCAT("Link (",Table1[[#This Row],[Digikey]],")")))</calculatedColumnFormula>
    </tableColumn>
    <tableColumn id="12" xr3:uid="{1C8E6FC8-F976-4331-BE85-AE9F5CCE5385}" name="Farnell" dataDxfId="176" totalsRowDxfId="175"/>
    <tableColumn id="13" xr3:uid="{9CEB0B0D-E776-4EE1-BA17-F20F36573DF1}" name="Unit price - Farnell" dataDxfId="174" totalsRowDxfId="173"/>
    <tableColumn id="14" xr3:uid="{4835AE8C-6AA4-4E3D-AA3C-47D081785B10}" name="Distrelec" dataDxfId="172" totalsRowDxfId="171"/>
    <tableColumn id="15" xr3:uid="{CFC19F72-EB6A-4DA4-8140-6E03AC8C87E2}" name="Unit price - Distrelec" dataDxfId="170" totalsRowDxfId="169"/>
    <tableColumn id="16" xr3:uid="{440F2FEC-A527-4DB9-8F02-E02C455DD168}" name="Conrad" dataDxfId="168" totalsRowDxfId="167"/>
    <tableColumn id="17" xr3:uid="{C15F9ED7-FCDD-4ED8-8193-766AD4AACE12}" name="Unit price - Conrad" dataDxfId="166" totalsRowDxfId="165"/>
    <tableColumn id="18" xr3:uid="{E8BE4F49-80E3-4D58-8712-2588048DD5B2}" name="Mouser" dataDxfId="164" totalsRowDxfId="163"/>
    <tableColumn id="19" xr3:uid="{71B82CF1-AA7C-485A-B22F-DFCA002E3E0B}" name="Unit price - Mouser" dataDxfId="162" totalsRowDxfId="161"/>
    <tableColumn id="20" xr3:uid="{B372D927-D0BD-4305-A32A-0C014ACEEBAB}" name="Aliexpress" dataDxfId="160" totalsRowDxfId="159"/>
    <tableColumn id="21" xr3:uid="{56A9B167-940C-4D6B-8B5D-F91623F90BD6}" name="Unit price - Aliexpress" dataDxfId="158" totalsRowDxfId="157"/>
    <tableColumn id="22" xr3:uid="{2E67C835-F42C-4886-A3E6-A86A66CF03DE}" name="Banggood" dataDxfId="156" totalsRowDxfId="155"/>
    <tableColumn id="23" xr3:uid="{96EE1B48-7059-4798-A1ED-B830DB9D7D70}" name="Unit price - Banggood" dataDxfId="154" totalsRowDxfId="153"/>
    <tableColumn id="29" xr3:uid="{D6F9B11D-16CF-4797-AFD2-F208CE8FD675}" name="Other - Name" dataDxfId="152" totalsRowDxfId="151">
      <calculatedColumnFormula>IF(Table1[[#This Row],[Other]]&lt;&gt;"","Other","")</calculatedColumnFormula>
    </tableColumn>
    <tableColumn id="24" xr3:uid="{DFC2A0A6-4951-479C-8775-526D9FDB26B4}" name="Other" dataDxfId="150"/>
    <tableColumn id="25" xr3:uid="{09619815-DA2C-43CD-A998-2BAAC30ACE14}" name="Unit price - Other" dataDxfId="149" totalsRowDxfId="148"/>
    <tableColumn id="26" xr3:uid="{CBAAFE5B-29D9-4E86-8241-3FA6E46052BB}" name="In next order" dataDxfId="147" totalsRowDxfId="146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45"/>
    <tableColumn id="31" xr3:uid="{B4CAC373-EB11-41F7-9729-45AFB304C070}" name="Obsolete_Hidden" dataDxfId="144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43" dataDxfId="141" headerRowBorderDxfId="142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40" totalsRowDxfId="139"/>
    <tableColumn id="5" xr3:uid="{E0A4C7BE-9780-40B2-9139-D4958FD92F57}" name="Description" dataDxfId="138" totalsRowDxfId="13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36" totalsRowDxfId="13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34" totalsRowDxfId="133"/>
    <tableColumn id="8" xr3:uid="{DE9DE279-0ECD-46C6-B40F-146EE0CF2811}" name="Quantity" dataDxfId="132" totalsRowDxfId="131"/>
    <tableColumn id="6" xr3:uid="{9281657B-B3CE-4A4B-90BB-A2508C24B80E}" name="In stock" dataDxfId="130" totalsRowDxfId="12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28" totalsRowDxfId="12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26" totalsRowDxfId="12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24" totalsRowDxfId="123">
      <calculatedColumnFormula>Table14113[[#This Row],[Quantity]]*$M$1</calculatedColumnFormula>
    </tableColumn>
    <tableColumn id="4" xr3:uid="{21625822-F558-4C24-A1DF-CA1415AF72CC}" name="Total available" dataDxfId="122" totalsRowDxfId="121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20" dataDxfId="118" headerRowBorderDxfId="119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17" totalsRowDxfId="116"/>
    <tableColumn id="5" xr3:uid="{0807D2E3-C08E-4A05-95EC-685278834536}" name="Description" dataDxfId="115" totalsRowDxfId="114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13" totalsRowDxfId="112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11" totalsRowDxfId="110"/>
    <tableColumn id="8" xr3:uid="{27D63D9B-1923-4857-A374-5FF3D8D6B64C}" name="Quantity" dataDxfId="109" totalsRowDxfId="108"/>
    <tableColumn id="6" xr3:uid="{39724770-BCF0-4F8C-A311-212B97612672}" name="In stock" dataDxfId="107" totalsRowDxfId="10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05" totalsRowDxfId="10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3" totalsRowDxfId="10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1" totalsRowDxfId="100">
      <calculatedColumnFormula>Table1411[[#This Row],[Quantity]]*$M$1</calculatedColumnFormula>
    </tableColumn>
    <tableColumn id="4" xr3:uid="{CEA2F06F-2F21-492E-B2A3-DF977A078F50}" name="Total available" dataDxfId="99" totalsRowDxfId="98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97" dataDxfId="95" headerRowBorderDxfId="96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94" totalsRowDxfId="93"/>
    <tableColumn id="5" xr3:uid="{B1418FC9-8422-4A82-9D50-1C20CEF4A1DB}" name="Description" dataDxfId="92" totalsRowDxfId="91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90" totalsRowDxfId="89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88" totalsRowDxfId="87"/>
    <tableColumn id="8" xr3:uid="{D163A9E2-18FC-4EE8-99AB-60D6C92BBDB6}" name="Quantity" dataDxfId="86" totalsRowDxfId="85"/>
    <tableColumn id="6" xr3:uid="{1583B055-BD93-4929-B8EC-DA75D23B688F}" name="In stock" dataDxfId="84" totalsRowDxfId="83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2" totalsRowDxfId="81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0" totalsRowDxfId="79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78" totalsRowDxfId="77">
      <calculatedColumnFormula>Table14[[#This Row],[Quantity]]*$M$1</calculatedColumnFormula>
    </tableColumn>
    <tableColumn id="4" xr3:uid="{3C7D2E86-E417-47F0-B642-14D96896F255}" name="Total available" dataDxfId="76" totalsRowDxfId="75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4" dataDxfId="72" headerRowBorderDxfId="73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71" totalsRowDxfId="70"/>
    <tableColumn id="5" xr3:uid="{EE74CBB7-B4AE-4E4F-A276-4111D2262064}" name="Description" dataDxfId="69" totalsRowDxfId="68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67" totalsRowDxfId="66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5" totalsRowDxfId="64"/>
    <tableColumn id="8" xr3:uid="{C50EC552-0304-4799-AAF5-38B8D35A381E}" name="Quantity" dataDxfId="63" totalsRowDxfId="62"/>
    <tableColumn id="6" xr3:uid="{F740468C-0E09-4D56-BD5D-693ECC8337EF}" name="In stock" dataDxfId="61" totalsRowDxfId="6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59" totalsRowDxfId="58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57" totalsRowDxfId="5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5" totalsRowDxfId="54">
      <calculatedColumnFormula>Table146810[[#This Row],[Quantity]]*$M$1</calculatedColumnFormula>
    </tableColumn>
    <tableColumn id="4" xr3:uid="{562176AD-2473-43BF-B998-A5B71A21527C}" name="Total available" dataDxfId="53" totalsRowDxfId="52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51" dataDxfId="49" headerRowBorderDxfId="50">
  <autoFilter ref="A1:J2" xr:uid="{06E2CB8E-61AB-472E-BCF2-E6E1E6F7BC5B}"/>
  <tableColumns count="10">
    <tableColumn id="2" xr3:uid="{82F37E31-D1D4-4FFD-A09E-64F3B03018B7}" name="Man. Number" totalsRowLabel="Total" dataDxfId="48" totalsRowDxfId="47"/>
    <tableColumn id="5" xr3:uid="{524F6B01-486E-4166-AE6A-BDBA58BD1A60}" name="Description" dataDxfId="46" totalsRowDxfId="45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44" totalsRowDxfId="43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42" totalsRowDxfId="41"/>
    <tableColumn id="8" xr3:uid="{A834D686-252C-4BF4-9FDE-28A4A6AFDD1F}" name="Quantity" dataDxfId="40" totalsRowDxfId="39"/>
    <tableColumn id="6" xr3:uid="{66DB620F-4FDE-44EB-BF35-96CAEBE4C1C6}" name="In stock" dataDxfId="38" totalsRowDxfId="37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6" totalsRowDxfId="35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34" totalsRowDxfId="33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32" totalsRowDxfId="31">
      <calculatedColumnFormula>Table1468[[#This Row],[Quantity]]*$M$1</calculatedColumnFormula>
    </tableColumn>
    <tableColumn id="4" xr3:uid="{56337732-A0D6-4CED-A2E1-0A9BD957CBCA}" name="Total available" dataDxfId="30" totalsRowDxfId="29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28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8" style="32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1" t="s">
        <v>46</v>
      </c>
      <c r="B1" s="3" t="s">
        <v>111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2" t="s">
        <v>29</v>
      </c>
      <c r="B2" s="11"/>
      <c r="C2" s="9"/>
      <c r="D2" s="9"/>
      <c r="E2" s="9"/>
      <c r="F2" s="3" t="s">
        <v>47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tabSelected="1" workbookViewId="0">
      <selection activeCell="J15" sqref="J15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</cols>
  <sheetData>
    <row r="2" spans="1:11" x14ac:dyDescent="0.25">
      <c r="B2" s="60" t="s">
        <v>117</v>
      </c>
      <c r="G2" s="17" t="s">
        <v>125</v>
      </c>
      <c r="J2" s="17" t="s">
        <v>124</v>
      </c>
    </row>
    <row r="3" spans="1:11" x14ac:dyDescent="0.25">
      <c r="B3" s="60"/>
      <c r="G3" s="18" t="s">
        <v>102</v>
      </c>
      <c r="H3" s="18" t="s">
        <v>2</v>
      </c>
      <c r="J3" s="18" t="s">
        <v>102</v>
      </c>
      <c r="K3" s="18" t="s">
        <v>2</v>
      </c>
    </row>
    <row r="4" spans="1:11" x14ac:dyDescent="0.25">
      <c r="G4" t="s">
        <v>232</v>
      </c>
      <c r="H4" t="s">
        <v>29</v>
      </c>
      <c r="J4" t="s">
        <v>103</v>
      </c>
      <c r="K4" t="s">
        <v>29</v>
      </c>
    </row>
    <row r="5" spans="1:11" x14ac:dyDescent="0.25">
      <c r="B5" s="60" t="s">
        <v>118</v>
      </c>
      <c r="G5" t="s">
        <v>233</v>
      </c>
      <c r="H5" t="s">
        <v>29</v>
      </c>
      <c r="J5" t="s">
        <v>104</v>
      </c>
      <c r="K5" t="s">
        <v>29</v>
      </c>
    </row>
    <row r="6" spans="1:11" x14ac:dyDescent="0.25">
      <c r="B6" s="60"/>
      <c r="G6" t="s">
        <v>229</v>
      </c>
      <c r="H6" t="s">
        <v>29</v>
      </c>
      <c r="J6" t="s">
        <v>105</v>
      </c>
      <c r="K6" t="s">
        <v>29</v>
      </c>
    </row>
    <row r="7" spans="1:11" x14ac:dyDescent="0.25">
      <c r="G7" t="s">
        <v>230</v>
      </c>
      <c r="H7" t="s">
        <v>29</v>
      </c>
      <c r="J7" t="s">
        <v>106</v>
      </c>
      <c r="K7" t="s">
        <v>29</v>
      </c>
    </row>
    <row r="8" spans="1:11" x14ac:dyDescent="0.25">
      <c r="B8" s="60" t="s">
        <v>119</v>
      </c>
      <c r="G8" t="s">
        <v>231</v>
      </c>
      <c r="H8" t="s">
        <v>29</v>
      </c>
      <c r="J8" t="s">
        <v>107</v>
      </c>
      <c r="K8" t="s">
        <v>29</v>
      </c>
    </row>
    <row r="9" spans="1:11" x14ac:dyDescent="0.25">
      <c r="B9" s="60"/>
    </row>
    <row r="11" spans="1:11" x14ac:dyDescent="0.25">
      <c r="A11" s="30"/>
      <c r="B11" s="60" t="s">
        <v>120</v>
      </c>
    </row>
    <row r="12" spans="1:11" x14ac:dyDescent="0.25">
      <c r="A12" s="30"/>
      <c r="B12" s="60"/>
    </row>
    <row r="14" spans="1:11" x14ac:dyDescent="0.25">
      <c r="B14" s="60" t="s">
        <v>146</v>
      </c>
    </row>
    <row r="15" spans="1:11" x14ac:dyDescent="0.25">
      <c r="B15" s="60"/>
    </row>
    <row r="17" spans="2:2" x14ac:dyDescent="0.25">
      <c r="B17" s="60" t="s">
        <v>209</v>
      </c>
    </row>
    <row r="18" spans="2:2" x14ac:dyDescent="0.25">
      <c r="B18" s="60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D27" sqref="D27"/>
    </sheetView>
  </sheetViews>
  <sheetFormatPr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116</v>
      </c>
      <c r="C1" s="2" t="s">
        <v>6</v>
      </c>
      <c r="D1" s="2" t="s">
        <v>4</v>
      </c>
      <c r="E1" s="2" t="s">
        <v>96</v>
      </c>
      <c r="F1" s="53" t="s">
        <v>2</v>
      </c>
      <c r="G1" s="2" t="s">
        <v>3</v>
      </c>
      <c r="H1" s="28" t="s">
        <v>113</v>
      </c>
      <c r="I1" s="16" t="s">
        <v>7</v>
      </c>
      <c r="J1" s="28" t="s">
        <v>37</v>
      </c>
      <c r="K1" s="25" t="s">
        <v>114</v>
      </c>
      <c r="L1" s="25" t="s">
        <v>192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115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F2"/>
  <sheetViews>
    <sheetView zoomScale="85" zoomScaleNormal="85" workbookViewId="0">
      <pane ySplit="1" topLeftCell="A2" activePane="bottomLeft" state="frozen"/>
      <selection activeCell="B186" sqref="B186"/>
      <selection pane="bottomLeft" activeCell="D5" sqref="D5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57.140625" style="3" customWidth="1"/>
    <col min="5" max="5" width="16.7109375" style="3" bestFit="1" customWidth="1"/>
    <col min="6" max="6" width="10" style="40" bestFit="1" customWidth="1"/>
    <col min="7" max="7" width="9" style="40" bestFit="1" customWidth="1"/>
    <col min="8" max="8" width="8.42578125" style="40" bestFit="1" customWidth="1"/>
    <col min="9" max="9" width="24.28515625" style="15" customWidth="1"/>
    <col min="10" max="10" width="12" style="38" bestFit="1" customWidth="1"/>
    <col min="11" max="11" width="16" style="15" bestFit="1" customWidth="1"/>
    <col min="12" max="12" width="24.28515625" style="15" customWidth="1"/>
    <col min="13" max="13" width="20.42578125" style="36" customWidth="1"/>
    <col min="14" max="14" width="38.28515625" style="36" customWidth="1"/>
    <col min="15" max="15" width="9.42578125" style="15" customWidth="1"/>
    <col min="16" max="16" width="20" style="36" bestFit="1" customWidth="1"/>
    <col min="17" max="17" width="27.28515625" style="15" bestFit="1" customWidth="1"/>
    <col min="18" max="18" width="21.7109375" style="36" bestFit="1" customWidth="1"/>
    <col min="19" max="19" width="11.85546875" style="15" bestFit="1" customWidth="1"/>
    <col min="20" max="20" width="20.140625" style="36" bestFit="1" customWidth="1"/>
    <col min="21" max="21" width="21.85546875" style="15" bestFit="1" customWidth="1"/>
    <col min="22" max="22" width="20.7109375" style="36" bestFit="1" customWidth="1"/>
    <col min="23" max="23" width="12.5703125" style="15" bestFit="1" customWidth="1"/>
    <col min="24" max="24" width="23.140625" style="36" bestFit="1" customWidth="1"/>
    <col min="25" max="25" width="12" style="15" bestFit="1" customWidth="1"/>
    <col min="26" max="26" width="22.5703125" style="36" bestFit="1" customWidth="1"/>
    <col min="27" max="27" width="15.42578125" style="36" bestFit="1" customWidth="1"/>
    <col min="28" max="28" width="13.7109375" style="15" bestFit="1" customWidth="1"/>
    <col min="29" max="29" width="18.85546875" style="38" bestFit="1" customWidth="1"/>
    <col min="30" max="30" width="14.7109375" bestFit="1" customWidth="1"/>
    <col min="31" max="31" width="11.42578125" bestFit="1" customWidth="1"/>
    <col min="32" max="32" width="10.28515625" hidden="1" customWidth="1"/>
    <col min="37" max="37" width="10" bestFit="1" customWidth="1"/>
    <col min="38" max="38" width="12" bestFit="1" customWidth="1"/>
    <col min="39" max="39" width="14" bestFit="1" customWidth="1"/>
    <col min="40" max="40" width="17.140625" bestFit="1" customWidth="1"/>
  </cols>
  <sheetData>
    <row r="1" spans="1:32" s="59" customFormat="1" ht="30" x14ac:dyDescent="0.25">
      <c r="A1" s="54" t="s">
        <v>1</v>
      </c>
      <c r="B1" s="54" t="s">
        <v>6</v>
      </c>
      <c r="C1" s="54" t="s">
        <v>96</v>
      </c>
      <c r="D1" s="54" t="s">
        <v>2</v>
      </c>
      <c r="E1" s="54" t="s">
        <v>144</v>
      </c>
      <c r="F1" s="55" t="s">
        <v>3</v>
      </c>
      <c r="G1" s="55" t="s">
        <v>108</v>
      </c>
      <c r="H1" s="55" t="s">
        <v>123</v>
      </c>
      <c r="I1" s="54" t="s">
        <v>121</v>
      </c>
      <c r="J1" s="56" t="s">
        <v>122</v>
      </c>
      <c r="K1" s="54" t="s">
        <v>210</v>
      </c>
      <c r="L1" s="54" t="s">
        <v>32</v>
      </c>
      <c r="M1" s="56" t="s">
        <v>136</v>
      </c>
      <c r="N1" s="56" t="s">
        <v>239</v>
      </c>
      <c r="O1" s="54" t="s">
        <v>5</v>
      </c>
      <c r="P1" s="56" t="s">
        <v>137</v>
      </c>
      <c r="Q1" s="54" t="s">
        <v>132</v>
      </c>
      <c r="R1" s="56" t="s">
        <v>138</v>
      </c>
      <c r="S1" s="54" t="s">
        <v>131</v>
      </c>
      <c r="T1" s="56" t="s">
        <v>139</v>
      </c>
      <c r="U1" s="54" t="s">
        <v>133</v>
      </c>
      <c r="V1" s="56" t="s">
        <v>140</v>
      </c>
      <c r="W1" s="54" t="s">
        <v>134</v>
      </c>
      <c r="X1" s="56" t="s">
        <v>141</v>
      </c>
      <c r="Y1" s="54" t="s">
        <v>33</v>
      </c>
      <c r="Z1" s="56" t="s">
        <v>142</v>
      </c>
      <c r="AA1" s="56" t="s">
        <v>191</v>
      </c>
      <c r="AB1" s="54" t="s">
        <v>135</v>
      </c>
      <c r="AC1" s="56" t="s">
        <v>143</v>
      </c>
      <c r="AD1" s="57" t="s">
        <v>112</v>
      </c>
      <c r="AE1" s="58" t="s">
        <v>237</v>
      </c>
      <c r="AF1" s="58" t="s">
        <v>238</v>
      </c>
    </row>
    <row r="2" spans="1:32" x14ac:dyDescent="0.25">
      <c r="A2" s="48" t="s">
        <v>172</v>
      </c>
      <c r="B2" s="29" t="s">
        <v>162</v>
      </c>
      <c r="C2" s="29" t="s">
        <v>97</v>
      </c>
      <c r="D2" s="29" t="s">
        <v>173</v>
      </c>
      <c r="E2" s="29" t="s">
        <v>145</v>
      </c>
      <c r="F2" s="39">
        <v>0</v>
      </c>
      <c r="G2" s="39"/>
      <c r="H2" s="39"/>
      <c r="I2" s="29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" s="37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" s="41" t="str">
        <f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</f>
        <v>Digikey</v>
      </c>
      <c r="L2" s="29" t="s">
        <v>171</v>
      </c>
      <c r="M2" s="35">
        <v>0.13</v>
      </c>
      <c r="N2" s="52" t="str">
        <f>IF(Table1[[#This Row],[Digikey]]="","", HYPERLINK(_xlfn.CONCAT("https://www.digikey.ch/products/en?keywords=",Table1[[#This Row],[Digikey]]),_xlfn.CONCAT("Link (",Table1[[#This Row],[Digikey]],")")))</f>
        <v>Link (RHM1.00KADCT-ND)</v>
      </c>
      <c r="O2" s="29"/>
      <c r="P2" s="35"/>
      <c r="Q2" s="29"/>
      <c r="R2" s="35"/>
      <c r="S2" s="29"/>
      <c r="T2" s="35"/>
      <c r="U2" s="41" t="str">
        <f>CONCATENATE("755-",Table1[[#This Row],[Art. Number]])</f>
        <v>755-ESR03EZPF1001</v>
      </c>
      <c r="V2" s="35">
        <v>0.11700000000000001</v>
      </c>
      <c r="W2" s="29"/>
      <c r="X2" s="35"/>
      <c r="Y2" s="29"/>
      <c r="Z2" s="35"/>
      <c r="AA2" s="35" t="str">
        <f>IF(Table1[[#This Row],[Other]]&lt;&gt;"","Other","")</f>
        <v/>
      </c>
      <c r="AB2" s="29"/>
      <c r="AC2" s="37"/>
      <c r="AD2" s="41" t="str">
        <f>IF(AND( Table1[[#This Row],[Auto Order]]=1,Table1[[#This Row],[Obsolete]]=""),IF(Table1[[#This Row],[In stock]]&lt;Table1[[#This Row],[Min in stock]],1,""),"")</f>
        <v/>
      </c>
      <c r="AE2" s="51"/>
      <c r="AF2" s="51" t="str">
        <f>IF(Table1[[#This Row],[Obsolete]],Table1[[#This Row],[Art. Number]],"")</f>
        <v/>
      </c>
    </row>
  </sheetData>
  <dataConsolidate/>
  <conditionalFormatting sqref="AD1:AD1048576">
    <cfRule type="cellIs" dxfId="27" priority="70" operator="equal">
      <formula>1</formula>
    </cfRule>
  </conditionalFormatting>
  <conditionalFormatting sqref="E1:E1048576">
    <cfRule type="containsText" dxfId="26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5" priority="19" stopIfTrue="1" operator="lessThan">
      <formula>0</formula>
    </cfRule>
  </conditionalFormatting>
  <conditionalFormatting sqref="A1:A1048576">
    <cfRule type="containsBlanks" priority="1" stopIfTrue="1">
      <formula>LEN(TRIM(A1))=0</formula>
    </cfRule>
    <cfRule type="cellIs" dxfId="24" priority="2" operator="equal">
      <formula>$AF1</formula>
    </cfRule>
    <cfRule type="duplicateValues" dxfId="23" priority="10"/>
  </conditionalFormatting>
  <conditionalFormatting sqref="F2:F999597">
    <cfRule type="cellIs" dxfId="22" priority="30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7" t="s">
        <v>37</v>
      </c>
      <c r="F1" s="2" t="s">
        <v>3</v>
      </c>
      <c r="G1" s="6" t="s">
        <v>43</v>
      </c>
      <c r="H1" s="6" t="s">
        <v>212</v>
      </c>
      <c r="I1" s="6" t="s">
        <v>45</v>
      </c>
      <c r="J1" s="6" t="s">
        <v>51</v>
      </c>
      <c r="L1" s="8" t="s">
        <v>44</v>
      </c>
      <c r="M1" s="45">
        <v>2</v>
      </c>
      <c r="N1" t="s">
        <v>240</v>
      </c>
    </row>
    <row r="2" spans="1:14" x14ac:dyDescent="0.25">
      <c r="A2" s="3" t="s">
        <v>234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4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213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4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4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43" t="s">
        <v>221</v>
      </c>
      <c r="B5" s="34" t="e">
        <f>VLOOKUP(Table14113[[#This Row],[Man. Number]],Articles!A:F,COLUMN(Articles!$D$1)-COLUMN(Articles!$A$1)+1,FALSE)</f>
        <v>#N/A</v>
      </c>
      <c r="C5" s="34" t="e">
        <f>VLOOKUP(Table14113[[#This Row],[Man. Number]],Articles!A:F,COLUMN(Articles!$C$1)-COLUMN(Articles!$A$1)+1,FALSE)</f>
        <v>#N/A</v>
      </c>
      <c r="D5" s="4" t="s">
        <v>29</v>
      </c>
      <c r="E5" s="34">
        <v>2</v>
      </c>
      <c r="F5" s="34" t="e">
        <f>VLOOKUP(Table14113[[#This Row],[Man. Number]],Articles!A:F,COLUMN(Articles!$F$1)-COLUMN(Articles!$A$1)+1,FALSE)</f>
        <v>#N/A</v>
      </c>
      <c r="G5" s="34" t="e">
        <f>IF(Table14113[[#This Row],[In stock]] &gt;= Table14113[[#This Row],[Quantity]],"YES","NO")</f>
        <v>#N/A</v>
      </c>
      <c r="H5" s="34" t="e">
        <f>VLOOKUP(Table14113[[#This Row],[Man. Number]],Articles!A:J,COLUMN(Articles!$J$1)-COLUMN(Articles!$A$1)+1,FALSE)*Table14113[[#This Row],[Quantity]]</f>
        <v>#N/A</v>
      </c>
      <c r="I5" s="34">
        <f>Table14113[[#This Row],[Quantity]]*$M$1</f>
        <v>4</v>
      </c>
      <c r="J5" s="34" t="e">
        <f>IF(Table14113[[#This Row],[In stock]] &gt;= Table14113[[#This Row],[Total quantity]],"YES","NO")</f>
        <v>#N/A</v>
      </c>
    </row>
    <row r="6" spans="1:14" x14ac:dyDescent="0.25">
      <c r="A6" s="3" t="s">
        <v>154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227</v>
      </c>
      <c r="E6" s="34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4" t="s">
        <v>220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4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194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228</v>
      </c>
      <c r="E8" s="34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4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43" t="s">
        <v>58</v>
      </c>
      <c r="B10" s="34" t="e">
        <f>VLOOKUP(Table14113[[#This Row],[Man. Number]],Articles!A:F,COLUMN(Articles!$D$1)-COLUMN(Articles!$A$1)+1,FALSE)</f>
        <v>#N/A</v>
      </c>
      <c r="C10" s="34" t="e">
        <f>VLOOKUP(Table14113[[#This Row],[Man. Number]],Articles!A:F,COLUMN(Articles!$C$1)-COLUMN(Articles!$A$1)+1,FALSE)</f>
        <v>#N/A</v>
      </c>
      <c r="D10" s="4" t="s">
        <v>71</v>
      </c>
      <c r="E10" s="34">
        <v>1</v>
      </c>
      <c r="F10" s="34" t="e">
        <f>VLOOKUP(Table14113[[#This Row],[Man. Number]],Articles!A:F,COLUMN(Articles!$F$1)-COLUMN(Articles!$A$1)+1,FALSE)</f>
        <v>#N/A</v>
      </c>
      <c r="G10" s="34" t="e">
        <f>IF(Table14113[[#This Row],[In stock]] &gt;= Table14113[[#This Row],[Quantity]],"YES","NO")</f>
        <v>#N/A</v>
      </c>
      <c r="H10" s="34" t="e">
        <f>VLOOKUP(Table14113[[#This Row],[Man. Number]],Articles!A:J,COLUMN(Articles!$J$1)-COLUMN(Articles!$A$1)+1,FALSE)*Table14113[[#This Row],[Quantity]]</f>
        <v>#N/A</v>
      </c>
      <c r="I10" s="34">
        <f>Table14113[[#This Row],[Quantity]]*$M$1</f>
        <v>2</v>
      </c>
      <c r="J10" s="34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4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4" t="s">
        <v>57</v>
      </c>
      <c r="B12" s="34" t="e">
        <f>VLOOKUP(Table14113[[#This Row],[Man. Number]],Articles!A:F,COLUMN(Articles!$D$1)-COLUMN(Articles!$A$1)+1,FALSE)</f>
        <v>#N/A</v>
      </c>
      <c r="C12" s="34" t="e">
        <f>VLOOKUP(Table14113[[#This Row],[Man. Number]],Articles!A:F,COLUMN(Articles!$C$1)-COLUMN(Articles!$A$1)+1,FALSE)</f>
        <v>#N/A</v>
      </c>
      <c r="D12" s="4" t="s">
        <v>200</v>
      </c>
      <c r="E12" s="34">
        <v>1</v>
      </c>
      <c r="F12" s="34" t="e">
        <f>VLOOKUP(Table14113[[#This Row],[Man. Number]],Articles!A:F,COLUMN(Articles!$F$1)-COLUMN(Articles!$A$1)+1,FALSE)</f>
        <v>#N/A</v>
      </c>
      <c r="G12" s="34" t="e">
        <f>IF(Table14113[[#This Row],[In stock]] &gt;= Table14113[[#This Row],[Quantity]],"YES","NO")</f>
        <v>#N/A</v>
      </c>
      <c r="H12" s="34" t="e">
        <f>VLOOKUP(Table14113[[#This Row],[Man. Number]],Articles!A:J,COLUMN(Articles!$J$1)-COLUMN(Articles!$A$1)+1,FALSE)*Table14113[[#This Row],[Quantity]]</f>
        <v>#N/A</v>
      </c>
      <c r="I12" s="34">
        <f>Table14113[[#This Row],[Quantity]]*$M$1</f>
        <v>2</v>
      </c>
      <c r="J12" s="34" t="e">
        <f>IF(Table14113[[#This Row],[In stock]] &gt;= Table14113[[#This Row],[Total quantity]],"YES","NO")</f>
        <v>#N/A</v>
      </c>
    </row>
    <row r="13" spans="1:14" x14ac:dyDescent="0.25">
      <c r="A13" s="50" t="s">
        <v>235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4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43" t="s">
        <v>157</v>
      </c>
      <c r="B14" s="34" t="e">
        <f>VLOOKUP(Table14113[[#This Row],[Man. Number]],Articles!A:F,COLUMN(Articles!$D$1)-COLUMN(Articles!$A$1)+1,FALSE)</f>
        <v>#N/A</v>
      </c>
      <c r="C14" s="34" t="e">
        <f>VLOOKUP(Table14113[[#This Row],[Man. Number]],Articles!A:F,COLUMN(Articles!$C$1)-COLUMN(Articles!$A$1)+1,FALSE)</f>
        <v>#N/A</v>
      </c>
      <c r="D14" s="4" t="s">
        <v>225</v>
      </c>
      <c r="E14" s="34">
        <v>1</v>
      </c>
      <c r="F14" s="34" t="e">
        <f>VLOOKUP(Table14113[[#This Row],[Man. Number]],Articles!A:F,COLUMN(Articles!$F$1)-COLUMN(Articles!$A$1)+1,FALSE)</f>
        <v>#N/A</v>
      </c>
      <c r="G14" s="34" t="e">
        <f>IF(Table14113[[#This Row],[In stock]] &gt;= Table14113[[#This Row],[Quantity]],"YES","NO")</f>
        <v>#N/A</v>
      </c>
      <c r="H14" s="34" t="e">
        <f>VLOOKUP(Table14113[[#This Row],[Man. Number]],Articles!A:J,COLUMN(Articles!$J$1)-COLUMN(Articles!$A$1)+1,FALSE)*Table14113[[#This Row],[Quantity]]</f>
        <v>#N/A</v>
      </c>
      <c r="I14" s="34">
        <f>Table14113[[#This Row],[Quantity]]*$M$1</f>
        <v>2</v>
      </c>
      <c r="J14" s="34" t="e">
        <f>IF(Table14113[[#This Row],[In stock]] &gt;= Table14113[[#This Row],[Total quantity]],"YES","NO")</f>
        <v>#N/A</v>
      </c>
    </row>
    <row r="15" spans="1:14" x14ac:dyDescent="0.25">
      <c r="A15" s="44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217</v>
      </c>
      <c r="E15" s="34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43" t="s">
        <v>179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4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222</v>
      </c>
      <c r="E17" s="34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43" t="s">
        <v>181</v>
      </c>
      <c r="B18" s="34" t="e">
        <f>VLOOKUP(Table14113[[#This Row],[Man. Number]],Articles!A:F,COLUMN(Articles!$D$1)-COLUMN(Articles!$A$1)+1,FALSE)</f>
        <v>#N/A</v>
      </c>
      <c r="C18" s="34" t="e">
        <f>VLOOKUP(Table14113[[#This Row],[Man. Number]],Articles!A:F,COLUMN(Articles!$C$1)-COLUMN(Articles!$A$1)+1,FALSE)</f>
        <v>#N/A</v>
      </c>
      <c r="D18" s="4" t="s">
        <v>223</v>
      </c>
      <c r="E18" s="34">
        <v>2</v>
      </c>
      <c r="F18" s="34" t="e">
        <f>VLOOKUP(Table14113[[#This Row],[Man. Number]],Articles!A:F,COLUMN(Articles!$F$1)-COLUMN(Articles!$A$1)+1,FALSE)</f>
        <v>#N/A</v>
      </c>
      <c r="G18" s="34" t="e">
        <f>IF(Table14113[[#This Row],[In stock]] &gt;= Table14113[[#This Row],[Quantity]],"YES","NO")</f>
        <v>#N/A</v>
      </c>
      <c r="H18" s="34" t="e">
        <f>VLOOKUP(Table14113[[#This Row],[Man. Number]],Articles!A:J,COLUMN(Articles!$J$1)-COLUMN(Articles!$A$1)+1,FALSE)*Table14113[[#This Row],[Quantity]]</f>
        <v>#N/A</v>
      </c>
      <c r="I18" s="34">
        <f>Table14113[[#This Row],[Quantity]]*$M$1</f>
        <v>4</v>
      </c>
      <c r="J18" s="34" t="e">
        <f>IF(Table14113[[#This Row],[In stock]] &gt;= Table14113[[#This Row],[Total quantity]],"YES","NO")</f>
        <v>#N/A</v>
      </c>
    </row>
    <row r="19" spans="1:10" x14ac:dyDescent="0.25">
      <c r="A19" s="43" t="s">
        <v>180</v>
      </c>
      <c r="B19" s="34" t="e">
        <f>VLOOKUP(Table14113[[#This Row],[Man. Number]],Articles!A:F,COLUMN(Articles!$D$1)-COLUMN(Articles!$A$1)+1,FALSE)</f>
        <v>#N/A</v>
      </c>
      <c r="C19" s="34" t="e">
        <f>VLOOKUP(Table14113[[#This Row],[Man. Number]],Articles!A:F,COLUMN(Articles!$C$1)-COLUMN(Articles!$A$1)+1,FALSE)</f>
        <v>#N/A</v>
      </c>
      <c r="D19" s="4" t="s">
        <v>203</v>
      </c>
      <c r="E19" s="34">
        <v>1</v>
      </c>
      <c r="F19" s="34" t="e">
        <f>VLOOKUP(Table14113[[#This Row],[Man. Number]],Articles!A:F,COLUMN(Articles!$F$1)-COLUMN(Articles!$A$1)+1,FALSE)</f>
        <v>#N/A</v>
      </c>
      <c r="G19" s="34" t="e">
        <f>IF(Table14113[[#This Row],[In stock]] &gt;= Table14113[[#This Row],[Quantity]],"YES","NO")</f>
        <v>#N/A</v>
      </c>
      <c r="H19" s="34" t="e">
        <f>VLOOKUP(Table14113[[#This Row],[Man. Number]],Articles!A:J,COLUMN(Articles!$J$1)-COLUMN(Articles!$A$1)+1,FALSE)*Table14113[[#This Row],[Quantity]]</f>
        <v>#N/A</v>
      </c>
      <c r="I19" s="34">
        <f>Table14113[[#This Row],[Quantity]]*$M$1</f>
        <v>2</v>
      </c>
      <c r="J19" s="34" t="e">
        <f>IF(Table14113[[#This Row],[In stock]] &gt;= Table14113[[#This Row],[Total quantity]],"YES","NO")</f>
        <v>#N/A</v>
      </c>
    </row>
    <row r="20" spans="1:10" x14ac:dyDescent="0.25">
      <c r="A20" s="43" t="s">
        <v>165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224</v>
      </c>
      <c r="E20" s="34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4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4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218</v>
      </c>
      <c r="E23" s="34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4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4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4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128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4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43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4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215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4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43" t="s">
        <v>214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219</v>
      </c>
      <c r="E30" s="34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4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4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3" t="s">
        <v>158</v>
      </c>
      <c r="B33" s="34" t="e">
        <f>VLOOKUP(Table14113[[#This Row],[Man. Number]],Articles!A:F,COLUMN(Articles!$D$1)-COLUMN(Articles!$A$1)+1,FALSE)</f>
        <v>#N/A</v>
      </c>
      <c r="C33" s="34" t="e">
        <f>VLOOKUP(Table14113[[#This Row],[Man. Number]],Articles!A:F,COLUMN(Articles!$C$1)-COLUMN(Articles!$A$1)+1,FALSE)</f>
        <v>#N/A</v>
      </c>
      <c r="D33" s="4" t="s">
        <v>226</v>
      </c>
      <c r="E33" s="34">
        <f>(3*2+5)/36</f>
        <v>0.30555555555555558</v>
      </c>
      <c r="F33" s="34" t="e">
        <f>VLOOKUP(Table14113[[#This Row],[Man. Number]],Articles!A:F,COLUMN(Articles!$F$1)-COLUMN(Articles!$A$1)+1,FALSE)</f>
        <v>#N/A</v>
      </c>
      <c r="G33" s="34" t="e">
        <f>IF(Table14113[[#This Row],[In stock]] &gt;= Table14113[[#This Row],[Quantity]],"YES","NO")</f>
        <v>#N/A</v>
      </c>
      <c r="H33" s="34" t="e">
        <f>VLOOKUP(Table14113[[#This Row],[Man. Number]],Articles!A:J,COLUMN(Articles!$J$1)-COLUMN(Articles!$A$1)+1,FALSE)*Table14113[[#This Row],[Quantity]]</f>
        <v>#N/A</v>
      </c>
      <c r="I33" s="34">
        <f>Table14113[[#This Row],[Quantity]]*$M$1</f>
        <v>0.61111111111111116</v>
      </c>
      <c r="J33" s="34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4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115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" priority="5"/>
  </conditionalFormatting>
  <conditionalFormatting sqref="G1:H1048576 J1:J1048576">
    <cfRule type="containsText" dxfId="20" priority="6" operator="containsText" text="NO">
      <formula>NOT(ISERROR(SEARCH("NO",G1)))</formula>
    </cfRule>
  </conditionalFormatting>
  <conditionalFormatting sqref="N1">
    <cfRule type="cellIs" dxfId="19" priority="3" stopIfTrue="1" operator="equal">
      <formula>"Locked"</formula>
    </cfRule>
    <cfRule type="cellIs" dxfId="18" priority="4" stopIfTrue="1" operator="equal">
      <formula>"Unlocked"</formula>
    </cfRule>
  </conditionalFormatting>
  <conditionalFormatting sqref="A13">
    <cfRule type="duplicateValues" dxfId="17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212</v>
      </c>
      <c r="I1" s="6" t="s">
        <v>45</v>
      </c>
      <c r="J1" s="6" t="s">
        <v>51</v>
      </c>
      <c r="L1" s="8" t="s">
        <v>44</v>
      </c>
      <c r="M1" s="45">
        <v>1</v>
      </c>
      <c r="N1" t="s">
        <v>240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109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216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199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198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43" t="s">
        <v>207</v>
      </c>
      <c r="B10" s="34" t="e">
        <f>VLOOKUP(Table1411[[#This Row],[Man. Number]],Articles!A:F,COLUMN(Articles!$D$1)-COLUMN(Articles!$A$1)+1,FALSE)</f>
        <v>#N/A</v>
      </c>
      <c r="C10" s="34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4" t="e">
        <f>VLOOKUP(Table1411[[#This Row],[Man. Number]],Articles!A:F,COLUMN(Articles!$F$1)-COLUMN(Articles!$A$1)+1,FALSE)</f>
        <v>#N/A</v>
      </c>
      <c r="G10" s="34" t="e">
        <f>IF(Table1411[[#This Row],[In stock]] &gt;= Table1411[[#This Row],[Quantity]],"YES","NO")</f>
        <v>#N/A</v>
      </c>
      <c r="H10" s="34" t="e">
        <f>VLOOKUP(Table1411[[#This Row],[Man. Number]],Articles!A:J,COLUMN(Articles!$J$1)-COLUMN(Articles!$A$1)+1,FALSE)*Table1411[[#This Row],[Quantity]]</f>
        <v>#N/A</v>
      </c>
      <c r="I10" s="34">
        <f>Table1411[[#This Row],[Quantity]]*$M$1</f>
        <v>1</v>
      </c>
      <c r="J10" s="34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43" t="s">
        <v>208</v>
      </c>
      <c r="B12" s="34" t="e">
        <f>VLOOKUP(Table1411[[#This Row],[Man. Number]],Articles!A:F,COLUMN(Articles!$D$1)-COLUMN(Articles!$A$1)+1,FALSE)</f>
        <v>#N/A</v>
      </c>
      <c r="C12" s="34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4" t="e">
        <f>VLOOKUP(Table1411[[#This Row],[Man. Number]],Articles!A:F,COLUMN(Articles!$F$1)-COLUMN(Articles!$A$1)+1,FALSE)</f>
        <v>#N/A</v>
      </c>
      <c r="G12" s="34" t="e">
        <f>IF(Table1411[[#This Row],[In stock]] &gt;= Table1411[[#This Row],[Quantity]],"YES","NO")</f>
        <v>#N/A</v>
      </c>
      <c r="H12" s="34" t="e">
        <f>VLOOKUP(Table1411[[#This Row],[Man. Number]],Articles!A:J,COLUMN(Articles!$J$1)-COLUMN(Articles!$A$1)+1,FALSE)*Table1411[[#This Row],[Quantity]]</f>
        <v>#N/A</v>
      </c>
      <c r="I12" s="34">
        <f>Table1411[[#This Row],[Quantity]]*$M$1</f>
        <v>0</v>
      </c>
      <c r="J12" s="34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43" t="s">
        <v>58</v>
      </c>
      <c r="B15" s="34" t="e">
        <f>VLOOKUP(Table1411[[#This Row],[Man. Number]],Articles!A:F,COLUMN(Articles!$D$1)-COLUMN(Articles!$A$1)+1,FALSE)</f>
        <v>#N/A</v>
      </c>
      <c r="C15" s="34" t="e">
        <f>VLOOKUP(Table1411[[#This Row],[Man. Number]],Articles!A:F,COLUMN(Articles!$C$1)-COLUMN(Articles!$A$1)+1,FALSE)</f>
        <v>#N/A</v>
      </c>
      <c r="D15" s="4" t="s">
        <v>200</v>
      </c>
      <c r="E15" s="4">
        <v>1</v>
      </c>
      <c r="F15" s="34" t="e">
        <f>VLOOKUP(Table1411[[#This Row],[Man. Number]],Articles!A:F,COLUMN(Articles!$F$1)-COLUMN(Articles!$A$1)+1,FALSE)</f>
        <v>#N/A</v>
      </c>
      <c r="G15" s="34" t="e">
        <f>IF(Table1411[[#This Row],[In stock]] &gt;= Table1411[[#This Row],[Quantity]],"YES","NO")</f>
        <v>#N/A</v>
      </c>
      <c r="H15" s="34" t="e">
        <f>VLOOKUP(Table1411[[#This Row],[Man. Number]],Articles!A:J,COLUMN(Articles!$J$1)-COLUMN(Articles!$A$1)+1,FALSE)*Table1411[[#This Row],[Quantity]]</f>
        <v>#N/A</v>
      </c>
      <c r="I15" s="34">
        <f>Table1411[[#This Row],[Quantity]]*$M$1</f>
        <v>1</v>
      </c>
      <c r="J15" s="34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3" t="s">
        <v>174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44" t="s">
        <v>206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43" t="s">
        <v>179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201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43" t="s">
        <v>181</v>
      </c>
      <c r="B21" s="34" t="e">
        <f>VLOOKUP(Table1411[[#This Row],[Man. Number]],Articles!A:F,COLUMN(Articles!$D$1)-COLUMN(Articles!$A$1)+1,FALSE)</f>
        <v>#N/A</v>
      </c>
      <c r="C21" s="34" t="e">
        <f>VLOOKUP(Table1411[[#This Row],[Man. Number]],Articles!A:F,COLUMN(Articles!$C$1)-COLUMN(Articles!$A$1)+1,FALSE)</f>
        <v>#N/A</v>
      </c>
      <c r="D21" s="4" t="s">
        <v>204</v>
      </c>
      <c r="E21" s="4">
        <v>2</v>
      </c>
      <c r="F21" s="34" t="e">
        <f>VLOOKUP(Table1411[[#This Row],[Man. Number]],Articles!A:F,COLUMN(Articles!$F$1)-COLUMN(Articles!$A$1)+1,FALSE)</f>
        <v>#N/A</v>
      </c>
      <c r="G21" s="34" t="e">
        <f>IF(Table1411[[#This Row],[In stock]] &gt;= Table1411[[#This Row],[Quantity]],"YES","NO")</f>
        <v>#N/A</v>
      </c>
      <c r="H21" s="34" t="e">
        <f>VLOOKUP(Table1411[[#This Row],[Man. Number]],Articles!A:J,COLUMN(Articles!$J$1)-COLUMN(Articles!$A$1)+1,FALSE)*Table1411[[#This Row],[Quantity]]</f>
        <v>#N/A</v>
      </c>
      <c r="I21" s="34">
        <f>Table1411[[#This Row],[Quantity]]*$M$1</f>
        <v>2</v>
      </c>
      <c r="J21" s="34" t="e">
        <f>IF(Table1411[[#This Row],[In stock]] &gt;= Table1411[[#This Row],[Total quantity]],"YES","NO")</f>
        <v>#N/A</v>
      </c>
    </row>
    <row r="22" spans="1:10" x14ac:dyDescent="0.25">
      <c r="A22" s="43" t="s">
        <v>164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202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43" t="s">
        <v>180</v>
      </c>
      <c r="B23" s="34" t="e">
        <f>VLOOKUP(Table1411[[#This Row],[Man. Number]],Articles!A:F,COLUMN(Articles!$D$1)-COLUMN(Articles!$A$1)+1,FALSE)</f>
        <v>#N/A</v>
      </c>
      <c r="C23" s="34" t="e">
        <f>VLOOKUP(Table1411[[#This Row],[Man. Number]],Articles!A:F,COLUMN(Articles!$C$1)-COLUMN(Articles!$A$1)+1,FALSE)</f>
        <v>#N/A</v>
      </c>
      <c r="D23" s="4" t="s">
        <v>203</v>
      </c>
      <c r="E23" s="4">
        <v>1</v>
      </c>
      <c r="F23" s="34" t="e">
        <f>VLOOKUP(Table1411[[#This Row],[Man. Number]],Articles!A:F,COLUMN(Articles!$F$1)-COLUMN(Articles!$A$1)+1,FALSE)</f>
        <v>#N/A</v>
      </c>
      <c r="G23" s="34" t="e">
        <f>IF(Table1411[[#This Row],[In stock]] &gt;= Table1411[[#This Row],[Quantity]],"YES","NO")</f>
        <v>#N/A</v>
      </c>
      <c r="H23" s="34" t="e">
        <f>VLOOKUP(Table1411[[#This Row],[Man. Number]],Articles!A:J,COLUMN(Articles!$J$1)-COLUMN(Articles!$A$1)+1,FALSE)*Table1411[[#This Row],[Quantity]]</f>
        <v>#N/A</v>
      </c>
      <c r="I23" s="34">
        <f>Table1411[[#This Row],[Quantity]]*$M$1</f>
        <v>1</v>
      </c>
      <c r="J23" s="34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128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43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3" t="s">
        <v>185</v>
      </c>
      <c r="B35" s="34" t="e">
        <f>VLOOKUP(Table1411[[#This Row],[Man. Number]],Articles!A:F,COLUMN(Articles!$D$1)-COLUMN(Articles!$A$1)+1,FALSE)</f>
        <v>#N/A</v>
      </c>
      <c r="C35" s="34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4" t="e">
        <f>VLOOKUP(Table1411[[#This Row],[Man. Number]],Articles!A:F,COLUMN(Articles!$F$1)-COLUMN(Articles!$A$1)+1,FALSE)</f>
        <v>#N/A</v>
      </c>
      <c r="G35" s="34" t="e">
        <f>IF(Table1411[[#This Row],[In stock]] &gt;= Table1411[[#This Row],[Quantity]],"YES","NO")</f>
        <v>#N/A</v>
      </c>
      <c r="H35" s="34" t="e">
        <f>VLOOKUP(Table1411[[#This Row],[Man. Number]],Articles!A:J,COLUMN(Articles!$J$1)-COLUMN(Articles!$A$1)+1,FALSE)*Table1411[[#This Row],[Quantity]]</f>
        <v>#N/A</v>
      </c>
      <c r="I35" s="34">
        <f>Table1411[[#This Row],[Quantity]]*$M$1</f>
        <v>1</v>
      </c>
      <c r="J35" s="34" t="e">
        <f>IF(Table1411[[#This Row],[In stock]] &gt;= Table1411[[#This Row],[Total quantity]],"YES","NO")</f>
        <v>#N/A</v>
      </c>
    </row>
    <row r="36" spans="1:10" x14ac:dyDescent="0.25">
      <c r="A36" s="43" t="s">
        <v>188</v>
      </c>
      <c r="B36" s="34" t="e">
        <f>VLOOKUP(Table1411[[#This Row],[Man. Number]],Articles!A:F,COLUMN(Articles!$D$1)-COLUMN(Articles!$A$1)+1,FALSE)</f>
        <v>#N/A</v>
      </c>
      <c r="C36" s="34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4" t="e">
        <f>VLOOKUP(Table1411[[#This Row],[Man. Number]],Articles!A:F,COLUMN(Articles!$F$1)-COLUMN(Articles!$A$1)+1,FALSE)</f>
        <v>#N/A</v>
      </c>
      <c r="G36" s="34" t="e">
        <f>IF(Table1411[[#This Row],[In stock]] &gt;= Table1411[[#This Row],[Quantity]],"YES","NO")</f>
        <v>#N/A</v>
      </c>
      <c r="H36" s="34" t="e">
        <f>VLOOKUP(Table1411[[#This Row],[Man. Number]],Articles!A:J,COLUMN(Articles!$J$1)-COLUMN(Articles!$A$1)+1,FALSE)*Table1411[[#This Row],[Quantity]]</f>
        <v>#N/A</v>
      </c>
      <c r="I36" s="34">
        <f>Table1411[[#This Row],[Quantity]]*$M$1</f>
        <v>1</v>
      </c>
      <c r="J36" s="34" t="e">
        <f>IF(Table1411[[#This Row],[In stock]] &gt;= Table1411[[#This Row],[Total quantity]],"YES","NO")</f>
        <v>#N/A</v>
      </c>
    </row>
    <row r="37" spans="1:10" x14ac:dyDescent="0.25">
      <c r="A37" s="43" t="s">
        <v>158</v>
      </c>
      <c r="B37" s="34" t="e">
        <f>VLOOKUP(Table1411[[#This Row],[Man. Number]],Articles!A:F,COLUMN(Articles!$D$1)-COLUMN(Articles!$A$1)+1,FALSE)</f>
        <v>#N/A</v>
      </c>
      <c r="C37" s="34" t="e">
        <f>VLOOKUP(Table1411[[#This Row],[Man. Number]],Articles!A:F,COLUMN(Articles!$C$1)-COLUMN(Articles!$A$1)+1,FALSE)</f>
        <v>#N/A</v>
      </c>
      <c r="D37" s="4" t="s">
        <v>205</v>
      </c>
      <c r="E37" s="4">
        <f>10/36</f>
        <v>0.27777777777777779</v>
      </c>
      <c r="F37" s="34" t="e">
        <f>VLOOKUP(Table1411[[#This Row],[Man. Number]],Articles!A:F,COLUMN(Articles!$F$1)-COLUMN(Articles!$A$1)+1,FALSE)</f>
        <v>#N/A</v>
      </c>
      <c r="G37" s="34" t="e">
        <f>IF(Table1411[[#This Row],[In stock]] &gt;= Table1411[[#This Row],[Quantity]],"YES","NO")</f>
        <v>#N/A</v>
      </c>
      <c r="H37" s="34" t="e">
        <f>VLOOKUP(Table1411[[#This Row],[Man. Number]],Articles!A:J,COLUMN(Articles!$J$1)-COLUMN(Articles!$A$1)+1,FALSE)*Table1411[[#This Row],[Quantity]]</f>
        <v>#N/A</v>
      </c>
      <c r="I37" s="34">
        <f>Table1411[[#This Row],[Quantity]]*$M$1</f>
        <v>0.27777777777777779</v>
      </c>
      <c r="J37" s="34" t="e">
        <f>IF(Table1411[[#This Row],[In stock]] &gt;= Table1411[[#This Row],[Total quantity]],"YES","NO")</f>
        <v>#N/A</v>
      </c>
    </row>
    <row r="38" spans="1:10" x14ac:dyDescent="0.25">
      <c r="A38" s="43" t="s">
        <v>183</v>
      </c>
      <c r="B38" s="34" t="e">
        <f>VLOOKUP(Table1411[[#This Row],[Man. Number]],Articles!A:F,COLUMN(Articles!$D$1)-COLUMN(Articles!$A$1)+1,FALSE)</f>
        <v>#N/A</v>
      </c>
      <c r="C38" s="34" t="e">
        <f>VLOOKUP(Table1411[[#This Row],[Man. Number]],Articles!A:F,COLUMN(Articles!$C$1)-COLUMN(Articles!$A$1)+1,FALSE)</f>
        <v>#N/A</v>
      </c>
      <c r="D38" s="4" t="s">
        <v>197</v>
      </c>
      <c r="E38" s="4">
        <v>19</v>
      </c>
      <c r="F38" s="34" t="e">
        <f>VLOOKUP(Table1411[[#This Row],[Man. Number]],Articles!A:F,COLUMN(Articles!$F$1)-COLUMN(Articles!$A$1)+1,FALSE)</f>
        <v>#N/A</v>
      </c>
      <c r="G38" s="34" t="e">
        <f>IF(Table1411[[#This Row],[In stock]] &gt;= Table1411[[#This Row],[Quantity]],"YES","NO")</f>
        <v>#N/A</v>
      </c>
      <c r="H38" s="34" t="e">
        <f>VLOOKUP(Table1411[[#This Row],[Man. Number]],Articles!A:J,COLUMN(Articles!$J$1)-COLUMN(Articles!$A$1)+1,FALSE)*Table1411[[#This Row],[Quantity]]</f>
        <v>#N/A</v>
      </c>
      <c r="I38" s="34">
        <f>Table1411[[#This Row],[Quantity]]*$M$1</f>
        <v>19</v>
      </c>
      <c r="J38" s="34" t="e">
        <f>IF(Table1411[[#This Row],[In stock]] &gt;= Table1411[[#This Row],[Total quantity]],"YES","NO")</f>
        <v>#N/A</v>
      </c>
    </row>
    <row r="39" spans="1:10" x14ac:dyDescent="0.25">
      <c r="A39" s="43" t="s">
        <v>184</v>
      </c>
      <c r="B39" s="34" t="e">
        <f>VLOOKUP(Table1411[[#This Row],[Man. Number]],Articles!A:F,COLUMN(Articles!$D$1)-COLUMN(Articles!$A$1)+1,FALSE)</f>
        <v>#N/A</v>
      </c>
      <c r="C39" s="34" t="e">
        <f>VLOOKUP(Table1411[[#This Row],[Man. Number]],Articles!A:F,COLUMN(Articles!$C$1)-COLUMN(Articles!$A$1)+1,FALSE)</f>
        <v>#N/A</v>
      </c>
      <c r="D39" s="4" t="s">
        <v>196</v>
      </c>
      <c r="E39" s="4">
        <v>4</v>
      </c>
      <c r="F39" s="34" t="e">
        <f>VLOOKUP(Table1411[[#This Row],[Man. Number]],Articles!A:F,COLUMN(Articles!$F$1)-COLUMN(Articles!$A$1)+1,FALSE)</f>
        <v>#N/A</v>
      </c>
      <c r="G39" s="34" t="e">
        <f>IF(Table1411[[#This Row],[In stock]] &gt;= Table1411[[#This Row],[Quantity]],"YES","NO")</f>
        <v>#N/A</v>
      </c>
      <c r="H39" s="34" t="e">
        <f>VLOOKUP(Table1411[[#This Row],[Man. Number]],Articles!A:J,COLUMN(Articles!$J$1)-COLUMN(Articles!$A$1)+1,FALSE)*Table1411[[#This Row],[Quantity]]</f>
        <v>#N/A</v>
      </c>
      <c r="I39" s="34">
        <f>Table1411[[#This Row],[Quantity]]*$M$1</f>
        <v>4</v>
      </c>
      <c r="J39" s="34" t="e">
        <f>IF(Table1411[[#This Row],[In stock]] &gt;= Table1411[[#This Row],[Total quantity]],"YES","NO")</f>
        <v>#N/A</v>
      </c>
    </row>
    <row r="40" spans="1:10" x14ac:dyDescent="0.25">
      <c r="A40" s="43" t="s">
        <v>187</v>
      </c>
      <c r="B40" s="34" t="e">
        <f>VLOOKUP(Table1411[[#This Row],[Man. Number]],Articles!A:F,COLUMN(Articles!$D$1)-COLUMN(Articles!$A$1)+1,FALSE)</f>
        <v>#N/A</v>
      </c>
      <c r="C40" s="34" t="e">
        <f>VLOOKUP(Table1411[[#This Row],[Man. Number]],Articles!A:F,COLUMN(Articles!$C$1)-COLUMN(Articles!$A$1)+1,FALSE)</f>
        <v>#N/A</v>
      </c>
      <c r="D40" s="4" t="s">
        <v>196</v>
      </c>
      <c r="E40" s="4">
        <v>4</v>
      </c>
      <c r="F40" s="34" t="e">
        <f>VLOOKUP(Table1411[[#This Row],[Man. Number]],Articles!A:F,COLUMN(Articles!$F$1)-COLUMN(Articles!$A$1)+1,FALSE)</f>
        <v>#N/A</v>
      </c>
      <c r="G40" s="34" t="e">
        <f>IF(Table1411[[#This Row],[In stock]] &gt;= Table1411[[#This Row],[Quantity]],"YES","NO")</f>
        <v>#N/A</v>
      </c>
      <c r="H40" s="34" t="e">
        <f>VLOOKUP(Table1411[[#This Row],[Man. Number]],Articles!A:J,COLUMN(Articles!$J$1)-COLUMN(Articles!$A$1)+1,FALSE)*Table1411[[#This Row],[Quantity]]</f>
        <v>#N/A</v>
      </c>
      <c r="I40" s="34">
        <f>Table1411[[#This Row],[Quantity]]*$M$1</f>
        <v>4</v>
      </c>
      <c r="J40" s="34" t="e">
        <f>IF(Table1411[[#This Row],[In stock]] &gt;= Table1411[[#This Row],[Total quantity]],"YES","NO")</f>
        <v>#N/A</v>
      </c>
    </row>
    <row r="41" spans="1:10" x14ac:dyDescent="0.25">
      <c r="A41" s="43" t="s">
        <v>186</v>
      </c>
      <c r="B41" s="34" t="e">
        <f>VLOOKUP(Table1411[[#This Row],[Man. Number]],Articles!A:F,COLUMN(Articles!$D$1)-COLUMN(Articles!$A$1)+1,FALSE)</f>
        <v>#N/A</v>
      </c>
      <c r="C41" s="34" t="e">
        <f>VLOOKUP(Table1411[[#This Row],[Man. Number]],Articles!A:F,COLUMN(Articles!$C$1)-COLUMN(Articles!$A$1)+1,FALSE)</f>
        <v>#N/A</v>
      </c>
      <c r="D41" s="4" t="s">
        <v>195</v>
      </c>
      <c r="E41" s="4">
        <v>1</v>
      </c>
      <c r="F41" s="34" t="e">
        <f>VLOOKUP(Table1411[[#This Row],[Man. Number]],Articles!A:F,COLUMN(Articles!$F$1)-COLUMN(Articles!$A$1)+1,FALSE)</f>
        <v>#N/A</v>
      </c>
      <c r="G41" s="34" t="e">
        <f>IF(Table1411[[#This Row],[In stock]] &gt;= Table1411[[#This Row],[Quantity]],"YES","NO")</f>
        <v>#N/A</v>
      </c>
      <c r="H41" s="34" t="e">
        <f>VLOOKUP(Table1411[[#This Row],[Man. Number]],Articles!A:J,COLUMN(Articles!$J$1)-COLUMN(Articles!$A$1)+1,FALSE)*Table1411[[#This Row],[Quantity]]</f>
        <v>#N/A</v>
      </c>
      <c r="I41" s="34">
        <f>Table1411[[#This Row],[Quantity]]*$M$1</f>
        <v>1</v>
      </c>
      <c r="J41" s="34" t="e">
        <f>IF(Table1411[[#This Row],[In stock]] &gt;= Table1411[[#This Row],[Total quantity]],"YES","NO")</f>
        <v>#N/A</v>
      </c>
    </row>
    <row r="42" spans="1:10" x14ac:dyDescent="0.25">
      <c r="A42" s="43" t="s">
        <v>189</v>
      </c>
      <c r="B42" s="34" t="e">
        <f>VLOOKUP(Table1411[[#This Row],[Man. Number]],Articles!A:F,COLUMN(Articles!$D$1)-COLUMN(Articles!$A$1)+1,FALSE)</f>
        <v>#N/A</v>
      </c>
      <c r="C42" s="34" t="e">
        <f>VLOOKUP(Table1411[[#This Row],[Man. Number]],Articles!A:F,COLUMN(Articles!$C$1)-COLUMN(Articles!$A$1)+1,FALSE)</f>
        <v>#N/A</v>
      </c>
      <c r="D42" s="4" t="s">
        <v>195</v>
      </c>
      <c r="E42" s="4">
        <v>1</v>
      </c>
      <c r="F42" s="34" t="e">
        <f>VLOOKUP(Table1411[[#This Row],[Man. Number]],Articles!A:F,COLUMN(Articles!$F$1)-COLUMN(Articles!$A$1)+1,FALSE)</f>
        <v>#N/A</v>
      </c>
      <c r="G42" s="34" t="e">
        <f>IF(Table1411[[#This Row],[In stock]] &gt;= Table1411[[#This Row],[Quantity]],"YES","NO")</f>
        <v>#N/A</v>
      </c>
      <c r="H42" s="34" t="e">
        <f>VLOOKUP(Table1411[[#This Row],[Man. Number]],Articles!A:J,COLUMN(Articles!$J$1)-COLUMN(Articles!$A$1)+1,FALSE)*Table1411[[#This Row],[Quantity]]</f>
        <v>#N/A</v>
      </c>
      <c r="I42" s="34">
        <f>Table1411[[#This Row],[Quantity]]*$M$1</f>
        <v>1</v>
      </c>
      <c r="J42" s="34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115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6" priority="5"/>
  </conditionalFormatting>
  <conditionalFormatting sqref="G1:H1048576 J1:J1048576">
    <cfRule type="containsText" dxfId="15" priority="6" operator="containsText" text="NO">
      <formula>NOT(ISERROR(SEARCH("NO",G1)))</formula>
    </cfRule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212</v>
      </c>
      <c r="I1" s="6" t="s">
        <v>45</v>
      </c>
      <c r="J1" s="6" t="s">
        <v>51</v>
      </c>
      <c r="L1" s="8" t="s">
        <v>44</v>
      </c>
      <c r="M1" s="4">
        <v>1</v>
      </c>
      <c r="N1" t="s">
        <v>240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109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115</v>
      </c>
      <c r="G41" s="4"/>
      <c r="H41" s="34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2" priority="3"/>
  </conditionalFormatting>
  <conditionalFormatting sqref="G1:H1048576 J1:J1048576">
    <cfRule type="containsText" dxfId="11" priority="4" operator="containsText" text="NO">
      <formula>NOT(ISERROR(SEARCH("NO",G1)))</formula>
    </cfRule>
  </conditionalFormatting>
  <conditionalFormatting sqref="N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25.7109375" style="34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7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212</v>
      </c>
      <c r="I1" s="6" t="s">
        <v>45</v>
      </c>
      <c r="J1" s="6" t="s">
        <v>51</v>
      </c>
      <c r="L1" s="8" t="s">
        <v>44</v>
      </c>
      <c r="M1" s="45">
        <v>1</v>
      </c>
      <c r="N1" t="s">
        <v>240</v>
      </c>
    </row>
    <row r="2" spans="1:14" x14ac:dyDescent="0.25">
      <c r="A2" s="34" t="s">
        <v>190</v>
      </c>
      <c r="B2" s="34" t="e">
        <f>VLOOKUP(Table146810[[#This Row],[Man. Number]],Articles!A:F,COLUMN(Articles!$D$1)-COLUMN(Articles!$A$1)+1,FALSE)</f>
        <v>#N/A</v>
      </c>
      <c r="C2" s="34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4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4">
        <f>Table146810[[#This Row],[Quantity]]*$M$1</f>
        <v>1</v>
      </c>
      <c r="J2" s="34" t="e">
        <f>IF(Table146810[[#This Row],[In stock]] &gt;= Table146810[[#This Row],[Total quantity]],"YES","NO")</f>
        <v>#N/A</v>
      </c>
    </row>
    <row r="3" spans="1:14" x14ac:dyDescent="0.25">
      <c r="A3" s="34" t="s">
        <v>156</v>
      </c>
      <c r="B3" s="34" t="e">
        <f>VLOOKUP(Table146810[[#This Row],[Man. Number]],Articles!A:F,COLUMN(Articles!$D$1)-COLUMN(Articles!$A$1)+1,FALSE)</f>
        <v>#N/A</v>
      </c>
      <c r="C3" s="34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4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4">
        <f>Table146810[[#This Row],[Quantity]]*$M$1</f>
        <v>1</v>
      </c>
      <c r="J3" s="34" t="e">
        <f>IF(Table146810[[#This Row],[In stock]] &gt;= Table146810[[#This Row],[Total quantity]],"YES","NO")</f>
        <v>#N/A</v>
      </c>
    </row>
    <row r="4" spans="1:14" x14ac:dyDescent="0.25">
      <c r="A4" s="34" t="s">
        <v>10</v>
      </c>
      <c r="B4" s="34" t="e">
        <f>VLOOKUP(Table146810[[#This Row],[Man. Number]],Articles!A:F,COLUMN(Articles!$D$1)-COLUMN(Articles!$A$1)+1,FALSE)</f>
        <v>#N/A</v>
      </c>
      <c r="C4" s="34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4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4">
        <f>Table146810[[#This Row],[Quantity]]*$M$1</f>
        <v>1</v>
      </c>
      <c r="J4" s="34" t="e">
        <f>IF(Table146810[[#This Row],[In stock]] &gt;= Table146810[[#This Row],[Total quantity]],"YES","NO")</f>
        <v>#N/A</v>
      </c>
    </row>
    <row r="5" spans="1:14" x14ac:dyDescent="0.25">
      <c r="A5" s="34" t="s">
        <v>19</v>
      </c>
      <c r="B5" s="34" t="e">
        <f>VLOOKUP(Table146810[[#This Row],[Man. Number]],Articles!A:F,COLUMN(Articles!$D$1)-COLUMN(Articles!$A$1)+1,FALSE)</f>
        <v>#N/A</v>
      </c>
      <c r="C5" s="34" t="e">
        <f>VLOOKUP(Table146810[[#This Row],[Man. Number]],Articles!A:F,COLUMN(Articles!$C$1)-COLUMN(Articles!$A$1)+1,FALSE)</f>
        <v>#N/A</v>
      </c>
      <c r="D5" s="4" t="s">
        <v>193</v>
      </c>
      <c r="E5" s="4">
        <v>3</v>
      </c>
      <c r="F5" s="4" t="e">
        <f>VLOOKUP(Table146810[[#This Row],[Man. Number]],Articles!A:F,COLUMN(Articles!$F$1)-COLUMN(Articles!$A$1)+1,FALSE)</f>
        <v>#N/A</v>
      </c>
      <c r="G5" s="34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4">
        <f>Table146810[[#This Row],[Quantity]]*$M$1</f>
        <v>3</v>
      </c>
      <c r="J5" s="34" t="e">
        <f>IF(Table146810[[#This Row],[In stock]] &gt;= Table146810[[#This Row],[Total quantity]],"YES","NO")</f>
        <v>#N/A</v>
      </c>
    </row>
    <row r="6" spans="1:14" x14ac:dyDescent="0.25">
      <c r="A6" s="34" t="s">
        <v>155</v>
      </c>
      <c r="B6" s="34" t="e">
        <f>VLOOKUP(Table146810[[#This Row],[Man. Number]],Articles!A:F,COLUMN(Articles!$D$1)-COLUMN(Articles!$A$1)+1,FALSE)</f>
        <v>#N/A</v>
      </c>
      <c r="C6" s="34" t="e">
        <f>VLOOKUP(Table146810[[#This Row],[Man. Number]],Articles!A:F,COLUMN(Articles!$C$1)-COLUMN(Articles!$A$1)+1,FALSE)</f>
        <v>#N/A</v>
      </c>
      <c r="D6" s="4" t="s">
        <v>151</v>
      </c>
      <c r="E6" s="4">
        <v>2</v>
      </c>
      <c r="F6" s="4" t="e">
        <f>VLOOKUP(Table146810[[#This Row],[Man. Number]],Articles!A:F,COLUMN(Articles!$F$1)-COLUMN(Articles!$A$1)+1,FALSE)</f>
        <v>#N/A</v>
      </c>
      <c r="G6" s="34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4">
        <f>Table146810[[#This Row],[Quantity]]*$M$1</f>
        <v>2</v>
      </c>
      <c r="J6" s="34" t="e">
        <f>IF(Table146810[[#This Row],[In stock]] &gt;= Table146810[[#This Row],[Total quantity]],"YES","NO")</f>
        <v>#N/A</v>
      </c>
    </row>
    <row r="7" spans="1:14" x14ac:dyDescent="0.25">
      <c r="A7" s="34" t="s">
        <v>153</v>
      </c>
      <c r="B7" s="34" t="e">
        <f>VLOOKUP(Table146810[[#This Row],[Man. Number]],Articles!A:F,COLUMN(Articles!$D$1)-COLUMN(Articles!$A$1)+1,FALSE)</f>
        <v>#N/A</v>
      </c>
      <c r="C7" s="34" t="e">
        <f>VLOOKUP(Table146810[[#This Row],[Man. Number]],Articles!A:F,COLUMN(Articles!$C$1)-COLUMN(Articles!$A$1)+1,FALSE)</f>
        <v>#N/A</v>
      </c>
      <c r="D7" s="4" t="s">
        <v>152</v>
      </c>
      <c r="E7" s="4">
        <v>1</v>
      </c>
      <c r="F7" s="4" t="e">
        <f>VLOOKUP(Table146810[[#This Row],[Man. Number]],Articles!A:F,COLUMN(Articles!$F$1)-COLUMN(Articles!$A$1)+1,FALSE)</f>
        <v>#N/A</v>
      </c>
      <c r="G7" s="34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4">
        <f>Table146810[[#This Row],[Quantity]]*$M$1</f>
        <v>1</v>
      </c>
      <c r="J7" s="34" t="e">
        <f>IF(Table146810[[#This Row],[In stock]] &gt;= Table146810[[#This Row],[Total quantity]],"YES","NO")</f>
        <v>#N/A</v>
      </c>
    </row>
    <row r="8" spans="1:14" x14ac:dyDescent="0.25">
      <c r="A8" s="34" t="s">
        <v>60</v>
      </c>
      <c r="B8" s="34" t="e">
        <f>VLOOKUP(Table146810[[#This Row],[Man. Number]],Articles!A:F,COLUMN(Articles!$D$1)-COLUMN(Articles!$A$1)+1,FALSE)</f>
        <v>#N/A</v>
      </c>
      <c r="C8" s="34" t="e">
        <f>VLOOKUP(Table146810[[#This Row],[Man. Number]],Articles!A:F,COLUMN(Articles!$C$1)-COLUMN(Articles!$A$1)+1,FALSE)</f>
        <v>#N/A</v>
      </c>
      <c r="D8" s="4" t="s">
        <v>147</v>
      </c>
      <c r="E8" s="4">
        <v>1</v>
      </c>
      <c r="F8" s="4" t="e">
        <f>VLOOKUP(Table146810[[#This Row],[Man. Number]],Articles!A:F,COLUMN(Articles!$F$1)-COLUMN(Articles!$A$1)+1,FALSE)</f>
        <v>#N/A</v>
      </c>
      <c r="G8" s="34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4">
        <f>Table146810[[#This Row],[Quantity]]*$M$1</f>
        <v>1</v>
      </c>
      <c r="J8" s="34" t="e">
        <f>IF(Table146810[[#This Row],[In stock]] &gt;= Table146810[[#This Row],[Total quantity]],"YES","NO")</f>
        <v>#N/A</v>
      </c>
    </row>
    <row r="9" spans="1:14" x14ac:dyDescent="0.25">
      <c r="A9" s="34" t="s">
        <v>154</v>
      </c>
      <c r="B9" s="34" t="e">
        <f>VLOOKUP(Table146810[[#This Row],[Man. Number]],Articles!A:F,COLUMN(Articles!$D$1)-COLUMN(Articles!$A$1)+1,FALSE)</f>
        <v>#N/A</v>
      </c>
      <c r="C9" s="34" t="e">
        <f>VLOOKUP(Table146810[[#This Row],[Man. Number]],Articles!A:F,COLUMN(Articles!$C$1)-COLUMN(Articles!$A$1)+1,FALSE)</f>
        <v>#N/A</v>
      </c>
      <c r="D9" s="4" t="s">
        <v>147</v>
      </c>
      <c r="E9" s="4">
        <v>0</v>
      </c>
      <c r="F9" s="4" t="e">
        <f>VLOOKUP(Table146810[[#This Row],[Man. Number]],Articles!A:F,COLUMN(Articles!$F$1)-COLUMN(Articles!$A$1)+1,FALSE)</f>
        <v>#N/A</v>
      </c>
      <c r="G9" s="34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4">
        <f>Table146810[[#This Row],[Quantity]]*$M$1</f>
        <v>0</v>
      </c>
      <c r="J9" s="34" t="e">
        <f>IF(Table146810[[#This Row],[In stock]] &gt;= Table146810[[#This Row],[Total quantity]],"YES","NO")</f>
        <v>#N/A</v>
      </c>
    </row>
    <row r="10" spans="1:14" x14ac:dyDescent="0.25">
      <c r="A10" s="34" t="s">
        <v>130</v>
      </c>
      <c r="B10" s="34" t="e">
        <f>VLOOKUP(Table146810[[#This Row],[Man. Number]],Articles!A:F,COLUMN(Articles!$D$1)-COLUMN(Articles!$A$1)+1,FALSE)</f>
        <v>#N/A</v>
      </c>
      <c r="C10" s="34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4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4">
        <f>Table146810[[#This Row],[Quantity]]*$M$1</f>
        <v>1</v>
      </c>
      <c r="J10" s="34" t="e">
        <f>IF(Table146810[[#This Row],[In stock]] &gt;= Table146810[[#This Row],[Total quantity]],"YES","NO")</f>
        <v>#N/A</v>
      </c>
    </row>
    <row r="11" spans="1:14" x14ac:dyDescent="0.25">
      <c r="A11" s="34" t="s">
        <v>41</v>
      </c>
      <c r="B11" s="34" t="e">
        <f>VLOOKUP(Table146810[[#This Row],[Man. Number]],Articles!A:F,COLUMN(Articles!$D$1)-COLUMN(Articles!$A$1)+1,FALSE)</f>
        <v>#N/A</v>
      </c>
      <c r="C11" s="34" t="e">
        <f>VLOOKUP(Table146810[[#This Row],[Man. Number]],Articles!A:F,COLUMN(Articles!$C$1)-COLUMN(Articles!$A$1)+1,FALSE)</f>
        <v>#N/A</v>
      </c>
      <c r="D11" s="4" t="s">
        <v>148</v>
      </c>
      <c r="E11" s="4">
        <v>1</v>
      </c>
      <c r="F11" s="4" t="e">
        <f>VLOOKUP(Table146810[[#This Row],[Man. Number]],Articles!A:F,COLUMN(Articles!$F$1)-COLUMN(Articles!$A$1)+1,FALSE)</f>
        <v>#N/A</v>
      </c>
      <c r="G11" s="34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4">
        <f>Table146810[[#This Row],[Quantity]]*$M$1</f>
        <v>1</v>
      </c>
      <c r="J11" s="34" t="e">
        <f>IF(Table146810[[#This Row],[In stock]] &gt;= Table146810[[#This Row],[Total quantity]],"YES","NO")</f>
        <v>#N/A</v>
      </c>
    </row>
    <row r="12" spans="1:14" x14ac:dyDescent="0.25">
      <c r="A12" s="34" t="s">
        <v>159</v>
      </c>
      <c r="B12" s="34" t="e">
        <f>VLOOKUP(Table146810[[#This Row],[Man. Number]],Articles!A:F,COLUMN(Articles!$D$1)-COLUMN(Articles!$A$1)+1,FALSE)</f>
        <v>#N/A</v>
      </c>
      <c r="C12" s="34" t="e">
        <f>VLOOKUP(Table146810[[#This Row],[Man. Number]],Articles!A:F,COLUMN(Articles!$C$1)-COLUMN(Articles!$A$1)+1,FALSE)</f>
        <v>#N/A</v>
      </c>
      <c r="D12" s="4" t="s">
        <v>182</v>
      </c>
      <c r="E12" s="4">
        <f>8/40</f>
        <v>0.2</v>
      </c>
      <c r="F12" s="34" t="e">
        <f>VLOOKUP(Table146810[[#This Row],[Man. Number]],Articles!A:F,COLUMN(Articles!$F$1)-COLUMN(Articles!$A$1)+1,FALSE)</f>
        <v>#N/A</v>
      </c>
      <c r="G12" s="34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4">
        <f>Table146810[[#This Row],[Quantity]]*$M$1</f>
        <v>0.2</v>
      </c>
      <c r="J12" s="34" t="e">
        <f>IF(Table146810[[#This Row],[In stock]] &gt;= Table146810[[#This Row],[Total quantity]],"YES","NO")</f>
        <v>#N/A</v>
      </c>
    </row>
    <row r="13" spans="1:14" x14ac:dyDescent="0.25">
      <c r="A13" s="34" t="s">
        <v>58</v>
      </c>
      <c r="B13" s="34" t="e">
        <f>VLOOKUP(Table146810[[#This Row],[Man. Number]],Articles!A:F,COLUMN(Articles!$D$1)-COLUMN(Articles!$A$1)+1,FALSE)</f>
        <v>#N/A</v>
      </c>
      <c r="C13" s="34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4" t="e">
        <f>VLOOKUP(Table146810[[#This Row],[Man. Number]],Articles!A:F,COLUMN(Articles!$F$1)-COLUMN(Articles!$A$1)+1,FALSE)</f>
        <v>#N/A</v>
      </c>
      <c r="G13" s="34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4">
        <f>Table146810[[#This Row],[Quantity]]*$M$1</f>
        <v>1</v>
      </c>
      <c r="J13" s="34" t="e">
        <f>IF(Table146810[[#This Row],[In stock]] &gt;= Table146810[[#This Row],[Total quantity]],"YES","NO")</f>
        <v>#N/A</v>
      </c>
    </row>
    <row r="14" spans="1:14" x14ac:dyDescent="0.25">
      <c r="A14" s="34" t="s">
        <v>39</v>
      </c>
      <c r="B14" s="34" t="e">
        <f>VLOOKUP(Table146810[[#This Row],[Man. Number]],Articles!A:F,COLUMN(Articles!$D$1)-COLUMN(Articles!$A$1)+1,FALSE)</f>
        <v>#N/A</v>
      </c>
      <c r="C14" s="34" t="e">
        <f>VLOOKUP(Table146810[[#This Row],[Man. Number]],Articles!A:F,COLUMN(Articles!$C$1)-COLUMN(Articles!$A$1)+1,FALSE)</f>
        <v>#N/A</v>
      </c>
      <c r="D14" s="4" t="s">
        <v>161</v>
      </c>
      <c r="E14" s="4">
        <v>1</v>
      </c>
      <c r="F14" s="34" t="e">
        <f>VLOOKUP(Table146810[[#This Row],[Man. Number]],Articles!A:F,COLUMN(Articles!$F$1)-COLUMN(Articles!$A$1)+1,FALSE)</f>
        <v>#N/A</v>
      </c>
      <c r="G14" s="34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4">
        <f>Table146810[[#This Row],[Quantity]]*$M$1</f>
        <v>1</v>
      </c>
      <c r="J14" s="34" t="e">
        <f>IF(Table146810[[#This Row],[In stock]] &gt;= Table146810[[#This Row],[Total quantity]],"YES","NO")</f>
        <v>#N/A</v>
      </c>
    </row>
    <row r="15" spans="1:14" x14ac:dyDescent="0.25">
      <c r="A15" s="34" t="s">
        <v>178</v>
      </c>
      <c r="B15" s="34" t="e">
        <f>VLOOKUP(Table146810[[#This Row],[Man. Number]],Articles!A:F,COLUMN(Articles!$D$1)-COLUMN(Articles!$A$1)+1,FALSE)</f>
        <v>#N/A</v>
      </c>
      <c r="C15" s="34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4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4">
        <f>Table146810[[#This Row],[Quantity]]*$M$1</f>
        <v>1</v>
      </c>
      <c r="J15" s="34" t="e">
        <f>IF(Table146810[[#This Row],[In stock]] &gt;= Table146810[[#This Row],[Total quantity]],"YES","NO")</f>
        <v>#N/A</v>
      </c>
    </row>
    <row r="16" spans="1:14" x14ac:dyDescent="0.25">
      <c r="A16" s="34" t="s">
        <v>175</v>
      </c>
      <c r="B16" s="34" t="e">
        <f>VLOOKUP(Table146810[[#This Row],[Man. Number]],Articles!A:F,COLUMN(Articles!$D$1)-COLUMN(Articles!$A$1)+1,FALSE)</f>
        <v>#N/A</v>
      </c>
      <c r="C16" s="34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4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4">
        <f>Table146810[[#This Row],[Quantity]]*$M$1</f>
        <v>1</v>
      </c>
      <c r="J16" s="34" t="e">
        <f>IF(Table146810[[#This Row],[In stock]] &gt;= Table146810[[#This Row],[Total quantity]],"YES","NO")</f>
        <v>#N/A</v>
      </c>
    </row>
    <row r="17" spans="1:10" x14ac:dyDescent="0.25">
      <c r="A17" s="34" t="s">
        <v>177</v>
      </c>
      <c r="B17" s="34" t="e">
        <f>VLOOKUP(Table146810[[#This Row],[Man. Number]],Articles!A:F,COLUMN(Articles!$D$1)-COLUMN(Articles!$A$1)+1,FALSE)</f>
        <v>#N/A</v>
      </c>
      <c r="C17" s="34" t="e">
        <f>VLOOKUP(Table146810[[#This Row],[Man. Number]],Articles!A:F,COLUMN(Articles!$C$1)-COLUMN(Articles!$A$1)+1,FALSE)</f>
        <v>#N/A</v>
      </c>
      <c r="D17" s="4" t="s">
        <v>163</v>
      </c>
      <c r="E17" s="4">
        <v>3</v>
      </c>
      <c r="F17" s="4" t="e">
        <f>VLOOKUP(Table146810[[#This Row],[Man. Number]],Articles!A:F,COLUMN(Articles!$F$1)-COLUMN(Articles!$A$1)+1,FALSE)</f>
        <v>#N/A</v>
      </c>
      <c r="G17" s="34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4">
        <f>Table146810[[#This Row],[Quantity]]*$M$1</f>
        <v>3</v>
      </c>
      <c r="J17" s="34" t="e">
        <f>IF(Table146810[[#This Row],[In stock]] &gt;= Table146810[[#This Row],[Total quantity]],"YES","NO")</f>
        <v>#N/A</v>
      </c>
    </row>
    <row r="18" spans="1:10" x14ac:dyDescent="0.25">
      <c r="A18" s="34" t="s">
        <v>170</v>
      </c>
      <c r="B18" s="34" t="e">
        <f>VLOOKUP(Table146810[[#This Row],[Man. Number]],Articles!A:F,COLUMN(Articles!$D$1)-COLUMN(Articles!$A$1)+1,FALSE)</f>
        <v>#N/A</v>
      </c>
      <c r="C18" s="34" t="e">
        <f>VLOOKUP(Table146810[[#This Row],[Man. Number]],Articles!A:F,COLUMN(Articles!$C$1)-COLUMN(Articles!$A$1)+1,FALSE)</f>
        <v>#N/A</v>
      </c>
      <c r="D18" s="4" t="s">
        <v>150</v>
      </c>
      <c r="E18" s="4">
        <v>5</v>
      </c>
      <c r="F18" s="4" t="e">
        <f>VLOOKUP(Table146810[[#This Row],[Man. Number]],Articles!A:F,COLUMN(Articles!$F$1)-COLUMN(Articles!$A$1)+1,FALSE)</f>
        <v>#N/A</v>
      </c>
      <c r="G18" s="34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4">
        <f>Table146810[[#This Row],[Quantity]]*$M$1</f>
        <v>5</v>
      </c>
      <c r="J18" s="34" t="e">
        <f>IF(Table146810[[#This Row],[In stock]] &gt;= Table146810[[#This Row],[Total quantity]],"YES","NO")</f>
        <v>#N/A</v>
      </c>
    </row>
    <row r="19" spans="1:10" x14ac:dyDescent="0.25">
      <c r="A19" s="34" t="s">
        <v>176</v>
      </c>
      <c r="B19" s="34" t="e">
        <f>VLOOKUP(Table146810[[#This Row],[Man. Number]],Articles!A:F,COLUMN(Articles!$D$1)-COLUMN(Articles!$A$1)+1,FALSE)</f>
        <v>#N/A</v>
      </c>
      <c r="C19" s="34" t="e">
        <f>VLOOKUP(Table146810[[#This Row],[Man. Number]],Articles!A:F,COLUMN(Articles!$C$1)-COLUMN(Articles!$A$1)+1,FALSE)</f>
        <v>#N/A</v>
      </c>
      <c r="D19" s="4" t="s">
        <v>169</v>
      </c>
      <c r="E19" s="4">
        <v>1</v>
      </c>
      <c r="F19" s="34" t="e">
        <f>VLOOKUP(Table146810[[#This Row],[Man. Number]],Articles!A:F,COLUMN(Articles!$F$1)-COLUMN(Articles!$A$1)+1,FALSE)</f>
        <v>#N/A</v>
      </c>
      <c r="G19" s="34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4">
        <f>Table146810[[#This Row],[Quantity]]*$M$1</f>
        <v>1</v>
      </c>
      <c r="J19" s="34" t="e">
        <f>IF(Table146810[[#This Row],[In stock]] &gt;= Table146810[[#This Row],[Total quantity]],"YES","NO")</f>
        <v>#N/A</v>
      </c>
    </row>
    <row r="20" spans="1:10" x14ac:dyDescent="0.25">
      <c r="A20" s="34" t="s">
        <v>59</v>
      </c>
      <c r="B20" s="34" t="e">
        <f>VLOOKUP(Table146810[[#This Row],[Man. Number]],Articles!A:F,COLUMN(Articles!$D$1)-COLUMN(Articles!$A$1)+1,FALSE)</f>
        <v>#N/A</v>
      </c>
      <c r="C20" s="34" t="e">
        <f>VLOOKUP(Table146810[[#This Row],[Man. Number]],Articles!A:F,COLUMN(Articles!$C$1)-COLUMN(Articles!$A$1)+1,FALSE)</f>
        <v>#N/A</v>
      </c>
      <c r="D20" s="4" t="s">
        <v>160</v>
      </c>
      <c r="E20" s="4">
        <v>1</v>
      </c>
      <c r="F20" s="34" t="e">
        <f>VLOOKUP(Table146810[[#This Row],[Man. Number]],Articles!A:F,COLUMN(Articles!$F$1)-COLUMN(Articles!$A$1)+1,FALSE)</f>
        <v>#N/A</v>
      </c>
      <c r="G20" s="34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4">
        <f>Table146810[[#This Row],[Quantity]]*$M$1</f>
        <v>1</v>
      </c>
      <c r="J20" s="34" t="e">
        <f>IF(Table146810[[#This Row],[In stock]] &gt;= Table146810[[#This Row],[Total quantity]],"YES","NO")</f>
        <v>#N/A</v>
      </c>
    </row>
    <row r="21" spans="1:10" x14ac:dyDescent="0.25">
      <c r="A21" s="34" t="s">
        <v>128</v>
      </c>
      <c r="B21" s="34" t="e">
        <f>VLOOKUP(Table146810[[#This Row],[Man. Number]],Articles!A:F,COLUMN(Articles!$D$1)-COLUMN(Articles!$A$1)+1,FALSE)</f>
        <v>#N/A</v>
      </c>
      <c r="C21" s="34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4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4">
        <f>Table146810[[#This Row],[Quantity]]*$M$1</f>
        <v>1</v>
      </c>
      <c r="J21" s="34" t="e">
        <f>IF(Table146810[[#This Row],[In stock]] &gt;= Table146810[[#This Row],[Total quantity]],"YES","NO")</f>
        <v>#N/A</v>
      </c>
    </row>
    <row r="22" spans="1:10" x14ac:dyDescent="0.25">
      <c r="A22" s="34" t="s">
        <v>16</v>
      </c>
      <c r="B22" s="34" t="e">
        <f>VLOOKUP(Table146810[[#This Row],[Man. Number]],Articles!A:F,COLUMN(Articles!$D$1)-COLUMN(Articles!$A$1)+1,FALSE)</f>
        <v>#N/A</v>
      </c>
      <c r="C22" s="34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4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4">
        <f>Table146810[[#This Row],[Quantity]]*$M$1</f>
        <v>1</v>
      </c>
      <c r="J22" s="34" t="e">
        <f>IF(Table146810[[#This Row],[In stock]] &gt;= Table146810[[#This Row],[Total quantity]],"YES","NO")</f>
        <v>#N/A</v>
      </c>
    </row>
    <row r="23" spans="1:10" x14ac:dyDescent="0.25">
      <c r="A23" s="34" t="s">
        <v>126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4" t="s">
        <v>129</v>
      </c>
      <c r="B24" s="34" t="e">
        <f>VLOOKUP(Table146810[[#This Row],[Man. Number]],Articles!A:F,COLUMN(Articles!$D$1)-COLUMN(Articles!$A$1)+1,FALSE)</f>
        <v>#N/A</v>
      </c>
      <c r="C24" s="34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4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4">
        <f>Table146810[[#This Row],[Quantity]]*$M$1</f>
        <v>1</v>
      </c>
      <c r="J24" s="34" t="e">
        <f>IF(Table146810[[#This Row],[In stock]] &gt;= Table146810[[#This Row],[Total quantity]],"YES","NO")</f>
        <v>#N/A</v>
      </c>
    </row>
    <row r="25" spans="1:10" x14ac:dyDescent="0.25">
      <c r="A25" s="34" t="s">
        <v>36</v>
      </c>
      <c r="B25" s="34" t="e">
        <f>VLOOKUP(Table146810[[#This Row],[Man. Number]],Articles!A:F,COLUMN(Articles!$D$1)-COLUMN(Articles!$A$1)+1,FALSE)</f>
        <v>#N/A</v>
      </c>
      <c r="C25" s="34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4" t="e">
        <f>VLOOKUP(Table146810[[#This Row],[Man. Number]],Articles!A:F,COLUMN(Articles!$F$1)-COLUMN(Articles!$A$1)+1,FALSE)</f>
        <v>#N/A</v>
      </c>
      <c r="G25" s="34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4">
        <f>Table146810[[#This Row],[Quantity]]*$M$1</f>
        <v>1</v>
      </c>
      <c r="J25" s="34" t="e">
        <f>IF(Table146810[[#This Row],[In stock]] &gt;= Table146810[[#This Row],[Total quantity]],"YES","NO")</f>
        <v>#N/A</v>
      </c>
    </row>
    <row r="26" spans="1:10" x14ac:dyDescent="0.25">
      <c r="A26" s="34" t="s">
        <v>127</v>
      </c>
      <c r="B26" s="34" t="e">
        <f>VLOOKUP(Table146810[[#This Row],[Man. Number]],Articles!A:F,COLUMN(Articles!$D$1)-COLUMN(Articles!$A$1)+1,FALSE)</f>
        <v>#N/A</v>
      </c>
      <c r="C26" s="34" t="e">
        <f>VLOOKUP(Table146810[[#This Row],[Man. Number]],Articles!A:F,COLUMN(Articles!$C$1)-COLUMN(Articles!$A$1)+1,FALSE)</f>
        <v>#N/A</v>
      </c>
      <c r="D26" s="4" t="s">
        <v>149</v>
      </c>
      <c r="E26" s="4">
        <v>1</v>
      </c>
      <c r="F26" s="4" t="e">
        <f>VLOOKUP(Table146810[[#This Row],[Man. Number]],Articles!A:F,COLUMN(Articles!$F$1)-COLUMN(Articles!$A$1)+1,FALSE)</f>
        <v>#N/A</v>
      </c>
      <c r="G26" s="34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4">
        <f>Table146810[[#This Row],[Quantity]]*$M$1</f>
        <v>1</v>
      </c>
      <c r="J26" s="34" t="e">
        <f>IF(Table146810[[#This Row],[In stock]] &gt;= Table146810[[#This Row],[Total quantity]],"YES","NO")</f>
        <v>#N/A</v>
      </c>
    </row>
    <row r="27" spans="1:10" x14ac:dyDescent="0.25">
      <c r="A27" s="34" t="s">
        <v>115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8" priority="7" operator="containsText" text="NO">
      <formula>NOT(ISERROR(SEARCH("NO",G1)))</formula>
    </cfRule>
  </conditionalFormatting>
  <conditionalFormatting sqref="A1:A1048576">
    <cfRule type="duplicateValues" dxfId="7" priority="5"/>
  </conditionalFormatting>
  <conditionalFormatting sqref="N1">
    <cfRule type="cellIs" dxfId="6" priority="2" stopIfTrue="1" operator="equal">
      <formula>"Locked"</formula>
    </cfRule>
    <cfRule type="cellIs" dxfId="5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J11" sqref="J1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212</v>
      </c>
      <c r="I1" s="6" t="s">
        <v>45</v>
      </c>
      <c r="J1" s="6" t="s">
        <v>51</v>
      </c>
      <c r="L1" s="8" t="s">
        <v>44</v>
      </c>
      <c r="M1" s="4">
        <v>1</v>
      </c>
      <c r="N1" t="s">
        <v>211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115</v>
      </c>
      <c r="G3" s="4"/>
      <c r="H3" s="34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7"/>
  <sheetViews>
    <sheetView workbookViewId="0">
      <selection activeCell="B8" sqref="B8"/>
    </sheetView>
  </sheetViews>
  <sheetFormatPr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1" spans="1:3" x14ac:dyDescent="0.25">
      <c r="A1" t="s">
        <v>241</v>
      </c>
    </row>
    <row r="3" spans="1:3" s="33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 s="46">
        <v>100</v>
      </c>
      <c r="B7" t="s">
        <v>242</v>
      </c>
      <c r="C7" t="s">
        <v>241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D14" sqref="D14:D15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1" t="s">
        <v>98</v>
      </c>
      <c r="B2" s="61"/>
      <c r="C2" s="61"/>
      <c r="D2" s="61"/>
      <c r="F2" s="62" t="str">
        <f>IF(ISNUMBER(C5),"","Man. Number must be set")</f>
        <v/>
      </c>
      <c r="G2" s="62"/>
      <c r="H2" s="62"/>
    </row>
    <row r="4" spans="1:23" x14ac:dyDescent="0.25">
      <c r="A4" s="14" t="s">
        <v>37</v>
      </c>
      <c r="B4" s="14" t="s">
        <v>63</v>
      </c>
      <c r="C4" s="14" t="s">
        <v>166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110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168</v>
      </c>
      <c r="P11" s="42" t="s">
        <v>37</v>
      </c>
      <c r="Q11" s="42" t="s">
        <v>63</v>
      </c>
      <c r="R11" s="42" t="s">
        <v>0</v>
      </c>
      <c r="S11" s="42" t="s">
        <v>6</v>
      </c>
      <c r="T11" s="42" t="s">
        <v>4</v>
      </c>
      <c r="U11" s="42" t="s">
        <v>2</v>
      </c>
      <c r="V11" s="42" t="s">
        <v>7</v>
      </c>
      <c r="W11" s="42" t="s">
        <v>62</v>
      </c>
    </row>
    <row r="12" spans="1:23" x14ac:dyDescent="0.25">
      <c r="P12" s="42" t="s">
        <v>167</v>
      </c>
      <c r="Q12" s="42">
        <v>4</v>
      </c>
      <c r="R12" s="42">
        <v>3</v>
      </c>
      <c r="S12" s="42">
        <v>5</v>
      </c>
      <c r="T12" s="42" t="s">
        <v>32</v>
      </c>
      <c r="U12" s="42">
        <v>6</v>
      </c>
      <c r="V12" s="42">
        <v>9</v>
      </c>
      <c r="W12" s="42">
        <v>2</v>
      </c>
    </row>
    <row r="14" spans="1:23" x14ac:dyDescent="0.25">
      <c r="O14" s="13" t="s">
        <v>236</v>
      </c>
      <c r="P14" s="49" t="s">
        <v>37</v>
      </c>
      <c r="Q14" s="49" t="s">
        <v>63</v>
      </c>
      <c r="R14" s="49" t="s">
        <v>0</v>
      </c>
      <c r="S14" s="49" t="s">
        <v>6</v>
      </c>
      <c r="T14" s="49" t="s">
        <v>4</v>
      </c>
      <c r="U14" s="49" t="s">
        <v>2</v>
      </c>
      <c r="V14" s="49" t="s">
        <v>7</v>
      </c>
      <c r="W14" s="49" t="s">
        <v>62</v>
      </c>
    </row>
    <row r="15" spans="1:23" x14ac:dyDescent="0.25">
      <c r="P15" s="49" t="s">
        <v>167</v>
      </c>
      <c r="Q15" s="49">
        <v>4</v>
      </c>
      <c r="R15" s="49">
        <v>3</v>
      </c>
      <c r="S15" s="49">
        <v>5</v>
      </c>
      <c r="T15" s="49" t="s">
        <v>32</v>
      </c>
      <c r="U15" s="49">
        <v>6</v>
      </c>
      <c r="V15" s="49">
        <v>9</v>
      </c>
      <c r="W15" s="49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D34" sqref="D34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2020-10-21T19:18:06Z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