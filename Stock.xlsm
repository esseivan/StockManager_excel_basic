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Apps\StockManager_excel\"/>
    </mc:Choice>
  </mc:AlternateContent>
  <xr:revisionPtr revIDLastSave="0" documentId="13_ncr:1_{5067DC63-AC4F-488A-A725-4BD8C9D2B0F0}" xr6:coauthVersionLast="45" xr6:coauthVersionMax="45" xr10:uidLastSave="{00000000-0000-0000-0000-000000000000}"/>
  <bookViews>
    <workbookView xWindow="-120" yWindow="-120" windowWidth="29040" windowHeight="15840" firstSheet="2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state="hidden" r:id="rId5"/>
    <sheet name="LampeSolaire_v5" sheetId="20" state="hidden" r:id="rId6"/>
    <sheet name="LampeSolaire_v4" sheetId="3" state="hidden" r:id="rId7"/>
    <sheet name="USB_Tool_v4" sheetId="22" r:id="rId8"/>
    <sheet name="USB_Tool_v1" sheetId="16" state="hidden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6" hidden="1">LampeSolaire_v4!$A$1:$F$40</definedName>
    <definedName name="_xlnm._FilterDatabase" localSheetId="5" hidden="1">LampeSolaire_v5!$A$1:$F$44</definedName>
    <definedName name="_xlnm._FilterDatabase" localSheetId="4" hidden="1">LampeSolaire_v6!$A$1:$F$34</definedName>
    <definedName name="_xlnm._FilterDatabase" localSheetId="2" hidden="1">Order!$A$1:$L$3</definedName>
    <definedName name="_xlnm._FilterDatabase" localSheetId="9" hidden="1">ProductTemplate!$A$1:$F$2</definedName>
    <definedName name="_xlnm._FilterDatabase" localSheetId="8" hidden="1">USB_Tool_v1!$A$1:$F$26</definedName>
    <definedName name="_xlnm._FilterDatabase" localSheetId="7" hidden="1">USB_Tool_v4!$A$1:$F$30</definedName>
    <definedName name="RF_Transceiver" localSheetId="5">OrderAdder_work!#REF!</definedName>
    <definedName name="RF_Transceiver" localSheetId="4">OrderAdder_work!#REF!</definedName>
    <definedName name="RF_Transceiver" localSheetId="7">OrderAdder_work!#REF!</definedName>
    <definedName name="RF_Transceiver">OrderAdder_work!#REF!</definedName>
    <definedName name="RF_Transceiver2" localSheetId="4">OrderAdder_work!#REF!</definedName>
    <definedName name="RF_Transceiver2" localSheetId="7">OrderAdder_work!#REF!</definedName>
    <definedName name="RF_Transceiver2">OrderAdder_work!#REF!</definedName>
    <definedName name="zzzzzzzzzzz" localSheetId="5">OrderAdder_work!#REF!</definedName>
    <definedName name="zzzzzzzzzzz" localSheetId="4">OrderAdder_work!#REF!</definedName>
    <definedName name="zzzzzzzzzzz" localSheetId="9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5" l="1"/>
  <c r="J3" i="15"/>
  <c r="K2" i="15"/>
  <c r="J2" i="15"/>
  <c r="I2" i="19" l="1"/>
  <c r="J2" i="19"/>
  <c r="K2" i="19"/>
  <c r="AZ2" i="19" l="1"/>
  <c r="AV2" i="19"/>
  <c r="AU2" i="19"/>
  <c r="AR2" i="19"/>
  <c r="AQ2" i="19"/>
  <c r="AN2" i="19"/>
  <c r="AM2" i="19"/>
  <c r="AJ2" i="19"/>
  <c r="AI2" i="19"/>
  <c r="AF2" i="19"/>
  <c r="AE2" i="19"/>
  <c r="AA2" i="19"/>
  <c r="P2" i="19"/>
  <c r="X2" i="19"/>
  <c r="W2" i="19"/>
  <c r="T2" i="19"/>
  <c r="S2" i="19" s="1"/>
  <c r="O2" i="19" l="1"/>
  <c r="L2" i="19" s="1"/>
  <c r="BD2" i="19" l="1"/>
  <c r="BB2" i="19"/>
  <c r="L3" i="15" l="1"/>
  <c r="I2" i="22"/>
  <c r="I2" i="16"/>
  <c r="C23" i="16"/>
  <c r="C2" i="3"/>
  <c r="C32" i="3"/>
  <c r="C34" i="3"/>
  <c r="C36" i="3"/>
  <c r="C37" i="3"/>
  <c r="C2" i="20"/>
  <c r="C43" i="20"/>
  <c r="C30" i="3" l="1"/>
  <c r="C33" i="20"/>
  <c r="C37" i="20"/>
  <c r="C2" i="16"/>
  <c r="C11" i="16"/>
  <c r="C7" i="20"/>
  <c r="C34" i="20"/>
  <c r="C9" i="16"/>
  <c r="C21" i="3"/>
  <c r="C8" i="16"/>
  <c r="C13" i="16"/>
  <c r="C6" i="20"/>
  <c r="C30" i="20"/>
  <c r="C13" i="3"/>
  <c r="C7" i="16"/>
  <c r="C29" i="3"/>
  <c r="C22" i="20"/>
  <c r="C8" i="3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26" i="16"/>
  <c r="C18" i="16"/>
  <c r="C10" i="16"/>
  <c r="F2" i="22"/>
  <c r="G2" i="22" s="1"/>
  <c r="C19" i="20"/>
  <c r="C11" i="20"/>
  <c r="C3" i="20"/>
  <c r="C26" i="3"/>
  <c r="C18" i="3"/>
  <c r="C10" i="3"/>
  <c r="C25" i="16"/>
  <c r="C17" i="16"/>
  <c r="F2" i="16"/>
  <c r="G2" i="16" s="1"/>
  <c r="C2" i="22"/>
  <c r="C29" i="20"/>
  <c r="C27" i="20"/>
  <c r="C26" i="20"/>
  <c r="C18" i="20"/>
  <c r="C10" i="20"/>
  <c r="C33" i="3"/>
  <c r="C25" i="3"/>
  <c r="C17" i="3"/>
  <c r="C9" i="3"/>
  <c r="C24" i="16"/>
  <c r="C16" i="16"/>
  <c r="B2" i="22"/>
  <c r="C42" i="20"/>
  <c r="C25" i="20"/>
  <c r="C17" i="20"/>
  <c r="C9" i="20"/>
  <c r="C40" i="3"/>
  <c r="C24" i="3"/>
  <c r="C16" i="3"/>
  <c r="C15" i="16"/>
  <c r="B2" i="16"/>
  <c r="C35" i="20"/>
  <c r="C41" i="20"/>
  <c r="C40" i="20"/>
  <c r="C24" i="20"/>
  <c r="C16" i="20"/>
  <c r="C39" i="3"/>
  <c r="C23" i="3"/>
  <c r="C15" i="3"/>
  <c r="C22" i="16"/>
  <c r="C14" i="16"/>
  <c r="C32" i="20"/>
  <c r="C39" i="20"/>
  <c r="C31" i="20"/>
  <c r="C23" i="20"/>
  <c r="C15" i="20"/>
  <c r="C38" i="3"/>
  <c r="C22" i="3"/>
  <c r="C14" i="3"/>
  <c r="C21" i="16"/>
  <c r="H2" i="22"/>
  <c r="J2" i="22" l="1"/>
  <c r="J2" i="16"/>
  <c r="C2" i="14" l="1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27" i="22"/>
  <c r="C21" i="22"/>
  <c r="C3" i="22"/>
  <c r="C10" i="22"/>
  <c r="C25" i="22"/>
  <c r="C9" i="22"/>
  <c r="C4" i="22"/>
  <c r="C17" i="22"/>
  <c r="C22" i="22"/>
  <c r="C19" i="22"/>
  <c r="C18" i="22"/>
  <c r="C20" i="22"/>
  <c r="C15" i="22"/>
  <c r="C6" i="22"/>
  <c r="C7" i="22"/>
  <c r="C11" i="22"/>
  <c r="C12" i="22"/>
  <c r="C14" i="22"/>
  <c r="C5" i="22"/>
  <c r="C23" i="22"/>
  <c r="C13" i="22"/>
  <c r="C8" i="22"/>
  <c r="C24" i="22"/>
  <c r="C30" i="22"/>
  <c r="C16" i="22"/>
  <c r="C29" i="22"/>
  <c r="C26" i="22"/>
  <c r="C28" i="22"/>
  <c r="E33" i="21" l="1"/>
  <c r="E28" i="22" l="1"/>
  <c r="B23" i="22" l="1"/>
  <c r="F23" i="22"/>
  <c r="G23" i="22" s="1"/>
  <c r="I23" i="22"/>
  <c r="B8" i="22"/>
  <c r="F8" i="22"/>
  <c r="G8" i="22" s="1"/>
  <c r="I8" i="22"/>
  <c r="B13" i="22"/>
  <c r="F13" i="22"/>
  <c r="G13" i="22" s="1"/>
  <c r="I13" i="22"/>
  <c r="B5" i="22"/>
  <c r="F5" i="22"/>
  <c r="G5" i="22" s="1"/>
  <c r="I5" i="22"/>
  <c r="B14" i="22"/>
  <c r="F14" i="22"/>
  <c r="G14" i="22" s="1"/>
  <c r="I14" i="22"/>
  <c r="B20" i="22"/>
  <c r="F20" i="22"/>
  <c r="G20" i="22" s="1"/>
  <c r="I20" i="22"/>
  <c r="B12" i="21"/>
  <c r="F12" i="21"/>
  <c r="G12" i="21" s="1"/>
  <c r="I12" i="21"/>
  <c r="J23" i="22" l="1"/>
  <c r="J8" i="22"/>
  <c r="J13" i="22"/>
  <c r="J5" i="22"/>
  <c r="J14" i="22"/>
  <c r="J20" i="22"/>
  <c r="J12" i="21"/>
  <c r="I28" i="22" l="1"/>
  <c r="B28" i="22"/>
  <c r="F28" i="22"/>
  <c r="B15" i="22"/>
  <c r="F15" i="22"/>
  <c r="G15" i="22" s="1"/>
  <c r="I15" i="22"/>
  <c r="B12" i="22"/>
  <c r="F12" i="22"/>
  <c r="G12" i="22" s="1"/>
  <c r="I12" i="22"/>
  <c r="H15" i="22"/>
  <c r="G28" i="22" l="1"/>
  <c r="J28" i="22"/>
  <c r="J15" i="22"/>
  <c r="J12" i="22"/>
  <c r="B15" i="21"/>
  <c r="B14" i="21"/>
  <c r="F14" i="21"/>
  <c r="G14" i="21" s="1"/>
  <c r="I14" i="21"/>
  <c r="J14" i="21" l="1"/>
  <c r="B5" i="21" l="1"/>
  <c r="F5" i="21"/>
  <c r="G5" i="21" s="1"/>
  <c r="I5" i="21"/>
  <c r="H5" i="21" l="1"/>
  <c r="J5" i="21"/>
  <c r="B21" i="22"/>
  <c r="F21" i="22"/>
  <c r="G21" i="22" s="1"/>
  <c r="I21" i="22"/>
  <c r="B27" i="22"/>
  <c r="F27" i="22"/>
  <c r="G27" i="22" s="1"/>
  <c r="I27" i="22"/>
  <c r="I26" i="22"/>
  <c r="F26" i="22"/>
  <c r="G26" i="22" s="1"/>
  <c r="B26" i="22"/>
  <c r="I29" i="22"/>
  <c r="F29" i="22"/>
  <c r="B29" i="22"/>
  <c r="I16" i="22"/>
  <c r="F16" i="22"/>
  <c r="G16" i="22" s="1"/>
  <c r="B16" i="22"/>
  <c r="I30" i="22"/>
  <c r="F30" i="22"/>
  <c r="G30" i="22" s="1"/>
  <c r="B30" i="22"/>
  <c r="I24" i="22"/>
  <c r="F24" i="22"/>
  <c r="G24" i="22" s="1"/>
  <c r="B24" i="22"/>
  <c r="I11" i="22"/>
  <c r="F11" i="22"/>
  <c r="B11" i="22"/>
  <c r="I7" i="22"/>
  <c r="F7" i="22"/>
  <c r="G7" i="22" s="1"/>
  <c r="B7" i="22"/>
  <c r="I6" i="22"/>
  <c r="F6" i="22"/>
  <c r="B6" i="22"/>
  <c r="I18" i="22"/>
  <c r="F18" i="22"/>
  <c r="G18" i="22" s="1"/>
  <c r="B18" i="22"/>
  <c r="I19" i="22"/>
  <c r="F19" i="22"/>
  <c r="G19" i="22" s="1"/>
  <c r="B19" i="22"/>
  <c r="I22" i="22"/>
  <c r="F22" i="22"/>
  <c r="B22" i="22"/>
  <c r="I17" i="22"/>
  <c r="F17" i="22"/>
  <c r="B17" i="22"/>
  <c r="I9" i="22"/>
  <c r="F9" i="22"/>
  <c r="G9" i="22" s="1"/>
  <c r="B9" i="22"/>
  <c r="I4" i="22"/>
  <c r="F4" i="22"/>
  <c r="B4" i="22"/>
  <c r="I25" i="22"/>
  <c r="F25" i="22"/>
  <c r="G25" i="22" s="1"/>
  <c r="B25" i="22"/>
  <c r="I10" i="22"/>
  <c r="F10" i="22"/>
  <c r="G10" i="22" s="1"/>
  <c r="B10" i="22"/>
  <c r="I3" i="22"/>
  <c r="F3" i="22"/>
  <c r="B3" i="22"/>
  <c r="H21" i="22"/>
  <c r="H27" i="22"/>
  <c r="H10" i="22" l="1"/>
  <c r="J4" i="22"/>
  <c r="J22" i="22"/>
  <c r="J29" i="22"/>
  <c r="J11" i="22"/>
  <c r="J25" i="22"/>
  <c r="J21" i="22"/>
  <c r="J27" i="22"/>
  <c r="G4" i="22"/>
  <c r="J9" i="22"/>
  <c r="J18" i="22"/>
  <c r="J3" i="22"/>
  <c r="J17" i="22"/>
  <c r="G17" i="22"/>
  <c r="J6" i="22"/>
  <c r="J19" i="22"/>
  <c r="J16" i="22"/>
  <c r="J10" i="22"/>
  <c r="J30" i="22"/>
  <c r="G6" i="22"/>
  <c r="G11" i="22"/>
  <c r="G29" i="22"/>
  <c r="J7" i="22"/>
  <c r="J24" i="22"/>
  <c r="J26" i="22"/>
  <c r="G3" i="22"/>
  <c r="G22" i="22"/>
  <c r="E31" i="21"/>
  <c r="B30" i="21" l="1"/>
  <c r="F30" i="21"/>
  <c r="G30" i="21" s="1"/>
  <c r="I30" i="21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H30" i="21" l="1"/>
  <c r="H2" i="14"/>
  <c r="H3" i="14" s="1"/>
  <c r="E33" i="20" l="1"/>
  <c r="B2" i="20"/>
  <c r="B12" i="20"/>
  <c r="F12" i="20"/>
  <c r="G12" i="20" s="1"/>
  <c r="I12" i="20"/>
  <c r="B10" i="20"/>
  <c r="F10" i="20"/>
  <c r="G10" i="20" s="1"/>
  <c r="I10" i="20"/>
  <c r="L2" i="15" l="1"/>
  <c r="J12" i="20"/>
  <c r="J10" i="20"/>
  <c r="H12" i="20" l="1"/>
  <c r="H10" i="20" l="1"/>
  <c r="H18" i="20" l="1"/>
  <c r="E37" i="20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H2" i="16" l="1"/>
  <c r="E12" i="16"/>
  <c r="I12" i="16" s="1"/>
  <c r="B12" i="16"/>
  <c r="F12" i="16"/>
  <c r="H8" i="22"/>
  <c r="H14" i="22"/>
  <c r="H13" i="22"/>
  <c r="H5" i="22"/>
  <c r="B19" i="16"/>
  <c r="F19" i="16"/>
  <c r="G19" i="16" s="1"/>
  <c r="I19" i="16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B25" i="16"/>
  <c r="F25" i="16"/>
  <c r="G25" i="16" s="1"/>
  <c r="I25" i="16"/>
  <c r="H23" i="22" l="1"/>
  <c r="H14" i="21"/>
  <c r="H12" i="22"/>
  <c r="H19" i="16"/>
  <c r="H11" i="22"/>
  <c r="H16" i="16"/>
  <c r="H7" i="22"/>
  <c r="H7" i="16"/>
  <c r="H6" i="16"/>
  <c r="H4" i="22"/>
  <c r="H18" i="16"/>
  <c r="H15" i="16"/>
  <c r="H6" i="22"/>
  <c r="H9" i="16"/>
  <c r="H9" i="22"/>
  <c r="H3" i="16"/>
  <c r="H3" i="22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J12" i="16"/>
  <c r="J19" i="16"/>
  <c r="J13" i="16"/>
  <c r="J14" i="16"/>
  <c r="J20" i="16"/>
  <c r="J25" i="16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B2" i="14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H36" i="3"/>
  <c r="H37" i="3"/>
  <c r="H34" i="3"/>
  <c r="H7" i="21"/>
  <c r="H6" i="21"/>
  <c r="H33" i="3"/>
  <c r="H3" i="21"/>
  <c r="H29" i="21"/>
  <c r="H28" i="3"/>
  <c r="H2" i="21"/>
  <c r="H35" i="3"/>
  <c r="H20" i="3"/>
  <c r="H39" i="3"/>
  <c r="H14" i="3"/>
  <c r="H15" i="3"/>
  <c r="H18" i="3"/>
  <c r="H38" i="3"/>
  <c r="H24" i="22"/>
  <c r="H17" i="3"/>
  <c r="H25" i="21" l="1"/>
  <c r="H22" i="21"/>
  <c r="H13" i="21"/>
  <c r="H9" i="21"/>
  <c r="H23" i="21"/>
  <c r="H21" i="21"/>
  <c r="H31" i="21"/>
  <c r="H34" i="21"/>
  <c r="H17" i="21"/>
  <c r="H4" i="21"/>
  <c r="H11" i="21"/>
  <c r="H24" i="21"/>
  <c r="H32" i="21"/>
  <c r="H28" i="22"/>
  <c r="H12" i="21"/>
  <c r="H20" i="22"/>
  <c r="H27" i="3"/>
  <c r="H16" i="3"/>
  <c r="H15" i="21"/>
  <c r="H26" i="16"/>
  <c r="H10" i="21"/>
  <c r="H19" i="22"/>
  <c r="H25" i="16"/>
  <c r="H12" i="16"/>
  <c r="H26" i="21"/>
  <c r="H16" i="22"/>
  <c r="H24" i="16"/>
  <c r="H26" i="22"/>
  <c r="H10" i="16"/>
  <c r="H17" i="22"/>
  <c r="H27" i="21"/>
  <c r="H30" i="22"/>
  <c r="H11" i="16"/>
  <c r="H22" i="22"/>
  <c r="H23" i="16"/>
  <c r="H29" i="22"/>
  <c r="H8" i="21"/>
  <c r="H25" i="22"/>
  <c r="H14" i="16"/>
  <c r="H18" i="22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8" i="16"/>
  <c r="H25" i="20"/>
  <c r="H22" i="3"/>
  <c r="H16" i="20"/>
  <c r="H13" i="3"/>
  <c r="H15" i="20"/>
  <c r="H13" i="16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9" i="3"/>
  <c r="H4" i="20"/>
  <c r="H4" i="3"/>
  <c r="H8" i="20"/>
  <c r="H5" i="16"/>
  <c r="H8" i="3"/>
  <c r="H2" i="20"/>
  <c r="H2" i="3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1" i="22" l="1"/>
  <c r="H35" i="21"/>
  <c r="H45" i="20"/>
  <c r="H41" i="3"/>
  <c r="H27" i="16"/>
  <c r="F32" i="3" l="1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4" i="15" l="1"/>
  <c r="F2" i="11" l="1"/>
  <c r="G13" i="3" l="1"/>
  <c r="I13" i="3"/>
  <c r="G20" i="3"/>
  <c r="I20" i="3"/>
  <c r="J13" i="3" l="1"/>
  <c r="J20" i="3"/>
  <c r="G9" i="3"/>
  <c r="I9" i="3"/>
  <c r="J9" i="3" l="1"/>
  <c r="G5" i="3"/>
  <c r="I5" i="3"/>
  <c r="G12" i="3"/>
  <c r="I12" i="3"/>
  <c r="J5" i="3" l="1"/>
  <c r="J12" i="3"/>
  <c r="I29" i="3" l="1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7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8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  <comment ref="D23" authorId="0" shapeId="0" xr:uid="{50D9D676-E87E-494B-A730-BF95B59AC132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2 x 3k3 utilisées a la place (pour i2c)</t>
        </r>
      </text>
    </comment>
  </commentList>
</comments>
</file>

<file path=xl/sharedStrings.xml><?xml version="1.0" encoding="utf-8"?>
<sst xmlns="http://schemas.openxmlformats.org/spreadsheetml/2006/main" count="570" uniqueCount="299">
  <si>
    <t>Man. Number</t>
  </si>
  <si>
    <t>Art. Number</t>
  </si>
  <si>
    <t>Description</t>
  </si>
  <si>
    <t>In stock</t>
  </si>
  <si>
    <t>Retailer</t>
  </si>
  <si>
    <t>Farnell</t>
  </si>
  <si>
    <t>Manufacturer</t>
  </si>
  <si>
    <t>Unit price</t>
  </si>
  <si>
    <t xml:space="preserve">SN74LV00AD </t>
  </si>
  <si>
    <t>MCGPR35V475M5X11</t>
  </si>
  <si>
    <t>MCGPR35V106M5X11</t>
  </si>
  <si>
    <t>MC000886</t>
  </si>
  <si>
    <t>MCP6001RT-I/OT</t>
  </si>
  <si>
    <t>VLMW712U2U3XV-GS08</t>
  </si>
  <si>
    <t>MCP73832T-2ACI/OT</t>
  </si>
  <si>
    <t>MCP121T-315E/TT</t>
  </si>
  <si>
    <t>NCP114ASN330T1G</t>
  </si>
  <si>
    <t>0853.1201</t>
  </si>
  <si>
    <t>703-0090</t>
  </si>
  <si>
    <t>VJ1206Y104KXXCW1BC</t>
  </si>
  <si>
    <t>3006P-1-100LF</t>
  </si>
  <si>
    <t>SI2333CDS-T1-GE3</t>
  </si>
  <si>
    <t>FDN337N</t>
  </si>
  <si>
    <t>T93XA104KT20</t>
  </si>
  <si>
    <t>MCWR08X1503FTL</t>
  </si>
  <si>
    <t>MCMR08X22R0FTL</t>
  </si>
  <si>
    <t>ERJ6RED1103V</t>
  </si>
  <si>
    <t>MCHP05W4F1004T5E</t>
  </si>
  <si>
    <t>MCWF08P1003FTL</t>
  </si>
  <si>
    <t>-</t>
  </si>
  <si>
    <t>AI-3035-TWT-3V-R</t>
  </si>
  <si>
    <t>PIC16LF1827-I/P</t>
  </si>
  <si>
    <t>Digikey</t>
  </si>
  <si>
    <t>Banggood</t>
  </si>
  <si>
    <t>0031.8201</t>
  </si>
  <si>
    <t>1-881545-1</t>
  </si>
  <si>
    <t>ULN2003ADRG3</t>
  </si>
  <si>
    <t>Quantity</t>
  </si>
  <si>
    <t>1462039-9</t>
  </si>
  <si>
    <t>150141M173100</t>
  </si>
  <si>
    <t>PIC16LF1827-I/SS</t>
  </si>
  <si>
    <t>10104110-0001LF</t>
  </si>
  <si>
    <t>PTS-25310-C</t>
  </si>
  <si>
    <t>Available</t>
  </si>
  <si>
    <t>Multiplier</t>
  </si>
  <si>
    <t>Total quantity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</si>
  <si>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</si>
  <si>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</si>
  <si>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</si>
  <si>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</si>
  <si>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</si>
  <si>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</si>
  <si>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</si>
  <si>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CRCW08054K70FKEAC</t>
  </si>
  <si>
    <t>Index</t>
  </si>
  <si>
    <t>Name</t>
  </si>
  <si>
    <t>SheetName</t>
  </si>
  <si>
    <t>150060VS75000</t>
  </si>
  <si>
    <t>TLMS1000-GS08</t>
  </si>
  <si>
    <t>SLB12814</t>
  </si>
  <si>
    <t>CL31B475KAHNNWE</t>
  </si>
  <si>
    <t>Unknown</t>
  </si>
  <si>
    <t>Starting row</t>
  </si>
  <si>
    <t>Art. number</t>
  </si>
  <si>
    <t>MFU1206FF00630P100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</si>
  <si>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</si>
  <si>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</si>
  <si>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</si>
  <si>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</si>
  <si>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</si>
  <si>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</si>
  <si>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</si>
  <si>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</si>
  <si>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</si>
  <si>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</si>
  <si>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</si>
  <si>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</si>
  <si>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</si>
  <si>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</si>
  <si>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</si>
  <si>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</si>
  <si>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</si>
  <si>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</si>
  <si>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</si>
  <si>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</si>
  <si>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</si>
  <si>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</si>
  <si>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</si>
  <si>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</si>
  <si>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</si>
  <si>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</si>
  <si>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</si>
  <si>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</si>
  <si>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E-PCB-001-000</t>
  </si>
  <si>
    <t>E-PCB-000-002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</si>
  <si>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</si>
  <si>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</si>
  <si>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</si>
  <si>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</si>
  <si>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</si>
  <si>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</si>
  <si>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</si>
  <si>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</si>
  <si>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E-PCB-000</t>
  </si>
  <si>
    <t>E-PCB-001</t>
  </si>
  <si>
    <t>E-PCB-002</t>
  </si>
  <si>
    <t>E-PCB-003</t>
  </si>
  <si>
    <t>E-PCB-004</t>
  </si>
  <si>
    <t>Min in stock</t>
  </si>
  <si>
    <t>E-PCB-005</t>
  </si>
  <si>
    <t>E-PCB-006</t>
  </si>
  <si>
    <t>E-PCB-007</t>
  </si>
  <si>
    <t>E-PCB-008</t>
  </si>
  <si>
    <t>E-PCB-009</t>
  </si>
  <si>
    <t>E-PCB-010</t>
  </si>
  <si>
    <t>929974-01-36-RK</t>
  </si>
  <si>
    <t>Dgikey Bom</t>
  </si>
  <si>
    <t>Article Number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</si>
  <si>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</si>
  <si>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</si>
  <si>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</si>
  <si>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</si>
  <si>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</si>
  <si>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</si>
  <si>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</si>
  <si>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</si>
  <si>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</si>
  <si>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Default Art. Number</t>
  </si>
  <si>
    <t>Default Unit price</t>
  </si>
  <si>
    <t>Auto Order</t>
  </si>
  <si>
    <t>Components</t>
  </si>
  <si>
    <t>Places</t>
  </si>
  <si>
    <t>MCP2210-I/SS</t>
  </si>
  <si>
    <t>DSC6003JI2A-012.0000T</t>
  </si>
  <si>
    <t>MRF89XAM8A-I/RM</t>
  </si>
  <si>
    <t>PIC18F46K40-I/PT</t>
  </si>
  <si>
    <t>0679H0500-01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</si>
  <si>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</si>
  <si>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</si>
  <si>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</si>
  <si>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</si>
  <si>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</si>
  <si>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</si>
  <si>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</si>
  <si>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</si>
  <si>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</si>
  <si>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</si>
  <si>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</si>
  <si>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</si>
  <si>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</si>
  <si>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Category</t>
  </si>
  <si>
    <t>Resistor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</si>
  <si>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</si>
  <si>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</si>
  <si>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</si>
  <si>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</si>
  <si>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</si>
  <si>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</si>
  <si>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</si>
  <si>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</si>
  <si>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</si>
  <si>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</si>
  <si>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</si>
  <si>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ESR10EZPJ273</t>
  </si>
  <si>
    <t>22284360</t>
  </si>
  <si>
    <t>61304011021</t>
  </si>
  <si>
    <t>SW1</t>
  </si>
  <si>
    <t>P2</t>
  </si>
  <si>
    <t>Rohm Semiconductor</t>
  </si>
  <si>
    <t>R2,R6,R7</t>
  </si>
  <si>
    <t>KTR10EZPJ102</t>
  </si>
  <si>
    <t>KTR10EZPJ106</t>
  </si>
  <si>
    <t>Ret. Number</t>
  </si>
  <si>
    <t>"0"</t>
  </si>
  <si>
    <t>Dgikey Table</t>
  </si>
  <si>
    <t>R8</t>
  </si>
  <si>
    <t>ESR03EZPJ102</t>
  </si>
  <si>
    <t>RHM1.00KADCT-ND</t>
  </si>
  <si>
    <t>ESR03EZPF1001</t>
  </si>
  <si>
    <t>RES SMD 1K OHM 1% 1/4W 0603</t>
  </si>
  <si>
    <t>ESR03EZPJ103</t>
  </si>
  <si>
    <t>ESR03EZPJ331</t>
  </si>
  <si>
    <t>ESR03EZPJ121</t>
  </si>
  <si>
    <t>ESR03EZPJ151</t>
  </si>
  <si>
    <t>ESR03EZPJ472</t>
  </si>
  <si>
    <t>ESR10EZPJ220</t>
  </si>
  <si>
    <t>ESR03EZPJ273</t>
  </si>
  <si>
    <t>ESR03EZPJ271</t>
  </si>
  <si>
    <t>ESR03EZPJ181</t>
  </si>
  <si>
    <t>ESR03EZPJ105</t>
  </si>
  <si>
    <t>ESR10EZPJ392</t>
  </si>
  <si>
    <t>ESR10EZPJ331</t>
  </si>
  <si>
    <t>ESR03EZPJ561</t>
  </si>
  <si>
    <t>ESR10EZPJ104</t>
  </si>
  <si>
    <t>J2</t>
  </si>
  <si>
    <t>SSHL-002T-P0.2</t>
  </si>
  <si>
    <t>BM02B-GHS-TBT(LF)(SN)(N)</t>
  </si>
  <si>
    <t>BM03B-GHS-TBT(LF)(SN)(N)</t>
  </si>
  <si>
    <t>BM08B-GHS-TBT(LF)(SN)(N)</t>
  </si>
  <si>
    <t>GHR-02V-S</t>
  </si>
  <si>
    <t>GHR-03V-S</t>
  </si>
  <si>
    <t>GHR-08V-S</t>
  </si>
  <si>
    <t>E-PCB-003-000</t>
  </si>
  <si>
    <t>Other - Name</t>
  </si>
  <si>
    <t>Bulk Add</t>
  </si>
  <si>
    <t>C3,C8,C9</t>
  </si>
  <si>
    <t>CL21B104KBFNNNG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</si>
  <si>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</si>
  <si>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</si>
  <si>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</si>
  <si>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</si>
  <si>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</si>
  <si>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</si>
  <si>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</si>
  <si>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</si>
  <si>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</si>
  <si>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</si>
  <si>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W2..6</t>
  </si>
  <si>
    <t>CRCW12065R10JNEAHP</t>
  </si>
  <si>
    <t>G6SU-2 DC3</t>
  </si>
  <si>
    <t>G6SU-2F DC3</t>
  </si>
  <si>
    <t>Ctrl + M</t>
  </si>
  <si>
    <t>Unlocked</t>
  </si>
  <si>
    <t>Unit Price</t>
  </si>
  <si>
    <t>QPC02SXGN-RC</t>
  </si>
  <si>
    <t>LD39200PU33R</t>
  </si>
  <si>
    <t>MCP9700AT-E/TT</t>
  </si>
  <si>
    <t>E-PCB-000-003</t>
  </si>
  <si>
    <t>R11,R13</t>
  </si>
  <si>
    <t>T3</t>
  </si>
  <si>
    <t>U7</t>
  </si>
  <si>
    <t>885012107010</t>
  </si>
  <si>
    <t>25521</t>
  </si>
  <si>
    <t>4689</t>
  </si>
  <si>
    <t>50M040070D008</t>
  </si>
  <si>
    <t>R3,R8,R9,R12</t>
  </si>
  <si>
    <t>R4,R5</t>
  </si>
  <si>
    <t>R7</t>
  </si>
  <si>
    <t>R10</t>
  </si>
  <si>
    <t>W3..5,X2</t>
  </si>
  <si>
    <t>150080BS75000</t>
  </si>
  <si>
    <t>MCP2221AT-I/ST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</si>
  <si>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</si>
  <si>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</si>
  <si>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</si>
  <si>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</si>
  <si>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</si>
  <si>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</si>
  <si>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</si>
  <si>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</si>
  <si>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</si>
  <si>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X9,X10,X12</t>
  </si>
  <si>
    <t>R5,R9..10,R12..13,R19..23</t>
  </si>
  <si>
    <t>0679H0250-01</t>
  </si>
  <si>
    <t>C1,C7,C9,C10</t>
  </si>
  <si>
    <t>C3..6,C8,C11,C12</t>
  </si>
  <si>
    <t>D200-XXXX</t>
  </si>
  <si>
    <t>D501-XXXX</t>
  </si>
  <si>
    <t>D600-XXXX</t>
  </si>
  <si>
    <t>D0XX-XXXX</t>
  </si>
  <si>
    <t>D1XX-XXXX</t>
  </si>
  <si>
    <t>PIC18LF46K40-I/PT</t>
  </si>
  <si>
    <t>E-PCB-003-001</t>
  </si>
  <si>
    <t>E-PCB-000-005</t>
  </si>
  <si>
    <t>ESR10EZPJ332</t>
  </si>
  <si>
    <t>Dgikey Table 2</t>
  </si>
  <si>
    <t>Bauhaus</t>
  </si>
  <si>
    <t>Obsolete</t>
  </si>
  <si>
    <t>Obsolete_Hidden</t>
  </si>
  <si>
    <t>Locked</t>
  </si>
  <si>
    <t>D300-XXXX</t>
  </si>
  <si>
    <t>Default Retailer</t>
  </si>
  <si>
    <t>Link - Digikey</t>
  </si>
  <si>
    <t>Link - Farnell</t>
  </si>
  <si>
    <t>Link - Distrelec</t>
  </si>
  <si>
    <t>Link - Conrad</t>
  </si>
  <si>
    <t>Link - Mouser</t>
  </si>
  <si>
    <t>Unit Price - Bauhaus</t>
  </si>
  <si>
    <t>Link - Bauhaus</t>
  </si>
  <si>
    <t>BricoEtLoisirs</t>
  </si>
  <si>
    <t>Link - BricoEtLoisirs</t>
  </si>
  <si>
    <t>Link - Banggood</t>
  </si>
  <si>
    <t>Link - Other</t>
  </si>
  <si>
    <t>Unit price - BricoEtLoisirs</t>
  </si>
  <si>
    <t>Default Link</t>
  </si>
  <si>
    <t>Destination - Digikey</t>
  </si>
  <si>
    <t>Destination - Farnell</t>
  </si>
  <si>
    <t>Destination - Distrelec</t>
  </si>
  <si>
    <t>Destination - Conrad</t>
  </si>
  <si>
    <t>Destination - Mouser</t>
  </si>
  <si>
    <t>Destination - Bauhaus</t>
  </si>
  <si>
    <t>Destination - BricoEtLoisirs</t>
  </si>
  <si>
    <t>Destination - Aliexpress</t>
  </si>
  <si>
    <t>Destination - Banggood</t>
  </si>
  <si>
    <t>Destination - Other</t>
  </si>
  <si>
    <t>Link - Aliexpress</t>
  </si>
  <si>
    <t>Product Template</t>
  </si>
  <si>
    <t>ProductTemplate</t>
  </si>
  <si>
    <t>Predefined configs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</si>
</sst>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10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4" fillId="0" borderId="0"/>
    <xf numFmtId="0" fontId="8" fillId="0" borderId="0" applyNumberFormat="0" applyFill="0" applyBorder="0" applyAlignment="0" applyProtection="0"/>
  </cellStyleXfs>
  <cellXfs count="69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6" borderId="0" xfId="0" applyFill="1" applyAlignment="1">
      <alignment horizontal="left"/>
    </xf>
    <xf numFmtId="0" fontId="0" fillId="6" borderId="0" xfId="0" applyFill="1"/>
    <xf numFmtId="0" fontId="0" fillId="6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Fill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0" xfId="0" applyFill="1" applyAlignment="1">
      <alignment vertical="center" wrapText="1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applyNumberFormat="1" applyFont="1" applyFill="1" applyAlignment="1">
      <alignment vertical="center" wrapText="1"/>
    </xf>
    <xf numFmtId="0" fontId="3" fillId="7" borderId="0" xfId="0" applyNumberFormat="1" applyFont="1" applyFill="1" applyBorder="1" applyAlignment="1">
      <alignment vertical="center" wrapText="1"/>
    </xf>
    <xf numFmtId="2" fontId="8" fillId="0" borderId="4" xfId="2" applyNumberFormat="1" applyFill="1" applyBorder="1" applyAlignment="1">
      <alignment horizontal="center" vertical="center"/>
    </xf>
    <xf numFmtId="0" fontId="3" fillId="7" borderId="0" xfId="0" applyFont="1" applyFill="1" applyAlignment="1">
      <alignment vertical="center" wrapText="1"/>
    </xf>
    <xf numFmtId="49" fontId="3" fillId="0" borderId="0" xfId="0" applyNumberFormat="1" applyFont="1" applyFill="1" applyBorder="1" applyAlignment="1">
      <alignment vertical="center" wrapText="1"/>
    </xf>
    <xf numFmtId="49" fontId="0" fillId="0" borderId="4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2" fontId="3" fillId="0" borderId="0" xfId="0" applyNumberFormat="1" applyFont="1" applyFill="1" applyBorder="1" applyAlignment="1">
      <alignment vertical="center" wrapText="1"/>
    </xf>
    <xf numFmtId="0" fontId="0" fillId="0" borderId="4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8" fillId="0" borderId="4" xfId="2" applyNumberFormat="1" applyFill="1" applyBorder="1" applyAlignment="1">
      <alignment horizontal="center" vertical="center"/>
    </xf>
    <xf numFmtId="2" fontId="9" fillId="0" borderId="4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3">
    <cellStyle name="Hyperlink" xfId="2" builtinId="8"/>
    <cellStyle name="Normal" xfId="0" builtinId="0"/>
    <cellStyle name="Normal 2" xfId="1" xr:uid="{A8DFCB13-E247-44C2-83FC-BB74B94EE917}"/>
  </cellStyles>
  <dxfs count="303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13" defaultPivotStyle="PivotStyleLight16">
    <tableStyle name="MySqlDefault" pivot="0" table="0" count="2" xr9:uid="{9EAB4BC6-5566-447F-ADAA-203397440666}">
      <tableStyleElement type="wholeTable" dxfId="302"/>
      <tableStyleElement type="headerRow" dxfId="301"/>
    </tableStyle>
  </tableStyles>
  <colors>
    <mruColors>
      <color rgb="FFFF7C80"/>
      <color rgb="FFE18383"/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8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8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C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D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D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2</xdr:row>
          <xdr:rowOff>0</xdr:rowOff>
        </xdr:from>
        <xdr:to>
          <xdr:col>13</xdr:col>
          <xdr:colOff>381000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5</xdr:row>
          <xdr:rowOff>0</xdr:rowOff>
        </xdr:from>
        <xdr:to>
          <xdr:col>13</xdr:col>
          <xdr:colOff>381000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1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2" totalsRowShown="0" headerRowDxfId="300">
  <autoFilter ref="A1:F2" xr:uid="{BDAE12D6-129D-4B55-B01B-D1493E590308}"/>
  <tableColumns count="6">
    <tableColumn id="1" xr3:uid="{F20AB9A4-F1CA-4493-AFCA-1ECFD6C72926}" name="Date" dataDxfId="299"/>
    <tableColumn id="2" xr3:uid="{9E5C5770-C960-45BB-8115-75DB62A3B16C}" name="Article Number" dataDxfId="298"/>
    <tableColumn id="5" xr3:uid="{16BFD56B-B56A-4848-9201-68C2F28CFA64}" name="Modification" dataDxfId="297"/>
    <tableColumn id="3" xr3:uid="{10BA92E7-A8AC-46B9-9939-48EDBF630513}" name="Stock Before" dataDxfId="296"/>
    <tableColumn id="4" xr3:uid="{89A58CF5-EDCB-4EF1-963E-E9EB1A0CCFEF}" name="Stock After" dataDxfId="295"/>
    <tableColumn id="6" xr3:uid="{FF179CF1-10A5-4445-94E5-D3770F8EB2DA}" name="INFO" dataDxfId="29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93" dataDxfId="291" headerRowBorderDxfId="292" tableBorderDxfId="290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xmlns:xlrd2="http://schemas.microsoft.com/office/spreadsheetml/2017/richdata2" ref="A2:L2">
    <sortCondition descending="1" ref="K1:K2"/>
  </sortState>
  <tableColumns count="12">
    <tableColumn id="2" xr3:uid="{09884C69-0E00-49B1-878D-118ACDF0CE5A}" name="Art. Number" totalsRowLabel="Total" dataDxfId="289" totalsRowDxfId="44"/>
    <tableColumn id="1" xr3:uid="{B10D53AF-03D1-4287-B98C-B2EBD99019D4}" name="Ret. Art. Number" dataDxfId="288" totalsRowDxfId="43"/>
    <tableColumn id="3" xr3:uid="{4C487402-2AAB-4AF3-BE67-7394C36C842C}" name="Manufacturer" dataDxfId="287" totalsRowDxfId="42"/>
    <tableColumn id="4" xr3:uid="{8EC0DC8E-76AD-4B9F-83B7-1A0DD14BB27F}" name="Retailer" dataDxfId="286" totalsRowDxfId="41"/>
    <tableColumn id="5" xr3:uid="{F034F88F-58E3-461F-AA98-A329A317450C}" name="Place" dataDxfId="285" totalsRowDxfId="40"/>
    <tableColumn id="6" xr3:uid="{270626A5-5AC9-4B4B-BFA1-CB61FB278FF7}" name="Description" dataDxfId="284" totalsRowDxfId="39"/>
    <tableColumn id="7" xr3:uid="{6AED47F2-55E6-446F-831B-A118A7B0B1ED}" name="In stock" dataDxfId="283" totalsRowDxfId="38"/>
    <tableColumn id="8" xr3:uid="{AC92F839-E54E-493C-ABE5-5E0757E61859}" name="Min Stock" dataDxfId="282" totalsRowDxfId="37"/>
    <tableColumn id="11" xr3:uid="{FA19872E-A366-497E-9D69-828A97ECF042}" name="Unit price" dataDxfId="281" totalsRowDxfId="36"/>
    <tableColumn id="13" xr3:uid="{EA825846-8448-46C3-B6A4-847B2F364E4E}" name="Quantity" dataDxfId="280" totalsRowDxfId="35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79" totalsRowDxfId="34">
      <calculatedColumnFormula>Table8[[#This Row],[Quantity]]*Table8[[#This Row],[Unit price]]</calculatedColumnFormula>
    </tableColumn>
    <tableColumn id="9" xr3:uid="{CF148814-A309-4554-8503-283AD3C9BC12}" name="Bulk Add" dataDxfId="278" totalsRowDxfId="33">
      <calculatedColumnFormula>IF(Table8[[#This Row],[Ret. Art. Number]]="","",Table8[[#This Row],[Quantity]] &amp; "," &amp; Table8[[#This Row],[Ret. Art. Number]])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BD2" totalsRowShown="0" headerRowDxfId="277" dataDxfId="276" tableBorderDxfId="275">
  <autoFilter ref="A1:BD2" xr:uid="{D4CB05D4-73DA-43F1-913F-071595400883}"/>
  <tableColumns count="56">
    <tableColumn id="1" xr3:uid="{435165AF-465B-418C-8DDE-9CFA2D278BBE}" name="Art. Number" dataDxfId="32"/>
    <tableColumn id="2" xr3:uid="{FBC6B9C9-57F8-45DA-AF22-C249E2B185F4}" name="Manufacturer" dataDxfId="274" totalsRowDxfId="273"/>
    <tableColumn id="3" xr3:uid="{288AF9C9-A6A1-4913-A84A-1B41F0951CD7}" name="Place" dataDxfId="272" totalsRowDxfId="271"/>
    <tableColumn id="4" xr3:uid="{991CB349-C1A2-4024-AD86-41FE070F01AA}" name="Description" dataDxfId="270" totalsRowDxfId="269"/>
    <tableColumn id="28" xr3:uid="{2D19DEDD-0807-4720-910B-711676B70DD0}" name="Category" dataDxfId="268"/>
    <tableColumn id="5" xr3:uid="{AF531B20-C2C7-43E4-88F6-C002EAFA6EF0}" name="In stock" dataDxfId="267" totalsRowDxfId="266"/>
    <tableColumn id="6" xr3:uid="{4AE22FEC-1D74-4166-880B-DE3C3B0F48C3}" name="Min in stock" dataDxfId="265" totalsRowDxfId="264"/>
    <tableColumn id="7" xr3:uid="{DDF25EC9-10A6-4A51-A3FF-5F173DC0429C}" name="Auto Order" dataDxfId="263" totalsRowDxfId="262"/>
    <tableColumn id="8" xr3:uid="{8FB77B6F-1796-445F-A628-6683E80A406B}" name="Default Art. Number" dataDxfId="261" totalsRowDxfId="260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calculatedColumnFormula>
    </tableColumn>
    <tableColumn id="9" xr3:uid="{FFD8B420-52D8-4860-B12E-57F5E09452F3}" name="Default Unit price" dataDxfId="259" totalsRowDxfId="258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calculatedColumnFormula>
    </tableColumn>
    <tableColumn id="27" xr3:uid="{4B6003B9-74ED-4799-8888-8403BEC91BE3}" name="Default Retailer" dataDxfId="257" totalsRowDxfId="256">
      <calculatedColumnFormula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calculatedColumnFormula>
    </tableColumn>
    <tableColumn id="37" xr3:uid="{7B2C00D6-A20F-4E6C-91EE-783E570BFC63}" name="Default Link" dataDxfId="255">
      <calculatedColumnFormula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calculatedColumnFormula>
    </tableColumn>
    <tableColumn id="10" xr3:uid="{7E60C342-9987-408E-8654-849687FC9CF5}" name="Digikey" dataDxfId="254" totalsRowDxfId="253"/>
    <tableColumn id="11" xr3:uid="{904ACEAE-3EBB-4B5A-B40F-F27BEC67197D}" name="Unit price - Digikey" dataDxfId="252" totalsRowDxfId="251"/>
    <tableColumn id="32" xr3:uid="{45FA2355-0EA6-47F8-9FAD-B42EBD381C73}" name="Link - Digikey" dataDxfId="250">
      <calculatedColumnFormula>IF(Table1[[#This Row],[Digikey]]="","", HYPERLINK(Table1[[#This Row],[Destination - Digikey]],_xlfn.CONCAT("Link (",Table1[[#This Row],[Digikey]],")")))</calculatedColumnFormula>
    </tableColumn>
    <tableColumn id="34" xr3:uid="{EBEE09DC-0988-45C6-855A-448E6A8C74E3}" name="Destination - Digikey" dataDxfId="249" dataCellStyle="Hyperlink">
      <calculatedColumnFormula>_xlfn.CONCAT("https://www.digikey.ch/products/en?keywords=",Table1[[#This Row],[Digikey]])</calculatedColumnFormula>
    </tableColumn>
    <tableColumn id="12" xr3:uid="{1C8E6FC8-F976-4331-BE85-AE9F5CCE5385}" name="Farnell" dataDxfId="248" totalsRowDxfId="247"/>
    <tableColumn id="13" xr3:uid="{9CEB0B0D-E776-4EE1-BA17-F20F36573DF1}" name="Unit price - Farnell" dataDxfId="246" totalsRowDxfId="245"/>
    <tableColumn id="35" xr3:uid="{5BD6C11C-C604-4F3C-96C4-DF7280F5AD2D}" name="Link - Farnell" dataDxfId="244" dataCellStyle="Hyperlink">
      <calculatedColumnFormula>IF(Table1[[#This Row],[Farnell]]="","", HYPERLINK(Table1[[#This Row],[Destination - Farnell]],_xlfn.CONCAT("Link (",Table1[[#This Row],[Farnell]],")")))</calculatedColumnFormula>
    </tableColumn>
    <tableColumn id="50" xr3:uid="{AD0EEC85-0A8C-49A7-ABD7-E106BF409CAD}" name="Destination - Farnell" dataDxfId="243" dataCellStyle="Hyperlink">
      <calculatedColumnFormula>_xlfn.CONCAT("https://ch.farnell.com/fr-CH/",Table1[[#This Row],[Farnell]])</calculatedColumnFormula>
    </tableColumn>
    <tableColumn id="14" xr3:uid="{4835AE8C-6AA4-4E3D-AA3C-47D081785B10}" name="Distrelec" dataDxfId="242" totalsRowDxfId="241"/>
    <tableColumn id="15" xr3:uid="{CFC19F72-EB6A-4DA4-8140-6E03AC8C87E2}" name="Unit price - Distrelec" dataDxfId="240" totalsRowDxfId="239"/>
    <tableColumn id="38" xr3:uid="{451B8361-4600-4E8E-8857-B737B2856630}" name="Link - Distrelec" dataDxfId="238">
      <calculatedColumnFormula>IF(Table1[[#This Row],[Distrelec]]="","", HYPERLINK(Table1[[#This Row],[Destination - Distrelec]],_xlfn.CONCAT("Link (",Table1[[#This Row],[Distrelec]],")")))</calculatedColumnFormula>
    </tableColumn>
    <tableColumn id="51" xr3:uid="{281D9207-1778-4112-9EEB-EE5D10EE96E4}" name="Destination - Distrelec" dataDxfId="237" dataCellStyle="Hyperlink">
      <calculatedColumnFormula>_xlfn.CONCAT("https://www.distrelec.ch/search?q=",Table1[[#This Row],[Distrelec]])</calculatedColumnFormula>
    </tableColumn>
    <tableColumn id="16" xr3:uid="{440F2FEC-A527-4DB9-8F02-E02C455DD168}" name="Conrad" dataDxfId="236" totalsRowDxfId="235"/>
    <tableColumn id="17" xr3:uid="{C15F9ED7-FCDD-4ED8-8193-766AD4AACE12}" name="Unit price - Conrad" dataDxfId="234" totalsRowDxfId="233"/>
    <tableColumn id="39" xr3:uid="{5DDC7AFD-B0F9-4435-9041-3F88BFAAFE7E}" name="Link - Conrad" dataDxfId="232">
      <calculatedColumnFormula>IF(Table1[[#This Row],[Conrad]]="","", HYPERLINK(Table1[[#This Row],[Destination - Conrad]],_xlfn.CONCAT("Link (",Table1[[#This Row],[Conrad]],")")))</calculatedColumnFormula>
    </tableColumn>
    <tableColumn id="52" xr3:uid="{DD5CB652-0229-4DF9-889A-566F64AB782A}" name="Destination - Conrad" dataDxfId="231" dataCellStyle="Hyperlink"/>
    <tableColumn id="18" xr3:uid="{E8BE4F49-80E3-4D58-8712-2588048DD5B2}" name="Mouser" dataDxfId="230" totalsRowDxfId="229"/>
    <tableColumn id="19" xr3:uid="{71B82CF1-AA7C-485A-B22F-DFCA002E3E0B}" name="Unit price - Mouser" dataDxfId="228" totalsRowDxfId="227"/>
    <tableColumn id="40" xr3:uid="{A11CD985-041D-4D2A-A582-91680861B36E}" name="Link - Mouser" dataDxfId="226">
      <calculatedColumnFormula>IF(Table1[[#This Row],[Mouser]]="","", HYPERLINK(Table1[[#This Row],[Destination - Mouser]],_xlfn.CONCAT("Link (",Table1[[#This Row],[Mouser]],")")))</calculatedColumnFormula>
    </tableColumn>
    <tableColumn id="54" xr3:uid="{FA6F20E7-8874-439E-BCFC-BEFD597D4F7E}" name="Destination - Mouser" dataDxfId="225" dataCellStyle="Hyperlink">
      <calculatedColumnFormula>_xlfn.CONCAT("https://www.mouser.ch/ProductDetail/",Table1[[#This Row],[Mouser]])</calculatedColumnFormula>
    </tableColumn>
    <tableColumn id="44" xr3:uid="{B0AF3F4E-F6B2-441C-8B1A-E583DE8E4963}" name="Bauhaus" dataDxfId="224" totalsRowDxfId="223"/>
    <tableColumn id="45" xr3:uid="{F33865D6-DBA0-4397-BB67-4AFB9581AABA}" name="Unit Price - Bauhaus" dataDxfId="222"/>
    <tableColumn id="46" xr3:uid="{5920FF28-311C-415C-865F-B1E6FBD4DCA4}" name="Link - Bauhaus" dataDxfId="221">
      <calculatedColumnFormula>IF(Table1[[#This Row],[Bauhaus]]="","", HYPERLINK(Table1[[#This Row],[Destination - Bauhaus]],_xlfn.CONCAT("Link (",Table1[[#This Row],[Bauhaus]],")")))</calculatedColumnFormula>
    </tableColumn>
    <tableColumn id="55" xr3:uid="{B5F3A29D-11C9-4FFC-BB9A-938513F38325}" name="Destination - Bauhaus" dataDxfId="220" dataCellStyle="Hyperlink">
      <calculatedColumnFormula>_xlfn.CONCAT("https://www.bauhaus.ch/fr/search?query=",Table1[[#This Row],[Bauhaus]])</calculatedColumnFormula>
    </tableColumn>
    <tableColumn id="47" xr3:uid="{8A8C1C16-66CF-4F4C-81AB-0340A984329F}" name="BricoEtLoisirs" dataDxfId="219" totalsRowDxfId="218"/>
    <tableColumn id="48" xr3:uid="{C56998AE-BDCD-44CA-BCE7-CBCECDEADB55}" name="Unit price - BricoEtLoisirs" dataDxfId="217"/>
    <tableColumn id="49" xr3:uid="{79B19DA5-D8C1-41E2-86BA-2E4C5FF23B64}" name="Link - BricoEtLoisirs" dataDxfId="216" totalsRowDxfId="215">
      <calculatedColumnFormula>IF(Table1[[#This Row],[BricoEtLoisirs]]="","", HYPERLINK(Table1[[#This Row],[Destination - BricoEtLoisirs]],_xlfn.CONCAT("Link (",Table1[[#This Row],[BricoEtLoisirs]],")")))</calculatedColumnFormula>
    </tableColumn>
    <tableColumn id="56" xr3:uid="{A659E968-5C97-422D-A433-9390E71A10F3}" name="Destination - BricoEtLoisirs" dataDxfId="214" totalsRowDxfId="213" dataCellStyle="Hyperlink">
      <calculatedColumnFormula>_xlfn.CONCAT("https://bricoetloisirs.ch/p/",Table1[[#This Row],[BricoEtLoisirs]])</calculatedColumnFormula>
    </tableColumn>
    <tableColumn id="20" xr3:uid="{B372D927-D0BD-4305-A32A-0C014ACEEBAB}" name="Aliexpress" dataDxfId="212" totalsRowDxfId="211"/>
    <tableColumn id="21" xr3:uid="{56A9B167-940C-4D6B-8B5D-F91623F90BD6}" name="Unit price - Aliexpress" dataDxfId="210" totalsRowDxfId="209"/>
    <tableColumn id="41" xr3:uid="{93F74B16-126D-45E0-A817-61C44A000633}" name="Link - Aliexpress" dataDxfId="208" totalsRowDxfId="207">
      <calculatedColumnFormula>IF(Table1[[#This Row],[Aliexpress]]="","", HYPERLINK(Table1[[#This Row],[Destination - Aliexpress]],_xlfn.CONCAT("Link (",Table1[[#This Row],[Aliexpress]],")")))</calculatedColumnFormula>
    </tableColumn>
    <tableColumn id="57" xr3:uid="{FBEC4D9B-79DD-4254-8382-A7C983439AC6}" name="Destination - Aliexpress" dataDxfId="206" totalsRowDxfId="205" dataCellStyle="Hyperlink">
      <calculatedColumnFormula>_xlfn.CONCAT("https://www.aliexpress.com/item/",Table1[[#This Row],[Aliexpress]],".html")</calculatedColumnFormula>
    </tableColumn>
    <tableColumn id="22" xr3:uid="{2E67C835-F42C-4886-A3E6-A86A66CF03DE}" name="Banggood" dataDxfId="204" totalsRowDxfId="203"/>
    <tableColumn id="23" xr3:uid="{96EE1B48-7059-4798-A1ED-B830DB9D7D70}" name="Unit price - Banggood" dataDxfId="202" totalsRowDxfId="201"/>
    <tableColumn id="42" xr3:uid="{110E7EDE-6203-456D-AADE-7204CE3F0697}" name="Link - Banggood" dataDxfId="200" totalsRowDxfId="199">
      <calculatedColumnFormula>IF(Table1[[#This Row],[Banggood]]="","", HYPERLINK(Table1[[#This Row],[Destination - Banggood]],_xlfn.CONCAT("Link (",Table1[[#This Row],[Banggood]],")")))</calculatedColumnFormula>
    </tableColumn>
    <tableColumn id="58" xr3:uid="{026CDF7B-437F-4100-923C-FC430E5E29DE}" name="Destination - Banggood" dataDxfId="198" totalsRowDxfId="197" dataCellStyle="Hyperlink">
      <calculatedColumnFormula>_xlfn.CONCAT("https://www.banggood.com/search/",Table1[[#This Row],[Banggood]],".html")</calculatedColumnFormula>
    </tableColumn>
    <tableColumn id="29" xr3:uid="{D6F9B11D-16CF-4797-AFD2-F208CE8FD675}" name="Other - Name" dataDxfId="196" totalsRowDxfId="195">
      <calculatedColumnFormula>IF(Table1[[#This Row],[Other]]&lt;&gt;"","Other","")</calculatedColumnFormula>
    </tableColumn>
    <tableColumn id="24" xr3:uid="{DFC2A0A6-4951-479C-8775-526D9FDB26B4}" name="Other" dataDxfId="194"/>
    <tableColumn id="25" xr3:uid="{09619815-DA2C-43CD-A998-2BAAC30ACE14}" name="Unit price - Other" dataDxfId="193" totalsRowDxfId="192"/>
    <tableColumn id="43" xr3:uid="{6DE0F730-94DA-43E3-B7C4-84A221CDD4A2}" name="Link - Other" dataDxfId="191" totalsRowDxfId="190">
      <calculatedColumnFormula>IF(Table1[[#This Row],[Other]]="","",IF(Table1[[#This Row],[Destination - Other]]="","",HYPERLINK(Table1[[#This Row],[Destination - Other]],_xlfn.CONCAT("Link ("&amp;Table1[[#This Row],[Other]]&amp;")"))))</calculatedColumnFormula>
    </tableColumn>
    <tableColumn id="59" xr3:uid="{BE845428-F52A-4CD2-B36E-EA50A6DBBA2A}" name="Destination - Other" dataDxfId="189" totalsRowDxfId="188"/>
    <tableColumn id="26" xr3:uid="{CBAAFE5B-29D9-4E86-8241-3FA6E46052BB}" name="In next order" dataDxfId="187" totalsRowDxfId="186">
      <calculatedColumnFormula>IF(AND( Table1[[#This Row],[Auto Order]]=1,Table1[[#This Row],[Obsolete]]=""),IF(Table1[[#This Row],[In stock]]&lt;Table1[[#This Row],[Min in stock]],1,""),"")</calculatedColumnFormula>
    </tableColumn>
    <tableColumn id="30" xr3:uid="{36344834-3FC4-40E0-92BB-6DF0F51FF3EC}" name="Obsolete" dataDxfId="185"/>
    <tableColumn id="31" xr3:uid="{B4CAC373-EB11-41F7-9729-45AFB304C070}" name="Obsolete_Hidden" dataDxfId="184">
      <calculatedColumnFormula>IF(Table1[[#This Row],[Obsolete]],Table1[[#This Row],[Art. Number]],"")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183" dataDxfId="181" headerRowBorderDxfId="182">
  <autoFilter ref="A1:J34" xr:uid="{06E2CB8E-61AB-472E-BCF2-E6E1E6F7BC5B}"/>
  <sortState xmlns:xlrd2="http://schemas.microsoft.com/office/spreadsheetml/2017/richdata2" ref="A2:J34">
    <sortCondition ref="D1:D34"/>
  </sortState>
  <tableColumns count="10">
    <tableColumn id="2" xr3:uid="{6A5C3A86-C379-42A1-8BAF-BF929C9C4EDA}" name="Man. Number" totalsRowLabel="Total" dataDxfId="180" totalsRowDxfId="179"/>
    <tableColumn id="5" xr3:uid="{E0A4C7BE-9780-40B2-9139-D4958FD92F57}" name="Description" dataDxfId="178" totalsRowDxfId="177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176" totalsRowDxfId="175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174" totalsRowDxfId="173"/>
    <tableColumn id="8" xr3:uid="{DE9DE279-0ECD-46C6-B40F-146EE0CF2811}" name="Quantity" dataDxfId="172" totalsRowDxfId="171"/>
    <tableColumn id="6" xr3:uid="{9281657B-B3CE-4A4B-90BB-A2508C24B80E}" name="In stock" dataDxfId="170" totalsRowDxfId="169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68" totalsRowDxfId="167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66" totalsRowDxfId="165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64" totalsRowDxfId="163">
      <calculatedColumnFormula>Table14113[[#This Row],[Quantity]]*$M$1</calculatedColumnFormula>
    </tableColumn>
    <tableColumn id="4" xr3:uid="{21625822-F558-4C24-A1DF-CA1415AF72CC}" name="Total available" dataDxfId="162" totalsRowDxfId="161">
      <calculatedColumnFormula>IF(Table14113[[#This Row],[In stock]] &gt;= Table14113[[#This Row],[Total quantity]],"YES","NO")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160" dataDxfId="158" headerRowBorderDxfId="159">
  <autoFilter ref="A1:J44" xr:uid="{06E2CB8E-61AB-472E-BCF2-E6E1E6F7BC5B}"/>
  <sortState xmlns:xlrd2="http://schemas.microsoft.com/office/spreadsheetml/2017/richdata2" ref="A2:J44">
    <sortCondition ref="D1:D44"/>
  </sortState>
  <tableColumns count="10">
    <tableColumn id="2" xr3:uid="{C9C96812-D2B2-407C-9941-30F685AAD7E3}" name="Man. Number" totalsRowLabel="Total" dataDxfId="157" totalsRowDxfId="156"/>
    <tableColumn id="5" xr3:uid="{0807D2E3-C08E-4A05-95EC-685278834536}" name="Description" dataDxfId="155" totalsRowDxfId="154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153" totalsRowDxfId="152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151" totalsRowDxfId="150"/>
    <tableColumn id="8" xr3:uid="{27D63D9B-1923-4857-A374-5FF3D8D6B64C}" name="Quantity" dataDxfId="149" totalsRowDxfId="148"/>
    <tableColumn id="6" xr3:uid="{39724770-BCF0-4F8C-A311-212B97612672}" name="In stock" dataDxfId="147" totalsRowDxfId="146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45" totalsRowDxfId="144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43" totalsRowDxfId="142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41" totalsRowDxfId="140">
      <calculatedColumnFormula>Table1411[[#This Row],[Quantity]]*$M$1</calculatedColumnFormula>
    </tableColumn>
    <tableColumn id="4" xr3:uid="{CEA2F06F-2F21-492E-B2A3-DF977A078F50}" name="Total available" dataDxfId="139" totalsRowDxfId="138">
      <calculatedColumnFormula>IF(Table1411[[#This Row],[In stock]] &gt;= Table1411[[#This Row],[Total quantity]],"YES","NO")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137" dataDxfId="135" headerRowBorderDxfId="136">
  <autoFilter ref="A1:J40" xr:uid="{06E2CB8E-61AB-472E-BCF2-E6E1E6F7BC5B}"/>
  <sortState xmlns:xlrd2="http://schemas.microsoft.com/office/spreadsheetml/2017/richdata2" ref="A2:J40">
    <sortCondition ref="D1:D40"/>
  </sortState>
  <tableColumns count="10">
    <tableColumn id="2" xr3:uid="{A92087CE-B74E-49AD-99FE-90DBB817C1AC}" name="Man. Number" totalsRowLabel="Total" dataDxfId="134" totalsRowDxfId="133"/>
    <tableColumn id="5" xr3:uid="{B1418FC9-8422-4A82-9D50-1C20CEF4A1DB}" name="Description" dataDxfId="132" totalsRowDxfId="131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130" totalsRowDxfId="129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128" totalsRowDxfId="127"/>
    <tableColumn id="8" xr3:uid="{D163A9E2-18FC-4EE8-99AB-60D6C92BBDB6}" name="Quantity" dataDxfId="126" totalsRowDxfId="125"/>
    <tableColumn id="6" xr3:uid="{1583B055-BD93-4929-B8EC-DA75D23B688F}" name="In stock" dataDxfId="124" totalsRowDxfId="123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22" totalsRowDxfId="121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20" totalsRowDxfId="119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18" totalsRowDxfId="117">
      <calculatedColumnFormula>Table14[[#This Row],[Quantity]]*$M$1</calculatedColumnFormula>
    </tableColumn>
    <tableColumn id="4" xr3:uid="{3C7D2E86-E417-47F0-B642-14D96896F255}" name="Total available" dataDxfId="116" totalsRowDxfId="115">
      <calculatedColumnFormula>IF(Table14[[#This Row],[In stock]] &gt;= Table14[[#This Row],[Total quantity]],"YES","NO")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1" totalsRowCount="1" headerRowDxfId="114" dataDxfId="112" headerRowBorderDxfId="113">
  <autoFilter ref="A1:J30" xr:uid="{06E2CB8E-61AB-472E-BCF2-E6E1E6F7BC5B}"/>
  <sortState xmlns:xlrd2="http://schemas.microsoft.com/office/spreadsheetml/2017/richdata2" ref="A2:J30">
    <sortCondition ref="H1:H30"/>
  </sortState>
  <tableColumns count="10">
    <tableColumn id="2" xr3:uid="{3629DA92-593D-4F40-A0B8-3F24998F56AA}" name="Man. Number" totalsRowLabel="Total" dataDxfId="111" totalsRowDxfId="110"/>
    <tableColumn id="5" xr3:uid="{8149F83F-B4D5-4C51-A87E-B863B43D92B1}" name="Description" dataDxfId="109" totalsRowDxfId="108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107" totalsRowDxfId="106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105" totalsRowDxfId="104"/>
    <tableColumn id="8" xr3:uid="{4A2F7A9A-01D2-44CD-B775-ECE675E39975}" name="Quantity" dataDxfId="103" totalsRowDxfId="102"/>
    <tableColumn id="6" xr3:uid="{E35C4648-7918-49E6-8585-13FE1A3EB382}" name="In stock" dataDxfId="101" totalsRowDxfId="100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99" totalsRowDxfId="98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97" totalsRowDxfId="96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95" totalsRowDxfId="94">
      <calculatedColumnFormula>Table14681012[[#This Row],[Quantity]]*$M$1</calculatedColumnFormula>
    </tableColumn>
    <tableColumn id="4" xr3:uid="{B277331F-9B8C-48C1-AF3B-39B0DF714F6F}" name="Total available" dataDxfId="93" totalsRowDxfId="92">
      <calculatedColumnFormula>IF(Table14681012[[#This Row],[In stock]] &gt;= Table14681012[[#This Row],[Total quantity]],"YES","NO")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91" dataDxfId="89" headerRowBorderDxfId="90">
  <autoFilter ref="A1:J26" xr:uid="{06E2CB8E-61AB-472E-BCF2-E6E1E6F7BC5B}"/>
  <sortState xmlns:xlrd2="http://schemas.microsoft.com/office/spreadsheetml/2017/richdata2" ref="A2:J26">
    <sortCondition ref="D1:D26"/>
  </sortState>
  <tableColumns count="10">
    <tableColumn id="2" xr3:uid="{E1B3591E-7FDF-432B-8B47-D1874E0B26F5}" name="Man. Number" totalsRowLabel="Total" dataDxfId="88" totalsRowDxfId="87"/>
    <tableColumn id="5" xr3:uid="{EE74CBB7-B4AE-4E4F-A276-4111D2262064}" name="Description" dataDxfId="86" totalsRowDxfId="85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84" totalsRowDxfId="83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82" totalsRowDxfId="81"/>
    <tableColumn id="8" xr3:uid="{C50EC552-0304-4799-AAF5-38B8D35A381E}" name="Quantity" dataDxfId="80" totalsRowDxfId="79"/>
    <tableColumn id="6" xr3:uid="{F740468C-0E09-4D56-BD5D-693ECC8337EF}" name="In stock" dataDxfId="78" totalsRowDxfId="77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76" totalsRowDxfId="75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74" totalsRowDxfId="73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72" totalsRowDxfId="71">
      <calculatedColumnFormula>Table146810[[#This Row],[Quantity]]*$M$1</calculatedColumnFormula>
    </tableColumn>
    <tableColumn id="4" xr3:uid="{562176AD-2473-43BF-B998-A5B71A21527C}" name="Total available" dataDxfId="70" totalsRowDxfId="69">
      <calculatedColumnFormula>IF(Table146810[[#This Row],[In stock]] &gt;= Table146810[[#This Row],[Total quantity]],"YES","NO")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68" dataDxfId="66" headerRowBorderDxfId="67">
  <autoFilter ref="A1:J2" xr:uid="{06E2CB8E-61AB-472E-BCF2-E6E1E6F7BC5B}"/>
  <tableColumns count="10">
    <tableColumn id="2" xr3:uid="{82F37E31-D1D4-4FFD-A09E-64F3B03018B7}" name="Man. Number" totalsRowLabel="Total" dataDxfId="65" totalsRowDxfId="64"/>
    <tableColumn id="5" xr3:uid="{524F6B01-486E-4166-AE6A-BDBA58BD1A60}" name="Description" dataDxfId="63" totalsRowDxfId="62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61" totalsRowDxfId="60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59" totalsRowDxfId="58"/>
    <tableColumn id="8" xr3:uid="{A834D686-252C-4BF4-9FDE-28A4A6AFDD1F}" name="Quantity" dataDxfId="57" totalsRowDxfId="56"/>
    <tableColumn id="6" xr3:uid="{66DB620F-4FDE-44EB-BF35-96CAEBE4C1C6}" name="In stock" dataDxfId="55" totalsRowDxfId="54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53" totalsRowDxfId="52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51" totalsRowDxfId="50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49" totalsRowDxfId="48">
      <calculatedColumnFormula>Table1468[[#This Row],[Quantity]]*$M$1</calculatedColumnFormula>
    </tableColumn>
    <tableColumn id="4" xr3:uid="{56337732-A0D6-4CED-A2E1-0A9BD957CBCA}" name="Total available" dataDxfId="47" totalsRowDxfId="46">
      <calculatedColumnFormula>IF(Table1468[[#This Row],[In stock]] &gt;= Table1468[[#This Row],[Total quantity]],"YES","NO")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7" totalsRowShown="0">
  <autoFilter ref="A6:C7" xr:uid="{872FC7A3-44C5-4B5B-B3BD-3A0E54A1C252}"/>
  <sortState xmlns:xlrd2="http://schemas.microsoft.com/office/spreadsheetml/2017/richdata2" ref="A7:C7">
    <sortCondition ref="A6:A7"/>
  </sortState>
  <tableColumns count="3">
    <tableColumn id="1" xr3:uid="{79A80DDF-8238-4698-90CE-9D2101A7FB4D}" name="Index" dataDxfId="45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2"/>
  <sheetViews>
    <sheetView workbookViewId="0">
      <pane ySplit="1" topLeftCell="A2" activePane="bottomLeft" state="frozen"/>
      <selection pane="bottomLeft" activeCell="F2" sqref="F2"/>
    </sheetView>
  </sheetViews>
  <sheetFormatPr defaultColWidth="9.140625" defaultRowHeight="15" x14ac:dyDescent="0.25"/>
  <cols>
    <col min="1" max="1" width="18" style="31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0" t="s">
        <v>46</v>
      </c>
      <c r="B1" s="3" t="s">
        <v>117</v>
      </c>
      <c r="C1" s="5" t="s">
        <v>52</v>
      </c>
      <c r="D1" s="5" t="s">
        <v>49</v>
      </c>
      <c r="E1" s="5" t="s">
        <v>50</v>
      </c>
      <c r="F1" s="3" t="s">
        <v>48</v>
      </c>
    </row>
    <row r="2" spans="1:6" x14ac:dyDescent="0.25">
      <c r="A2" s="31" t="s">
        <v>29</v>
      </c>
      <c r="B2" s="11"/>
      <c r="C2" s="9"/>
      <c r="D2" s="9"/>
      <c r="E2" s="9"/>
      <c r="F2" s="3" t="s">
        <v>47</v>
      </c>
    </row>
  </sheetData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K24" sqref="K24"/>
    </sheetView>
  </sheetViews>
  <sheetFormatPr defaultColWidth="9.140625"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27" bestFit="1" customWidth="1"/>
  </cols>
  <sheetData>
    <row r="2" spans="1:11" x14ac:dyDescent="0.25">
      <c r="B2" s="66" t="s">
        <v>123</v>
      </c>
      <c r="G2" s="17" t="s">
        <v>131</v>
      </c>
      <c r="J2" s="17" t="s">
        <v>130</v>
      </c>
    </row>
    <row r="3" spans="1:11" x14ac:dyDescent="0.25">
      <c r="B3" s="66"/>
      <c r="G3" s="18" t="s">
        <v>102</v>
      </c>
      <c r="H3" s="18" t="s">
        <v>2</v>
      </c>
      <c r="J3" s="18" t="s">
        <v>102</v>
      </c>
      <c r="K3" s="18" t="s">
        <v>2</v>
      </c>
    </row>
    <row r="4" spans="1:11" x14ac:dyDescent="0.25">
      <c r="G4" t="s">
        <v>259</v>
      </c>
      <c r="J4" t="s">
        <v>103</v>
      </c>
    </row>
    <row r="5" spans="1:11" x14ac:dyDescent="0.25">
      <c r="B5" s="66" t="s">
        <v>124</v>
      </c>
      <c r="G5" t="s">
        <v>260</v>
      </c>
      <c r="J5" t="s">
        <v>104</v>
      </c>
    </row>
    <row r="6" spans="1:11" x14ac:dyDescent="0.25">
      <c r="B6" s="66"/>
      <c r="G6" t="s">
        <v>256</v>
      </c>
      <c r="J6" t="s">
        <v>105</v>
      </c>
    </row>
    <row r="7" spans="1:11" x14ac:dyDescent="0.25">
      <c r="G7" t="s">
        <v>270</v>
      </c>
      <c r="J7" t="s">
        <v>106</v>
      </c>
    </row>
    <row r="8" spans="1:11" x14ac:dyDescent="0.25">
      <c r="B8" s="66" t="s">
        <v>125</v>
      </c>
      <c r="G8" t="s">
        <v>257</v>
      </c>
      <c r="J8" t="s">
        <v>107</v>
      </c>
    </row>
    <row r="9" spans="1:11" x14ac:dyDescent="0.25">
      <c r="B9" s="66"/>
      <c r="G9" t="s">
        <v>258</v>
      </c>
      <c r="J9" t="s">
        <v>109</v>
      </c>
    </row>
    <row r="10" spans="1:11" x14ac:dyDescent="0.25">
      <c r="J10" t="s">
        <v>110</v>
      </c>
    </row>
    <row r="11" spans="1:11" x14ac:dyDescent="0.25">
      <c r="A11" s="29"/>
      <c r="B11" s="66" t="s">
        <v>126</v>
      </c>
      <c r="J11" t="s">
        <v>111</v>
      </c>
    </row>
    <row r="12" spans="1:11" x14ac:dyDescent="0.25">
      <c r="A12" s="29"/>
      <c r="B12" s="66"/>
      <c r="J12" t="s">
        <v>112</v>
      </c>
    </row>
    <row r="13" spans="1:11" x14ac:dyDescent="0.25">
      <c r="J13" t="s">
        <v>113</v>
      </c>
    </row>
    <row r="14" spans="1:11" x14ac:dyDescent="0.25">
      <c r="B14" s="66" t="s">
        <v>152</v>
      </c>
      <c r="J14" t="s">
        <v>114</v>
      </c>
    </row>
    <row r="15" spans="1:11" x14ac:dyDescent="0.25">
      <c r="B15" s="66"/>
    </row>
    <row r="17" spans="2:2" x14ac:dyDescent="0.25">
      <c r="B17" s="66" t="s">
        <v>221</v>
      </c>
    </row>
    <row r="18" spans="2:2" x14ac:dyDescent="0.25">
      <c r="B18" s="66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L15" sqref="L13:L15"/>
    </sheetView>
  </sheetViews>
  <sheetFormatPr defaultColWidth="9.140625" defaultRowHeight="15" x14ac:dyDescent="0.25"/>
  <cols>
    <col min="1" max="1" width="26.85546875" style="15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3" bestFit="1" customWidth="1"/>
    <col min="11" max="11" width="12.5703125" style="23" bestFit="1" customWidth="1"/>
    <col min="12" max="12" width="29" style="17" bestFit="1" customWidth="1"/>
    <col min="13" max="13" width="18.85546875" style="21" customWidth="1"/>
    <col min="14" max="14" width="16.5703125" style="21" customWidth="1"/>
  </cols>
  <sheetData>
    <row r="1" spans="1:14" ht="15.75" thickBot="1" x14ac:dyDescent="0.3">
      <c r="A1" s="1" t="s">
        <v>1</v>
      </c>
      <c r="B1" s="2" t="s">
        <v>122</v>
      </c>
      <c r="C1" s="2" t="s">
        <v>6</v>
      </c>
      <c r="D1" s="2" t="s">
        <v>4</v>
      </c>
      <c r="E1" s="2" t="s">
        <v>96</v>
      </c>
      <c r="F1" s="48" t="s">
        <v>2</v>
      </c>
      <c r="G1" s="2" t="s">
        <v>3</v>
      </c>
      <c r="H1" s="28" t="s">
        <v>119</v>
      </c>
      <c r="I1" s="16" t="s">
        <v>7</v>
      </c>
      <c r="J1" s="28" t="s">
        <v>37</v>
      </c>
      <c r="K1" s="25" t="s">
        <v>120</v>
      </c>
      <c r="L1" s="25" t="s">
        <v>204</v>
      </c>
      <c r="M1" s="20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2">
        <f>ROUNDUP(Table8[[#This Row],[Min Stock]]-Table8[[#This Row],[In stock]],0)</f>
        <v>0</v>
      </c>
      <c r="K2" s="24">
        <f>Table8[[#This Row],[Quantity]]*Table8[[#This Row],[Unit price]]</f>
        <v>0</v>
      </c>
      <c r="L2" s="26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2">
        <f>ROUNDUP(Table8[[#This Row],[Min Stock]]-Table8[[#This Row],[In stock]],0)</f>
        <v>0</v>
      </c>
      <c r="K3" s="24">
        <f>Table8[[#This Row],[Quantity]]*Table8[[#This Row],[Unit price]]</f>
        <v>0</v>
      </c>
      <c r="L3" s="26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121</v>
      </c>
      <c r="B4" s="4"/>
      <c r="C4" s="4"/>
      <c r="D4" s="4"/>
      <c r="E4" s="4"/>
      <c r="F4" s="4"/>
      <c r="G4" s="4"/>
      <c r="H4" s="4"/>
      <c r="I4" s="4"/>
      <c r="J4" s="24"/>
      <c r="K4" s="22">
        <f>SUBTOTAL(109,Table8[Total price])</f>
        <v>0</v>
      </c>
      <c r="L4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BD2"/>
  <sheetViews>
    <sheetView tabSelected="1" zoomScale="85" zoomScaleNormal="85" workbookViewId="0">
      <pane ySplit="1" topLeftCell="A2" activePane="bottomLeft" state="frozen"/>
      <selection activeCell="M1" sqref="M1"/>
      <selection pane="bottomLeft" activeCell="Q3" sqref="Q3"/>
    </sheetView>
  </sheetViews>
  <sheetFormatPr defaultColWidth="9.140625" defaultRowHeight="15" x14ac:dyDescent="0.25"/>
  <cols>
    <col min="1" max="1" width="14.5703125" style="3" bestFit="1" customWidth="1"/>
    <col min="2" max="2" width="20.7109375" style="3" bestFit="1" customWidth="1"/>
    <col min="3" max="3" width="8.140625" style="3" bestFit="1" customWidth="1"/>
    <col min="4" max="4" width="29.7109375" style="3" bestFit="1" customWidth="1"/>
    <col min="5" max="5" width="11.28515625" style="3" bestFit="1" customWidth="1"/>
    <col min="6" max="6" width="10.28515625" style="36" bestFit="1" customWidth="1"/>
    <col min="7" max="7" width="9" style="36" customWidth="1"/>
    <col min="8" max="8" width="8.5703125" style="36" bestFit="1" customWidth="1"/>
    <col min="9" max="9" width="21.5703125" style="41" bestFit="1" customWidth="1"/>
    <col min="10" max="10" width="14.140625" style="35" bestFit="1" customWidth="1"/>
    <col min="11" max="11" width="17.42578125" style="15" bestFit="1" customWidth="1"/>
    <col min="12" max="12" width="23.85546875" style="15" bestFit="1" customWidth="1"/>
    <col min="13" max="13" width="18.28515625" style="15" bestFit="1" customWidth="1"/>
    <col min="14" max="14" width="20.42578125" style="34" customWidth="1"/>
    <col min="15" max="15" width="23.85546875" style="34" bestFit="1" customWidth="1"/>
    <col min="16" max="16" width="57.5703125" style="51" hidden="1" customWidth="1"/>
    <col min="17" max="17" width="9.5703125" style="15" bestFit="1" customWidth="1"/>
    <col min="18" max="18" width="20" style="34" bestFit="1" customWidth="1"/>
    <col min="19" max="19" width="14.5703125" style="51" bestFit="1" customWidth="1"/>
    <col min="20" max="20" width="35.140625" style="51" hidden="1" customWidth="1"/>
    <col min="21" max="21" width="11.28515625" style="15" bestFit="1" customWidth="1"/>
    <col min="22" max="22" width="21.7109375" style="34" bestFit="1" customWidth="1"/>
    <col min="23" max="23" width="16.42578125" style="34" bestFit="1" customWidth="1"/>
    <col min="24" max="24" width="34.7109375" style="51" hidden="1" customWidth="1"/>
    <col min="25" max="25" width="9.5703125" style="15" bestFit="1" customWidth="1"/>
    <col min="26" max="26" width="20.140625" style="34" bestFit="1" customWidth="1"/>
    <col min="27" max="27" width="14.7109375" style="34" bestFit="1" customWidth="1"/>
    <col min="28" max="28" width="21.7109375" style="51" hidden="1" customWidth="1"/>
    <col min="29" max="29" width="10.140625" style="15" bestFit="1" customWidth="1"/>
    <col min="30" max="30" width="20.7109375" style="34" bestFit="1" customWidth="1"/>
    <col min="31" max="31" width="15.42578125" style="34" bestFit="1" customWidth="1"/>
    <col min="32" max="32" width="37.5703125" style="51" hidden="1" customWidth="1"/>
    <col min="33" max="33" width="10.85546875" style="59" bestFit="1" customWidth="1"/>
    <col min="34" max="34" width="21.28515625" style="51" bestFit="1" customWidth="1"/>
    <col min="35" max="35" width="16.140625" style="51" bestFit="1" customWidth="1"/>
    <col min="36" max="36" width="41" style="51" hidden="1" customWidth="1"/>
    <col min="37" max="37" width="15" style="51" bestFit="1" customWidth="1"/>
    <col min="38" max="38" width="25.7109375" style="51" bestFit="1" customWidth="1"/>
    <col min="39" max="39" width="20.42578125" style="51" bestFit="1" customWidth="1"/>
    <col min="40" max="40" width="27.28515625" style="51" hidden="1" customWidth="1"/>
    <col min="41" max="41" width="12.5703125" style="15" bestFit="1" customWidth="1"/>
    <col min="42" max="42" width="23.140625" style="34" bestFit="1" customWidth="1"/>
    <col min="43" max="43" width="17.85546875" style="34" bestFit="1" customWidth="1"/>
    <col min="44" max="44" width="38.5703125" style="51" hidden="1" customWidth="1"/>
    <col min="45" max="45" width="12.140625" style="15" bestFit="1" customWidth="1"/>
    <col min="46" max="46" width="22.5703125" style="34" bestFit="1" customWidth="1"/>
    <col min="47" max="47" width="17.28515625" style="34" bestFit="1" customWidth="1"/>
    <col min="48" max="48" width="40" style="51" hidden="1" customWidth="1"/>
    <col min="49" max="49" width="15.42578125" style="34" bestFit="1" customWidth="1"/>
    <col min="50" max="50" width="8.5703125" style="15" bestFit="1" customWidth="1"/>
    <col min="51" max="51" width="18.85546875" style="35" bestFit="1" customWidth="1"/>
    <col min="52" max="52" width="13.5703125" style="35" bestFit="1" customWidth="1"/>
    <col min="53" max="53" width="20.5703125" style="35" bestFit="1" customWidth="1"/>
    <col min="54" max="54" width="14.7109375" bestFit="1" customWidth="1"/>
    <col min="55" max="55" width="11.42578125" bestFit="1" customWidth="1"/>
    <col min="56" max="56" width="19" bestFit="1" customWidth="1"/>
    <col min="61" max="61" width="10" bestFit="1" customWidth="1"/>
    <col min="62" max="62" width="12" bestFit="1" customWidth="1"/>
    <col min="63" max="63" width="14" bestFit="1" customWidth="1"/>
    <col min="64" max="64" width="17.140625" bestFit="1" customWidth="1"/>
  </cols>
  <sheetData>
    <row r="1" spans="1:56" s="49" customFormat="1" ht="30" x14ac:dyDescent="0.25">
      <c r="A1" s="52" t="s">
        <v>1</v>
      </c>
      <c r="B1" s="52" t="s">
        <v>6</v>
      </c>
      <c r="C1" s="52" t="s">
        <v>96</v>
      </c>
      <c r="D1" s="52" t="s">
        <v>2</v>
      </c>
      <c r="E1" s="52" t="s">
        <v>150</v>
      </c>
      <c r="F1" s="52" t="s">
        <v>3</v>
      </c>
      <c r="G1" s="52" t="s">
        <v>108</v>
      </c>
      <c r="H1" s="52" t="s">
        <v>129</v>
      </c>
      <c r="I1" s="54" t="s">
        <v>127</v>
      </c>
      <c r="J1" s="54" t="s">
        <v>128</v>
      </c>
      <c r="K1" s="54" t="s">
        <v>271</v>
      </c>
      <c r="L1" s="54" t="s">
        <v>284</v>
      </c>
      <c r="M1" s="52" t="s">
        <v>32</v>
      </c>
      <c r="N1" s="52" t="s">
        <v>142</v>
      </c>
      <c r="O1" s="54" t="s">
        <v>272</v>
      </c>
      <c r="P1" s="54" t="s">
        <v>285</v>
      </c>
      <c r="Q1" s="52" t="s">
        <v>5</v>
      </c>
      <c r="R1" s="52" t="s">
        <v>143</v>
      </c>
      <c r="S1" s="56" t="s">
        <v>273</v>
      </c>
      <c r="T1" s="56" t="s">
        <v>286</v>
      </c>
      <c r="U1" s="52" t="s">
        <v>138</v>
      </c>
      <c r="V1" s="52" t="s">
        <v>144</v>
      </c>
      <c r="W1" s="54" t="s">
        <v>274</v>
      </c>
      <c r="X1" s="54" t="s">
        <v>287</v>
      </c>
      <c r="Y1" s="52" t="s">
        <v>137</v>
      </c>
      <c r="Z1" s="52" t="s">
        <v>145</v>
      </c>
      <c r="AA1" s="54" t="s">
        <v>275</v>
      </c>
      <c r="AB1" s="54" t="s">
        <v>288</v>
      </c>
      <c r="AC1" s="52" t="s">
        <v>139</v>
      </c>
      <c r="AD1" s="52" t="s">
        <v>146</v>
      </c>
      <c r="AE1" s="54" t="s">
        <v>276</v>
      </c>
      <c r="AF1" s="54" t="s">
        <v>289</v>
      </c>
      <c r="AG1" s="57" t="s">
        <v>266</v>
      </c>
      <c r="AH1" s="52" t="s">
        <v>277</v>
      </c>
      <c r="AI1" s="54" t="s">
        <v>278</v>
      </c>
      <c r="AJ1" s="54" t="s">
        <v>290</v>
      </c>
      <c r="AK1" s="52" t="s">
        <v>279</v>
      </c>
      <c r="AL1" s="60" t="s">
        <v>283</v>
      </c>
      <c r="AM1" s="54" t="s">
        <v>280</v>
      </c>
      <c r="AN1" s="54" t="s">
        <v>291</v>
      </c>
      <c r="AO1" s="52" t="s">
        <v>140</v>
      </c>
      <c r="AP1" s="52" t="s">
        <v>147</v>
      </c>
      <c r="AQ1" s="54" t="s">
        <v>295</v>
      </c>
      <c r="AR1" s="54" t="s">
        <v>292</v>
      </c>
      <c r="AS1" s="52" t="s">
        <v>33</v>
      </c>
      <c r="AT1" s="52" t="s">
        <v>148</v>
      </c>
      <c r="AU1" s="54" t="s">
        <v>281</v>
      </c>
      <c r="AV1" s="54" t="s">
        <v>293</v>
      </c>
      <c r="AW1" s="52" t="s">
        <v>203</v>
      </c>
      <c r="AX1" s="52" t="s">
        <v>141</v>
      </c>
      <c r="AY1" s="52" t="s">
        <v>149</v>
      </c>
      <c r="AZ1" s="54" t="s">
        <v>282</v>
      </c>
      <c r="BA1" s="52" t="s">
        <v>294</v>
      </c>
      <c r="BB1" s="54" t="s">
        <v>118</v>
      </c>
      <c r="BC1" s="53" t="s">
        <v>267</v>
      </c>
      <c r="BD1" s="53" t="s">
        <v>268</v>
      </c>
    </row>
    <row r="2" spans="1:56" x14ac:dyDescent="0.25">
      <c r="A2" s="58" t="s">
        <v>178</v>
      </c>
      <c r="B2" s="58" t="s">
        <v>168</v>
      </c>
      <c r="C2" s="58" t="s">
        <v>97</v>
      </c>
      <c r="D2" s="58" t="s">
        <v>179</v>
      </c>
      <c r="E2" s="58" t="s">
        <v>151</v>
      </c>
      <c r="F2" s="61">
        <v>0</v>
      </c>
      <c r="G2" s="61"/>
      <c r="H2" s="61"/>
      <c r="I2" s="61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RHM1.00KADCT-ND</v>
      </c>
      <c r="J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0.13</v>
      </c>
      <c r="K2" s="61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" s="64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(RHM1.00KADCT-ND)</v>
      </c>
      <c r="M2" s="58" t="s">
        <v>177</v>
      </c>
      <c r="N2" s="50">
        <v>0.13</v>
      </c>
      <c r="O2" s="55" t="str">
        <f>IF(Table1[[#This Row],[Digikey]]="","", HYPERLINK(Table1[[#This Row],[Destination - Digikey]],_xlfn.CONCAT("Link (",Table1[[#This Row],[Digikey]],")")))</f>
        <v>Link (RHM1.00KADCT-ND)</v>
      </c>
      <c r="P2" s="65" t="str">
        <f>_xlfn.CONCAT("https://www.digikey.ch/products/en?keywords=",Table1[[#This Row],[Digikey]])</f>
        <v>https://www.digikey.ch/products/en?keywords=RHM1.00KADCT-ND</v>
      </c>
      <c r="Q2" s="58"/>
      <c r="R2" s="50"/>
      <c r="S2" s="55" t="str">
        <f>IF(Table1[[#This Row],[Farnell]]="","", HYPERLINK(Table1[[#This Row],[Destination - Farnell]],_xlfn.CONCAT("Link (",Table1[[#This Row],[Farnell]],")")))</f>
        <v/>
      </c>
      <c r="T2" s="65" t="str">
        <f>_xlfn.CONCAT("https://ch.farnell.com/fr-CH/",Table1[[#This Row],[Farnell]])</f>
        <v>https://ch.farnell.com/fr-CH/</v>
      </c>
      <c r="U2" s="58"/>
      <c r="V2" s="50"/>
      <c r="W2" s="55" t="str">
        <f>IF(Table1[[#This Row],[Distrelec]]="","", HYPERLINK(Table1[[#This Row],[Destination - Distrelec]],_xlfn.CONCAT("Link (",Table1[[#This Row],[Distrelec]],")")))</f>
        <v/>
      </c>
      <c r="X2" s="65" t="str">
        <f>_xlfn.CONCAT("https://www.distrelec.ch/search?q=",Table1[[#This Row],[Distrelec]])</f>
        <v>https://www.distrelec.ch/search?q=</v>
      </c>
      <c r="Y2" s="58"/>
      <c r="Z2" s="50"/>
      <c r="AA2" s="55" t="str">
        <f>IF(Table1[[#This Row],[Conrad]]="","", HYPERLINK(Table1[[#This Row],[Destination - Conrad]],_xlfn.CONCAT("Link (",Table1[[#This Row],[Conrad]],")")))</f>
        <v/>
      </c>
      <c r="AB2" s="65"/>
      <c r="AC2" s="58"/>
      <c r="AD2" s="50"/>
      <c r="AE2" s="55" t="str">
        <f>IF(Table1[[#This Row],[Mouser]]="","", HYPERLINK(Table1[[#This Row],[Destination - Mouser]],_xlfn.CONCAT("Link (",Table1[[#This Row],[Mouser]],")")))</f>
        <v/>
      </c>
      <c r="AF2" s="65" t="str">
        <f>_xlfn.CONCAT("https://www.mouser.ch/ProductDetail/",Table1[[#This Row],[Mouser]])</f>
        <v>https://www.mouser.ch/ProductDetail/</v>
      </c>
      <c r="AG2" s="58"/>
      <c r="AH2" s="50"/>
      <c r="AI2" s="55" t="str">
        <f>IF(Table1[[#This Row],[Bauhaus]]="","", HYPERLINK(Table1[[#This Row],[Destination - Bauhaus]],_xlfn.CONCAT("Link (",Table1[[#This Row],[Bauhaus]],")")))</f>
        <v/>
      </c>
      <c r="AJ2" s="65" t="str">
        <f>_xlfn.CONCAT("https://www.bauhaus.ch/fr/search?query=",Table1[[#This Row],[Bauhaus]])</f>
        <v>https://www.bauhaus.ch/fr/search?query=</v>
      </c>
      <c r="AK2" s="50"/>
      <c r="AL2" s="50"/>
      <c r="AM2" s="55" t="str">
        <f>IF(Table1[[#This Row],[BricoEtLoisirs]]="","", HYPERLINK(Table1[[#This Row],[Destination - BricoEtLoisirs]],_xlfn.CONCAT("Link (",Table1[[#This Row],[BricoEtLoisirs]],")")))</f>
        <v/>
      </c>
      <c r="AN2" s="65" t="str">
        <f>_xlfn.CONCAT("https://bricoetloisirs.ch/p/",Table1[[#This Row],[BricoEtLoisirs]])</f>
        <v>https://bricoetloisirs.ch/p/</v>
      </c>
      <c r="AO2" s="58"/>
      <c r="AP2" s="50"/>
      <c r="AQ2" s="55" t="str">
        <f>IF(Table1[[#This Row],[Aliexpress]]="","", HYPERLINK(Table1[[#This Row],[Destination - Aliexpress]],_xlfn.CONCAT("Link (",Table1[[#This Row],[Aliexpress]],")")))</f>
        <v/>
      </c>
      <c r="AR2" s="65" t="str">
        <f>_xlfn.CONCAT("https://www.aliexpress.com/item/",Table1[[#This Row],[Aliexpress]],".html")</f>
        <v>https://www.aliexpress.com/item/.html</v>
      </c>
      <c r="AS2" s="58"/>
      <c r="AT2" s="50">
        <v>0.505</v>
      </c>
      <c r="AU2" s="55" t="str">
        <f>IF(Table1[[#This Row],[Banggood]]="","", HYPERLINK(Table1[[#This Row],[Destination - Banggood]],_xlfn.CONCAT("Link (",Table1[[#This Row],[Banggood]],")")))</f>
        <v/>
      </c>
      <c r="AV2" s="65" t="str">
        <f>_xlfn.CONCAT("https://www.banggood.com/search/",Table1[[#This Row],[Banggood]],".html")</f>
        <v>https://www.banggood.com/search/.html</v>
      </c>
      <c r="AW2" s="50"/>
      <c r="AX2" s="58"/>
      <c r="AY2" s="50"/>
      <c r="AZ2" s="55" t="str">
        <f>IF(Table1[[#This Row],[Other]]="","",IF(Table1[[#This Row],[Destination - Other]]="","",HYPERLINK(Table1[[#This Row],[Destination - Other]],_xlfn.CONCAT("Link ("&amp;Table1[[#This Row],[Other]]&amp;")"))))</f>
        <v/>
      </c>
      <c r="BA2" s="50"/>
      <c r="BB2" s="62" t="str">
        <f>IF(AND( Table1[[#This Row],[Auto Order]]=1,Table1[[#This Row],[Obsolete]]=""),IF(Table1[[#This Row],[In stock]]&lt;Table1[[#This Row],[Min in stock]],1,""),"")</f>
        <v/>
      </c>
      <c r="BC2" s="63"/>
      <c r="BD2" s="63" t="str">
        <f>IF(Table1[[#This Row],[Obsolete]],Table1[[#This Row],[Art. Number]],"")</f>
        <v/>
      </c>
    </row>
  </sheetData>
  <dataConsolidate/>
  <phoneticPr fontId="7" type="noConversion"/>
  <conditionalFormatting sqref="BB1:BB1048576">
    <cfRule type="cellIs" dxfId="31" priority="70" operator="equal">
      <formula>1</formula>
    </cfRule>
  </conditionalFormatting>
  <conditionalFormatting sqref="E1:E1048576">
    <cfRule type="containsText" dxfId="30" priority="4" operator="containsText" text="N/A">
      <formula>NOT(ISERROR(SEARCH("N/A",E1)))</formula>
    </cfRule>
  </conditionalFormatting>
  <conditionalFormatting sqref="F1:F1048576">
    <cfRule type="containsBlanks" priority="11" stopIfTrue="1">
      <formula>LEN(TRIM(F1))=0</formula>
    </cfRule>
  </conditionalFormatting>
  <conditionalFormatting sqref="F1:G1048576">
    <cfRule type="cellIs" dxfId="29" priority="19" stopIfTrue="1" operator="lessThan">
      <formula>0</formula>
    </cfRule>
  </conditionalFormatting>
  <conditionalFormatting sqref="F2:F999596">
    <cfRule type="cellIs" dxfId="28" priority="30" operator="lessThan">
      <formula>$G2</formula>
    </cfRule>
  </conditionalFormatting>
  <conditionalFormatting sqref="A1:A1048576">
    <cfRule type="containsBlanks" priority="80" stopIfTrue="1">
      <formula>LEN(TRIM(A1))=0</formula>
    </cfRule>
    <cfRule type="cellIs" dxfId="27" priority="81" operator="equal">
      <formula>$BD1</formula>
    </cfRule>
    <cfRule type="duplicateValues" dxfId="26" priority="8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E12" sqref="E12:E13"/>
    </sheetView>
  </sheetViews>
  <sheetFormatPr defaultColWidth="9.140625"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3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4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0">
        <v>2</v>
      </c>
      <c r="N1" t="s">
        <v>269</v>
      </c>
    </row>
    <row r="2" spans="1:14" x14ac:dyDescent="0.25">
      <c r="A2" s="3" t="s">
        <v>263</v>
      </c>
      <c r="B2" s="4" t="e">
        <f>VLOOKUP(Table14113[[#This Row],[Man. Number]],Articles!A:F,COLUMN(Articles!$D$1)-COLUMN(Articles!$A$1)+1,FALSE)</f>
        <v>#N/A</v>
      </c>
      <c r="C2" s="4" t="e">
        <f>VLOOKUP(Table14113[[#This Row],[Man. Number]],Articles!A:F,COLUMN(Articles!$C$1)-COLUMN(Articles!$A$1)+1,FALSE)</f>
        <v>#N/A</v>
      </c>
      <c r="D2" s="4" t="s">
        <v>29</v>
      </c>
      <c r="E2" s="33">
        <v>1</v>
      </c>
      <c r="F2" s="4" t="e">
        <f>VLOOKUP(Table14113[[#This Row],[Man. Number]],Articles!A:F,COLUMN(Articles!$F$1)-COLUMN(Articles!$A$1)+1,FALSE)</f>
        <v>#N/A</v>
      </c>
      <c r="G2" s="4" t="e">
        <f>IF(Table14113[[#This Row],[In stock]] &gt;= Table14113[[#This Row],[Quantity]],"YES","NO")</f>
        <v>#N/A</v>
      </c>
      <c r="H2" s="4" t="e">
        <f>VLOOKUP(Table14113[[#This Row],[Man. Number]],Articles!A:J,COLUMN(Articles!$J$1)-COLUMN(Articles!$A$1)+1,FALSE)*Table14113[[#This Row],[Quantity]]</f>
        <v>#N/A</v>
      </c>
      <c r="I2" s="4">
        <f>Table14113[[#This Row],[Quantity]]*$M$1</f>
        <v>2</v>
      </c>
      <c r="J2" s="4" t="e">
        <f>IF(Table14113[[#This Row],[In stock]] &gt;= Table14113[[#This Row],[Total quantity]],"YES","NO")</f>
        <v>#N/A</v>
      </c>
    </row>
    <row r="3" spans="1:14" x14ac:dyDescent="0.25">
      <c r="A3" s="3" t="s">
        <v>224</v>
      </c>
      <c r="B3" s="4" t="e">
        <f>VLOOKUP(Table14113[[#This Row],[Man. Number]],Articles!A:F,COLUMN(Articles!$D$1)-COLUMN(Articles!$A$1)+1,FALSE)</f>
        <v>#N/A</v>
      </c>
      <c r="C3" s="4" t="e">
        <f>VLOOKUP(Table14113[[#This Row],[Man. Number]],Articles!A:F,COLUMN(Articles!$C$1)-COLUMN(Articles!$A$1)+1,FALSE)</f>
        <v>#N/A</v>
      </c>
      <c r="D3" s="4" t="s">
        <v>29</v>
      </c>
      <c r="E3" s="33">
        <v>19</v>
      </c>
      <c r="F3" s="4" t="e">
        <f>VLOOKUP(Table14113[[#This Row],[Man. Number]],Articles!A:F,COLUMN(Articles!$F$1)-COLUMN(Articles!$A$1)+1,FALSE)</f>
        <v>#N/A</v>
      </c>
      <c r="G3" s="4" t="e">
        <f>IF(Table14113[[#This Row],[In stock]] &gt;= Table14113[[#This Row],[Quantity]],"YES","NO")</f>
        <v>#N/A</v>
      </c>
      <c r="H3" s="4" t="e">
        <f>VLOOKUP(Table14113[[#This Row],[Man. Number]],Articles!A:J,COLUMN(Articles!$J$1)-COLUMN(Articles!$A$1)+1,FALSE)*Table14113[[#This Row],[Quantity]]</f>
        <v>#N/A</v>
      </c>
      <c r="I3" s="4">
        <f>Table14113[[#This Row],[Quantity]]*$M$1</f>
        <v>38</v>
      </c>
      <c r="J3" s="4" t="e">
        <f>IF(Table14113[[#This Row],[In stock]] &gt;= Table14113[[#This Row],[Total quantity]],"YES","NO")</f>
        <v>#N/A</v>
      </c>
    </row>
    <row r="4" spans="1:14" x14ac:dyDescent="0.25">
      <c r="A4" s="4" t="s">
        <v>42</v>
      </c>
      <c r="B4" s="4" t="e">
        <f>VLOOKUP(Table14113[[#This Row],[Man. Number]],Articles!A:F,COLUMN(Articles!$D$1)-COLUMN(Articles!$A$1)+1,FALSE)</f>
        <v>#N/A</v>
      </c>
      <c r="C4" s="4" t="e">
        <f>VLOOKUP(Table14113[[#This Row],[Man. Number]],Articles!A:F,COLUMN(Articles!$C$1)-COLUMN(Articles!$A$1)+1,FALSE)</f>
        <v>#N/A</v>
      </c>
      <c r="D4" s="4" t="s">
        <v>29</v>
      </c>
      <c r="E4" s="33">
        <v>1</v>
      </c>
      <c r="F4" s="4" t="e">
        <f>VLOOKUP(Table14113[[#This Row],[Man. Number]],Articles!A:F,COLUMN(Articles!$F$1)-COLUMN(Articles!$A$1)+1,FALSE)</f>
        <v>#N/A</v>
      </c>
      <c r="G4" s="4" t="e">
        <f>IF(Table14113[[#This Row],[In stock]] &gt;= Table14113[[#This Row],[Quantity]],"YES","NO")</f>
        <v>#N/A</v>
      </c>
      <c r="H4" s="4" t="e">
        <f>VLOOKUP(Table14113[[#This Row],[Man. Number]],Articles!A:J,COLUMN(Articles!$J$1)-COLUMN(Articles!$A$1)+1,FALSE)*Table14113[[#This Row],[Quantity]]</f>
        <v>#N/A</v>
      </c>
      <c r="I4" s="4">
        <f>Table14113[[#This Row],[Quantity]]*$M$1</f>
        <v>2</v>
      </c>
      <c r="J4" s="4" t="e">
        <f>IF(Table14113[[#This Row],[In stock]] &gt;= Table14113[[#This Row],[Total quantity]],"YES","NO")</f>
        <v>#N/A</v>
      </c>
    </row>
    <row r="5" spans="1:14" x14ac:dyDescent="0.25">
      <c r="A5" s="38" t="s">
        <v>234</v>
      </c>
      <c r="B5" s="33" t="e">
        <f>VLOOKUP(Table14113[[#This Row],[Man. Number]],Articles!A:F,COLUMN(Articles!$D$1)-COLUMN(Articles!$A$1)+1,FALSE)</f>
        <v>#N/A</v>
      </c>
      <c r="C5" s="33" t="e">
        <f>VLOOKUP(Table14113[[#This Row],[Man. Number]],Articles!A:F,COLUMN(Articles!$C$1)-COLUMN(Articles!$A$1)+1,FALSE)</f>
        <v>#N/A</v>
      </c>
      <c r="D5" s="4" t="s">
        <v>29</v>
      </c>
      <c r="E5" s="33">
        <v>2</v>
      </c>
      <c r="F5" s="33" t="e">
        <f>VLOOKUP(Table14113[[#This Row],[Man. Number]],Articles!A:F,COLUMN(Articles!$F$1)-COLUMN(Articles!$A$1)+1,FALSE)</f>
        <v>#N/A</v>
      </c>
      <c r="G5" s="33" t="e">
        <f>IF(Table14113[[#This Row],[In stock]] &gt;= Table14113[[#This Row],[Quantity]],"YES","NO")</f>
        <v>#N/A</v>
      </c>
      <c r="H5" s="33" t="e">
        <f>VLOOKUP(Table14113[[#This Row],[Man. Number]],Articles!A:J,COLUMN(Articles!$J$1)-COLUMN(Articles!$A$1)+1,FALSE)*Table14113[[#This Row],[Quantity]]</f>
        <v>#N/A</v>
      </c>
      <c r="I5" s="33">
        <f>Table14113[[#This Row],[Quantity]]*$M$1</f>
        <v>4</v>
      </c>
      <c r="J5" s="33" t="e">
        <f>IF(Table14113[[#This Row],[In stock]] &gt;= Table14113[[#This Row],[Total quantity]],"YES","NO")</f>
        <v>#N/A</v>
      </c>
    </row>
    <row r="6" spans="1:14" x14ac:dyDescent="0.25">
      <c r="A6" s="3" t="s">
        <v>160</v>
      </c>
      <c r="B6" s="4" t="e">
        <f>VLOOKUP(Table14113[[#This Row],[Man. Number]],Articles!A:F,COLUMN(Articles!$D$1)-COLUMN(Articles!$A$1)+1,FALSE)</f>
        <v>#N/A</v>
      </c>
      <c r="C6" s="4" t="e">
        <f>VLOOKUP(Table14113[[#This Row],[Man. Number]],Articles!A:F,COLUMN(Articles!$C$1)-COLUMN(Articles!$A$1)+1,FALSE)</f>
        <v>#N/A</v>
      </c>
      <c r="D6" s="4" t="s">
        <v>254</v>
      </c>
      <c r="E6" s="33">
        <v>4</v>
      </c>
      <c r="F6" s="4" t="e">
        <f>VLOOKUP(Table14113[[#This Row],[Man. Number]],Articles!A:F,COLUMN(Articles!$F$1)-COLUMN(Articles!$A$1)+1,FALSE)</f>
        <v>#N/A</v>
      </c>
      <c r="G6" s="4" t="e">
        <f>IF(Table14113[[#This Row],[In stock]] &gt;= Table14113[[#This Row],[Quantity]],"YES","NO")</f>
        <v>#N/A</v>
      </c>
      <c r="H6" s="4" t="e">
        <f>VLOOKUP(Table14113[[#This Row],[Man. Number]],Articles!A:J,COLUMN(Articles!$J$1)-COLUMN(Articles!$A$1)+1,FALSE)*Table14113[[#This Row],[Quantity]]</f>
        <v>#N/A</v>
      </c>
      <c r="I6" s="4">
        <f>Table14113[[#This Row],[Quantity]]*$M$1</f>
        <v>8</v>
      </c>
      <c r="J6" s="4" t="e">
        <f>IF(Table14113[[#This Row],[In stock]] &gt;= Table14113[[#This Row],[Total quantity]],"YES","NO")</f>
        <v>#N/A</v>
      </c>
    </row>
    <row r="7" spans="1:14" x14ac:dyDescent="0.25">
      <c r="A7" s="33" t="s">
        <v>231</v>
      </c>
      <c r="B7" s="4" t="e">
        <f>VLOOKUP(Table14113[[#This Row],[Man. Number]],Articles!A:F,COLUMN(Articles!$D$1)-COLUMN(Articles!$A$1)+1,FALSE)</f>
        <v>#N/A</v>
      </c>
      <c r="C7" s="4" t="e">
        <f>VLOOKUP(Table14113[[#This Row],[Man. Number]],Articles!A:F,COLUMN(Articles!$C$1)-COLUMN(Articles!$A$1)+1,FALSE)</f>
        <v>#N/A</v>
      </c>
      <c r="D7" s="4" t="s">
        <v>68</v>
      </c>
      <c r="E7" s="33">
        <v>1</v>
      </c>
      <c r="F7" s="4" t="e">
        <f>VLOOKUP(Table14113[[#This Row],[Man. Number]],Articles!A:F,COLUMN(Articles!$F$1)-COLUMN(Articles!$A$1)+1,FALSE)</f>
        <v>#N/A</v>
      </c>
      <c r="G7" s="4" t="e">
        <f>IF(Table14113[[#This Row],[In stock]] &gt;= Table14113[[#This Row],[Quantity]],"YES","NO")</f>
        <v>#N/A</v>
      </c>
      <c r="H7" s="4" t="e">
        <f>VLOOKUP(Table14113[[#This Row],[Man. Number]],Articles!A:J,COLUMN(Articles!$J$1)-COLUMN(Articles!$A$1)+1,FALSE)*Table14113[[#This Row],[Quantity]]</f>
        <v>#N/A</v>
      </c>
      <c r="I7" s="4">
        <f>Table14113[[#This Row],[Quantity]]*$M$1</f>
        <v>2</v>
      </c>
      <c r="J7" s="4" t="e">
        <f>IF(Table14113[[#This Row],[In stock]] &gt;= Table14113[[#This Row],[Total quantity]],"YES","NO")</f>
        <v>#N/A</v>
      </c>
    </row>
    <row r="8" spans="1:14" x14ac:dyDescent="0.25">
      <c r="A8" s="3" t="s">
        <v>206</v>
      </c>
      <c r="B8" s="4" t="e">
        <f>VLOOKUP(Table14113[[#This Row],[Man. Number]],Articles!A:F,COLUMN(Articles!$D$1)-COLUMN(Articles!$A$1)+1,FALSE)</f>
        <v>#N/A</v>
      </c>
      <c r="C8" s="4" t="e">
        <f>VLOOKUP(Table14113[[#This Row],[Man. Number]],Articles!A:F,COLUMN(Articles!$C$1)-COLUMN(Articles!$A$1)+1,FALSE)</f>
        <v>#N/A</v>
      </c>
      <c r="D8" s="4" t="s">
        <v>255</v>
      </c>
      <c r="E8" s="33">
        <v>7</v>
      </c>
      <c r="F8" s="4" t="e">
        <f>VLOOKUP(Table14113[[#This Row],[Man. Number]],Articles!A:F,COLUMN(Articles!$F$1)-COLUMN(Articles!$A$1)+1,FALSE)</f>
        <v>#N/A</v>
      </c>
      <c r="G8" s="4" t="e">
        <f>IF(Table14113[[#This Row],[In stock]] &gt;= Table14113[[#This Row],[Quantity]],"YES","NO")</f>
        <v>#N/A</v>
      </c>
      <c r="H8" s="4" t="e">
        <f>VLOOKUP(Table14113[[#This Row],[Man. Number]],Articles!A:J,COLUMN(Articles!$J$1)-COLUMN(Articles!$A$1)+1,FALSE)*Table14113[[#This Row],[Quantity]]</f>
        <v>#N/A</v>
      </c>
      <c r="I8" s="4">
        <f>Table14113[[#This Row],[Quantity]]*$M$1</f>
        <v>14</v>
      </c>
      <c r="J8" s="4" t="e">
        <f>IF(Table14113[[#This Row],[In stock]] &gt;= Table14113[[#This Row],[Total quantity]],"YES","NO")</f>
        <v>#N/A</v>
      </c>
    </row>
    <row r="9" spans="1:14" x14ac:dyDescent="0.25">
      <c r="A9" s="3" t="s">
        <v>64</v>
      </c>
      <c r="B9" s="4" t="e">
        <f>VLOOKUP(Table14113[[#This Row],[Man. Number]],Articles!A:F,COLUMN(Articles!$D$1)-COLUMN(Articles!$A$1)+1,FALSE)</f>
        <v>#N/A</v>
      </c>
      <c r="C9" s="4" t="e">
        <f>VLOOKUP(Table14113[[#This Row],[Man. Number]],Articles!A:F,COLUMN(Articles!$C$1)-COLUMN(Articles!$A$1)+1,FALSE)</f>
        <v>#N/A</v>
      </c>
      <c r="D9" s="4" t="s">
        <v>65</v>
      </c>
      <c r="E9" s="33">
        <v>1</v>
      </c>
      <c r="F9" s="4" t="e">
        <f>VLOOKUP(Table14113[[#This Row],[Man. Number]],Articles!A:F,COLUMN(Articles!$F$1)-COLUMN(Articles!$A$1)+1,FALSE)</f>
        <v>#N/A</v>
      </c>
      <c r="G9" s="4" t="e">
        <f>IF(Table14113[[#This Row],[In stock]] &gt;= Table14113[[#This Row],[Quantity]],"YES","NO")</f>
        <v>#N/A</v>
      </c>
      <c r="H9" s="4" t="e">
        <f>VLOOKUP(Table14113[[#This Row],[Man. Number]],Articles!A:J,COLUMN(Articles!$J$1)-COLUMN(Articles!$A$1)+1,FALSE)*Table14113[[#This Row],[Quantity]]</f>
        <v>#N/A</v>
      </c>
      <c r="I9" s="4">
        <f>Table14113[[#This Row],[Quantity]]*$M$1</f>
        <v>2</v>
      </c>
      <c r="J9" s="4" t="e">
        <f>IF(Table14113[[#This Row],[In stock]] &gt;= Table14113[[#This Row],[Total quantity]],"YES","NO")</f>
        <v>#N/A</v>
      </c>
    </row>
    <row r="10" spans="1:14" x14ac:dyDescent="0.25">
      <c r="A10" s="38" t="s">
        <v>58</v>
      </c>
      <c r="B10" s="33" t="e">
        <f>VLOOKUP(Table14113[[#This Row],[Man. Number]],Articles!A:F,COLUMN(Articles!$D$1)-COLUMN(Articles!$A$1)+1,FALSE)</f>
        <v>#N/A</v>
      </c>
      <c r="C10" s="33" t="e">
        <f>VLOOKUP(Table14113[[#This Row],[Man. Number]],Articles!A:F,COLUMN(Articles!$C$1)-COLUMN(Articles!$A$1)+1,FALSE)</f>
        <v>#N/A</v>
      </c>
      <c r="D10" s="4" t="s">
        <v>71</v>
      </c>
      <c r="E10" s="33">
        <v>1</v>
      </c>
      <c r="F10" s="33" t="e">
        <f>VLOOKUP(Table14113[[#This Row],[Man. Number]],Articles!A:F,COLUMN(Articles!$F$1)-COLUMN(Articles!$A$1)+1,FALSE)</f>
        <v>#N/A</v>
      </c>
      <c r="G10" s="33" t="e">
        <f>IF(Table14113[[#This Row],[In stock]] &gt;= Table14113[[#This Row],[Quantity]],"YES","NO")</f>
        <v>#N/A</v>
      </c>
      <c r="H10" s="33" t="e">
        <f>VLOOKUP(Table14113[[#This Row],[Man. Number]],Articles!A:J,COLUMN(Articles!$J$1)-COLUMN(Articles!$A$1)+1,FALSE)*Table14113[[#This Row],[Quantity]]</f>
        <v>#N/A</v>
      </c>
      <c r="I10" s="33">
        <f>Table14113[[#This Row],[Quantity]]*$M$1</f>
        <v>2</v>
      </c>
      <c r="J10" s="33" t="e">
        <f>IF(Table14113[[#This Row],[In stock]] &gt;= Table14113[[#This Row],[Total quantity]],"YES","NO")</f>
        <v>#N/A</v>
      </c>
    </row>
    <row r="11" spans="1:14" x14ac:dyDescent="0.25">
      <c r="A11" s="3" t="s">
        <v>93</v>
      </c>
      <c r="B11" s="4" t="e">
        <f>VLOOKUP(Table14113[[#This Row],[Man. Number]],Articles!A:F,COLUMN(Articles!$D$1)-COLUMN(Articles!$A$1)+1,FALSE)</f>
        <v>#N/A</v>
      </c>
      <c r="C11" s="4" t="e">
        <f>VLOOKUP(Table14113[[#This Row],[Man. Number]],Articles!A:F,COLUMN(Articles!$C$1)-COLUMN(Articles!$A$1)+1,FALSE)</f>
        <v>#N/A</v>
      </c>
      <c r="D11" s="4" t="s">
        <v>74</v>
      </c>
      <c r="E11" s="33">
        <v>1</v>
      </c>
      <c r="F11" s="4" t="e">
        <f>VLOOKUP(Table14113[[#This Row],[Man. Number]],Articles!A:F,COLUMN(Articles!$F$1)-COLUMN(Articles!$A$1)+1,FALSE)</f>
        <v>#N/A</v>
      </c>
      <c r="G11" s="4" t="e">
        <f>IF(Table14113[[#This Row],[In stock]] &gt;= Table14113[[#This Row],[Quantity]],"YES","NO")</f>
        <v>#N/A</v>
      </c>
      <c r="H11" s="4" t="e">
        <f>VLOOKUP(Table14113[[#This Row],[Man. Number]],Articles!A:J,COLUMN(Articles!$J$1)-COLUMN(Articles!$A$1)+1,FALSE)*Table14113[[#This Row],[Quantity]]</f>
        <v>#N/A</v>
      </c>
      <c r="I11" s="4">
        <f>Table14113[[#This Row],[Quantity]]*$M$1</f>
        <v>2</v>
      </c>
      <c r="J11" s="4" t="e">
        <f>IF(Table14113[[#This Row],[In stock]] &gt;= Table14113[[#This Row],[Total quantity]],"YES","NO")</f>
        <v>#N/A</v>
      </c>
    </row>
    <row r="12" spans="1:14" x14ac:dyDescent="0.25">
      <c r="A12" s="33" t="s">
        <v>57</v>
      </c>
      <c r="B12" s="33" t="e">
        <f>VLOOKUP(Table14113[[#This Row],[Man. Number]],Articles!A:F,COLUMN(Articles!$D$1)-COLUMN(Articles!$A$1)+1,FALSE)</f>
        <v>#N/A</v>
      </c>
      <c r="C12" s="33" t="e">
        <f>VLOOKUP(Table14113[[#This Row],[Man. Number]],Articles!A:F,COLUMN(Articles!$C$1)-COLUMN(Articles!$A$1)+1,FALSE)</f>
        <v>#N/A</v>
      </c>
      <c r="D12" s="4" t="s">
        <v>212</v>
      </c>
      <c r="E12" s="33">
        <v>1</v>
      </c>
      <c r="F12" s="33" t="e">
        <f>VLOOKUP(Table14113[[#This Row],[Man. Number]],Articles!A:F,COLUMN(Articles!$F$1)-COLUMN(Articles!$A$1)+1,FALSE)</f>
        <v>#N/A</v>
      </c>
      <c r="G12" s="33" t="e">
        <f>IF(Table14113[[#This Row],[In stock]] &gt;= Table14113[[#This Row],[Quantity]],"YES","NO")</f>
        <v>#N/A</v>
      </c>
      <c r="H12" s="33" t="e">
        <f>VLOOKUP(Table14113[[#This Row],[Man. Number]],Articles!A:J,COLUMN(Articles!$J$1)-COLUMN(Articles!$A$1)+1,FALSE)*Table14113[[#This Row],[Quantity]]</f>
        <v>#N/A</v>
      </c>
      <c r="I12" s="33">
        <f>Table14113[[#This Row],[Quantity]]*$M$1</f>
        <v>2</v>
      </c>
      <c r="J12" s="33" t="e">
        <f>IF(Table14113[[#This Row],[In stock]] &gt;= Table14113[[#This Row],[Total quantity]],"YES","NO")</f>
        <v>#N/A</v>
      </c>
    </row>
    <row r="13" spans="1:14" x14ac:dyDescent="0.25">
      <c r="A13" s="47" t="s">
        <v>264</v>
      </c>
      <c r="B13" s="4" t="e">
        <f>VLOOKUP(Table14113[[#This Row],[Man. Number]],Articles!A:F,COLUMN(Articles!$D$1)-COLUMN(Articles!$A$1)+1,FALSE)</f>
        <v>#N/A</v>
      </c>
      <c r="C13" s="4" t="e">
        <f>VLOOKUP(Table14113[[#This Row],[Man. Number]],Articles!A:F,COLUMN(Articles!$C$1)-COLUMN(Articles!$A$1)+1,FALSE)</f>
        <v>#N/A</v>
      </c>
      <c r="D13" s="4" t="s">
        <v>90</v>
      </c>
      <c r="E13" s="33">
        <v>1</v>
      </c>
      <c r="F13" s="4" t="e">
        <f>VLOOKUP(Table14113[[#This Row],[Man. Number]],Articles!A:F,COLUMN(Articles!$F$1)-COLUMN(Articles!$A$1)+1,FALSE)</f>
        <v>#N/A</v>
      </c>
      <c r="G13" s="4" t="e">
        <f>IF(Table14113[[#This Row],[In stock]] &gt;= Table14113[[#This Row],[Quantity]],"YES","NO")</f>
        <v>#N/A</v>
      </c>
      <c r="H13" s="4" t="e">
        <f>VLOOKUP(Table14113[[#This Row],[Man. Number]],Articles!A:J,COLUMN(Articles!$J$1)-COLUMN(Articles!$A$1)+1,FALSE)*Table14113[[#This Row],[Quantity]]</f>
        <v>#N/A</v>
      </c>
      <c r="I13" s="4">
        <f>Table14113[[#This Row],[Quantity]]*$M$1</f>
        <v>2</v>
      </c>
      <c r="J13" s="4" t="e">
        <f>IF(Table14113[[#This Row],[In stock]] &gt;= Table14113[[#This Row],[Total quantity]],"YES","NO")</f>
        <v>#N/A</v>
      </c>
    </row>
    <row r="14" spans="1:14" x14ac:dyDescent="0.25">
      <c r="A14" s="38" t="s">
        <v>163</v>
      </c>
      <c r="B14" s="33" t="e">
        <f>VLOOKUP(Table14113[[#This Row],[Man. Number]],Articles!A:F,COLUMN(Articles!$D$1)-COLUMN(Articles!$A$1)+1,FALSE)</f>
        <v>#N/A</v>
      </c>
      <c r="C14" s="33" t="e">
        <f>VLOOKUP(Table14113[[#This Row],[Man. Number]],Articles!A:F,COLUMN(Articles!$C$1)-COLUMN(Articles!$A$1)+1,FALSE)</f>
        <v>#N/A</v>
      </c>
      <c r="D14" s="4" t="s">
        <v>238</v>
      </c>
      <c r="E14" s="33">
        <v>1</v>
      </c>
      <c r="F14" s="33" t="e">
        <f>VLOOKUP(Table14113[[#This Row],[Man. Number]],Articles!A:F,COLUMN(Articles!$F$1)-COLUMN(Articles!$A$1)+1,FALSE)</f>
        <v>#N/A</v>
      </c>
      <c r="G14" s="33" t="e">
        <f>IF(Table14113[[#This Row],[In stock]] &gt;= Table14113[[#This Row],[Quantity]],"YES","NO")</f>
        <v>#N/A</v>
      </c>
      <c r="H14" s="33" t="e">
        <f>VLOOKUP(Table14113[[#This Row],[Man. Number]],Articles!A:J,COLUMN(Articles!$J$1)-COLUMN(Articles!$A$1)+1,FALSE)*Table14113[[#This Row],[Quantity]]</f>
        <v>#N/A</v>
      </c>
      <c r="I14" s="33">
        <f>Table14113[[#This Row],[Quantity]]*$M$1</f>
        <v>2</v>
      </c>
      <c r="J14" s="33" t="e">
        <f>IF(Table14113[[#This Row],[In stock]] &gt;= Table14113[[#This Row],[Total quantity]],"YES","NO")</f>
        <v>#N/A</v>
      </c>
    </row>
    <row r="15" spans="1:14" x14ac:dyDescent="0.25">
      <c r="A15" s="39" t="s">
        <v>20</v>
      </c>
      <c r="B15" s="4" t="e">
        <f>VLOOKUP(Table14113[[#This Row],[Man. Number]],Articles!A:F,COLUMN(Articles!$D$1)-COLUMN(Articles!$A$1)+1,FALSE)</f>
        <v>#N/A</v>
      </c>
      <c r="C15" s="4" t="e">
        <f>VLOOKUP(Table14113[[#This Row],[Man. Number]],Articles!A:F,COLUMN(Articles!$C$1)-COLUMN(Articles!$A$1)+1,FALSE)</f>
        <v>#N/A</v>
      </c>
      <c r="D15" s="4" t="s">
        <v>228</v>
      </c>
      <c r="E15" s="33">
        <v>2</v>
      </c>
      <c r="F15" s="4" t="e">
        <f>VLOOKUP(Table14113[[#This Row],[Man. Number]],Articles!A:F,COLUMN(Articles!$F$1)-COLUMN(Articles!$A$1)+1,FALSE)</f>
        <v>#N/A</v>
      </c>
      <c r="G15" s="4" t="e">
        <f>IF(Table14113[[#This Row],[In stock]] &gt;= Table14113[[#This Row],[Quantity]],"YES","NO")</f>
        <v>#N/A</v>
      </c>
      <c r="H15" s="4" t="e">
        <f>VLOOKUP(Table14113[[#This Row],[Man. Number]],Articles!A:J,COLUMN(Articles!$J$1)-COLUMN(Articles!$A$1)+1,FALSE)*Table14113[[#This Row],[Quantity]]</f>
        <v>#N/A</v>
      </c>
      <c r="I15" s="4">
        <f>Table14113[[#This Row],[Quantity]]*$M$1</f>
        <v>4</v>
      </c>
      <c r="J15" s="4" t="e">
        <f>IF(Table14113[[#This Row],[In stock]] &gt;= Table14113[[#This Row],[Total quantity]],"YES","NO")</f>
        <v>#N/A</v>
      </c>
    </row>
    <row r="16" spans="1:14" x14ac:dyDescent="0.25">
      <c r="A16" s="38" t="s">
        <v>190</v>
      </c>
      <c r="B16" s="4" t="e">
        <f>VLOOKUP(Table14113[[#This Row],[Man. Number]],Articles!A:F,COLUMN(Articles!$D$1)-COLUMN(Articles!$A$1)+1,FALSE)</f>
        <v>#N/A</v>
      </c>
      <c r="C16" s="4" t="e">
        <f>VLOOKUP(Table14113[[#This Row],[Man. Number]],Articles!A:F,COLUMN(Articles!$C$1)-COLUMN(Articles!$A$1)+1,FALSE)</f>
        <v>#N/A</v>
      </c>
      <c r="D16" s="4" t="s">
        <v>78</v>
      </c>
      <c r="E16" s="33">
        <v>1</v>
      </c>
      <c r="F16" s="4" t="e">
        <f>VLOOKUP(Table14113[[#This Row],[Man. Number]],Articles!A:F,COLUMN(Articles!$F$1)-COLUMN(Articles!$A$1)+1,FALSE)</f>
        <v>#N/A</v>
      </c>
      <c r="G16" s="4" t="e">
        <f>IF(Table14113[[#This Row],[In stock]] &gt;= Table14113[[#This Row],[Quantity]],"YES","NO")</f>
        <v>#N/A</v>
      </c>
      <c r="H16" s="4" t="e">
        <f>VLOOKUP(Table14113[[#This Row],[Man. Number]],Articles!A:J,COLUMN(Articles!$J$1)-COLUMN(Articles!$A$1)+1,FALSE)*Table14113[[#This Row],[Quantity]]</f>
        <v>#N/A</v>
      </c>
      <c r="I16" s="4">
        <f>Table14113[[#This Row],[Quantity]]*$M$1</f>
        <v>2</v>
      </c>
      <c r="J16" s="4" t="e">
        <f>IF(Table14113[[#This Row],[In stock]] &gt;= Table14113[[#This Row],[Total quantity]],"YES","NO")</f>
        <v>#N/A</v>
      </c>
    </row>
    <row r="17" spans="1:10" x14ac:dyDescent="0.25">
      <c r="A17" s="3" t="s">
        <v>53</v>
      </c>
      <c r="B17" s="4" t="e">
        <f>VLOOKUP(Table14113[[#This Row],[Man. Number]],Articles!A:F,COLUMN(Articles!$D$1)-COLUMN(Articles!$A$1)+1,FALSE)</f>
        <v>#N/A</v>
      </c>
      <c r="C17" s="4" t="e">
        <f>VLOOKUP(Table14113[[#This Row],[Man. Number]],Articles!A:F,COLUMN(Articles!$C$1)-COLUMN(Articles!$A$1)+1,FALSE)</f>
        <v>#N/A</v>
      </c>
      <c r="D17" s="4" t="s">
        <v>235</v>
      </c>
      <c r="E17" s="33">
        <v>4</v>
      </c>
      <c r="F17" s="4" t="e">
        <f>VLOOKUP(Table14113[[#This Row],[Man. Number]],Articles!A:F,COLUMN(Articles!$F$1)-COLUMN(Articles!$A$1)+1,FALSE)</f>
        <v>#N/A</v>
      </c>
      <c r="G17" s="4" t="e">
        <f>IF(Table14113[[#This Row],[In stock]] &gt;= Table14113[[#This Row],[Quantity]],"YES","NO")</f>
        <v>#N/A</v>
      </c>
      <c r="H17" s="4" t="e">
        <f>VLOOKUP(Table14113[[#This Row],[Man. Number]],Articles!A:J,COLUMN(Articles!$J$1)-COLUMN(Articles!$A$1)+1,FALSE)*Table14113[[#This Row],[Quantity]]</f>
        <v>#N/A</v>
      </c>
      <c r="I17" s="4">
        <f>Table14113[[#This Row],[Quantity]]*$M$1</f>
        <v>8</v>
      </c>
      <c r="J17" s="4" t="e">
        <f>IF(Table14113[[#This Row],[In stock]] &gt;= Table14113[[#This Row],[Total quantity]],"YES","NO")</f>
        <v>#N/A</v>
      </c>
    </row>
    <row r="18" spans="1:10" x14ac:dyDescent="0.25">
      <c r="A18" s="38" t="s">
        <v>193</v>
      </c>
      <c r="B18" s="33" t="e">
        <f>VLOOKUP(Table14113[[#This Row],[Man. Number]],Articles!A:F,COLUMN(Articles!$D$1)-COLUMN(Articles!$A$1)+1,FALSE)</f>
        <v>#N/A</v>
      </c>
      <c r="C18" s="33" t="e">
        <f>VLOOKUP(Table14113[[#This Row],[Man. Number]],Articles!A:F,COLUMN(Articles!$C$1)-COLUMN(Articles!$A$1)+1,FALSE)</f>
        <v>#N/A</v>
      </c>
      <c r="D18" s="4" t="s">
        <v>236</v>
      </c>
      <c r="E18" s="33">
        <v>2</v>
      </c>
      <c r="F18" s="33" t="e">
        <f>VLOOKUP(Table14113[[#This Row],[Man. Number]],Articles!A:F,COLUMN(Articles!$F$1)-COLUMN(Articles!$A$1)+1,FALSE)</f>
        <v>#N/A</v>
      </c>
      <c r="G18" s="33" t="e">
        <f>IF(Table14113[[#This Row],[In stock]] &gt;= Table14113[[#This Row],[Quantity]],"YES","NO")</f>
        <v>#N/A</v>
      </c>
      <c r="H18" s="33" t="e">
        <f>VLOOKUP(Table14113[[#This Row],[Man. Number]],Articles!A:J,COLUMN(Articles!$J$1)-COLUMN(Articles!$A$1)+1,FALSE)*Table14113[[#This Row],[Quantity]]</f>
        <v>#N/A</v>
      </c>
      <c r="I18" s="33">
        <f>Table14113[[#This Row],[Quantity]]*$M$1</f>
        <v>4</v>
      </c>
      <c r="J18" s="33" t="e">
        <f>IF(Table14113[[#This Row],[In stock]] &gt;= Table14113[[#This Row],[Total quantity]],"YES","NO")</f>
        <v>#N/A</v>
      </c>
    </row>
    <row r="19" spans="1:10" x14ac:dyDescent="0.25">
      <c r="A19" s="38" t="s">
        <v>191</v>
      </c>
      <c r="B19" s="33" t="e">
        <f>VLOOKUP(Table14113[[#This Row],[Man. Number]],Articles!A:F,COLUMN(Articles!$D$1)-COLUMN(Articles!$A$1)+1,FALSE)</f>
        <v>#N/A</v>
      </c>
      <c r="C19" s="33" t="e">
        <f>VLOOKUP(Table14113[[#This Row],[Man. Number]],Articles!A:F,COLUMN(Articles!$C$1)-COLUMN(Articles!$A$1)+1,FALSE)</f>
        <v>#N/A</v>
      </c>
      <c r="D19" s="4" t="s">
        <v>215</v>
      </c>
      <c r="E19" s="33">
        <v>1</v>
      </c>
      <c r="F19" s="33" t="e">
        <f>VLOOKUP(Table14113[[#This Row],[Man. Number]],Articles!A:F,COLUMN(Articles!$F$1)-COLUMN(Articles!$A$1)+1,FALSE)</f>
        <v>#N/A</v>
      </c>
      <c r="G19" s="33" t="e">
        <f>IF(Table14113[[#This Row],[In stock]] &gt;= Table14113[[#This Row],[Quantity]],"YES","NO")</f>
        <v>#N/A</v>
      </c>
      <c r="H19" s="33" t="e">
        <f>VLOOKUP(Table14113[[#This Row],[Man. Number]],Articles!A:J,COLUMN(Articles!$J$1)-COLUMN(Articles!$A$1)+1,FALSE)*Table14113[[#This Row],[Quantity]]</f>
        <v>#N/A</v>
      </c>
      <c r="I19" s="33">
        <f>Table14113[[#This Row],[Quantity]]*$M$1</f>
        <v>2</v>
      </c>
      <c r="J19" s="33" t="e">
        <f>IF(Table14113[[#This Row],[In stock]] &gt;= Table14113[[#This Row],[Total quantity]],"YES","NO")</f>
        <v>#N/A</v>
      </c>
    </row>
    <row r="20" spans="1:10" x14ac:dyDescent="0.25">
      <c r="A20" s="38" t="s">
        <v>171</v>
      </c>
      <c r="B20" s="4" t="e">
        <f>VLOOKUP(Table14113[[#This Row],[Man. Number]],Articles!A:F,COLUMN(Articles!$D$1)-COLUMN(Articles!$A$1)+1,FALSE)</f>
        <v>#N/A</v>
      </c>
      <c r="C20" s="4" t="e">
        <f>VLOOKUP(Table14113[[#This Row],[Man. Number]],Articles!A:F,COLUMN(Articles!$C$1)-COLUMN(Articles!$A$1)+1,FALSE)</f>
        <v>#N/A</v>
      </c>
      <c r="D20" s="4" t="s">
        <v>237</v>
      </c>
      <c r="E20" s="33">
        <v>1</v>
      </c>
      <c r="F20" s="4" t="e">
        <f>VLOOKUP(Table14113[[#This Row],[Man. Number]],Articles!A:F,COLUMN(Articles!$F$1)-COLUMN(Articles!$A$1)+1,FALSE)</f>
        <v>#N/A</v>
      </c>
      <c r="G20" s="4" t="e">
        <f>IF(Table14113[[#This Row],[In stock]] &gt;= Table14113[[#This Row],[Quantity]],"YES","NO")</f>
        <v>#N/A</v>
      </c>
      <c r="H20" s="4" t="e">
        <f>VLOOKUP(Table14113[[#This Row],[Man. Number]],Articles!A:J,COLUMN(Articles!$J$1)-COLUMN(Articles!$A$1)+1,FALSE)*Table14113[[#This Row],[Quantity]]</f>
        <v>#N/A</v>
      </c>
      <c r="I20" s="4">
        <f>Table14113[[#This Row],[Quantity]]*$M$1</f>
        <v>2</v>
      </c>
      <c r="J20" s="4" t="e">
        <f>IF(Table14113[[#This Row],[In stock]] &gt;= Table14113[[#This Row],[Total quantity]],"YES","NO")</f>
        <v>#N/A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87</v>
      </c>
      <c r="E21" s="33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21</v>
      </c>
      <c r="B22" s="4" t="e">
        <f>VLOOKUP(Table14113[[#This Row],[Man. Number]],Articles!A:F,COLUMN(Articles!$D$1)-COLUMN(Articles!$A$1)+1,FALSE)</f>
        <v>#N/A</v>
      </c>
      <c r="C22" s="4" t="e">
        <f>VLOOKUP(Table14113[[#This Row],[Man. Number]],Articles!A:F,COLUMN(Articles!$C$1)-COLUMN(Articles!$A$1)+1,FALSE)</f>
        <v>#N/A</v>
      </c>
      <c r="D22" s="4" t="s">
        <v>76</v>
      </c>
      <c r="E22" s="33">
        <v>2</v>
      </c>
      <c r="F22" s="4" t="e">
        <f>VLOOKUP(Table14113[[#This Row],[Man. Number]],Articles!A:F,COLUMN(Articles!$F$1)-COLUMN(Articles!$A$1)+1,FALSE)</f>
        <v>#N/A</v>
      </c>
      <c r="G22" s="4" t="e">
        <f>IF(Table14113[[#This Row],[In stock]] &gt;= Table14113[[#This Row],[Quantity]],"YES","NO")</f>
        <v>#N/A</v>
      </c>
      <c r="H22" s="4" t="e">
        <f>VLOOKUP(Table14113[[#This Row],[Man. Number]],Articles!A:J,COLUMN(Articles!$J$1)-COLUMN(Articles!$A$1)+1,FALSE)*Table14113[[#This Row],[Quantity]]</f>
        <v>#N/A</v>
      </c>
      <c r="I22" s="4">
        <f>Table14113[[#This Row],[Quantity]]*$M$1</f>
        <v>4</v>
      </c>
      <c r="J22" s="4" t="e">
        <f>IF(Table14113[[#This Row],[In stock]] &gt;= Table14113[[#This Row],[Total quantity]],"YES","NO")</f>
        <v>#N/A</v>
      </c>
    </row>
    <row r="23" spans="1:10" x14ac:dyDescent="0.25">
      <c r="A23" s="3" t="s">
        <v>22</v>
      </c>
      <c r="B23" s="4" t="e">
        <f>VLOOKUP(Table14113[[#This Row],[Man. Number]],Articles!A:F,COLUMN(Articles!$D$1)-COLUMN(Articles!$A$1)+1,FALSE)</f>
        <v>#N/A</v>
      </c>
      <c r="C23" s="4" t="e">
        <f>VLOOKUP(Table14113[[#This Row],[Man. Number]],Articles!A:F,COLUMN(Articles!$C$1)-COLUMN(Articles!$A$1)+1,FALSE)</f>
        <v>#N/A</v>
      </c>
      <c r="D23" s="4" t="s">
        <v>229</v>
      </c>
      <c r="E23" s="33">
        <v>1</v>
      </c>
      <c r="F23" s="4" t="e">
        <f>VLOOKUP(Table14113[[#This Row],[Man. Number]],Articles!A:F,COLUMN(Articles!$F$1)-COLUMN(Articles!$A$1)+1,FALSE)</f>
        <v>#N/A</v>
      </c>
      <c r="G23" s="4" t="e">
        <f>IF(Table14113[[#This Row],[In stock]] &gt;= Table14113[[#This Row],[Quantity]],"YES","NO")</f>
        <v>#N/A</v>
      </c>
      <c r="H23" s="4" t="e">
        <f>VLOOKUP(Table14113[[#This Row],[Man. Number]],Articles!A:J,COLUMN(Articles!$J$1)-COLUMN(Articles!$A$1)+1,FALSE)*Table14113[[#This Row],[Quantity]]</f>
        <v>#N/A</v>
      </c>
      <c r="I23" s="4">
        <f>Table14113[[#This Row],[Quantity]]*$M$1</f>
        <v>2</v>
      </c>
      <c r="J23" s="4" t="e">
        <f>IF(Table14113[[#This Row],[In stock]] &gt;= Table14113[[#This Row],[Total quantity]],"YES","NO")</f>
        <v>#N/A</v>
      </c>
    </row>
    <row r="24" spans="1:10" x14ac:dyDescent="0.25">
      <c r="A24" s="3" t="s">
        <v>14</v>
      </c>
      <c r="B24" s="4" t="e">
        <f>VLOOKUP(Table14113[[#This Row],[Man. Number]],Articles!A:F,COLUMN(Articles!$D$1)-COLUMN(Articles!$A$1)+1,FALSE)</f>
        <v>#N/A</v>
      </c>
      <c r="C24" s="4" t="e">
        <f>VLOOKUP(Table14113[[#This Row],[Man. Number]],Articles!A:F,COLUMN(Articles!$C$1)-COLUMN(Articles!$A$1)+1,FALSE)</f>
        <v>#N/A</v>
      </c>
      <c r="D24" s="4" t="s">
        <v>70</v>
      </c>
      <c r="E24" s="33">
        <v>1</v>
      </c>
      <c r="F24" s="4" t="e">
        <f>VLOOKUP(Table14113[[#This Row],[Man. Number]],Articles!A:F,COLUMN(Articles!$F$1)-COLUMN(Articles!$A$1)+1,FALSE)</f>
        <v>#N/A</v>
      </c>
      <c r="G24" s="4" t="e">
        <f>IF(Table14113[[#This Row],[In stock]] &gt;= Table14113[[#This Row],[Quantity]],"YES","NO")</f>
        <v>#N/A</v>
      </c>
      <c r="H24" s="4" t="e">
        <f>VLOOKUP(Table14113[[#This Row],[Man. Number]],Articles!A:J,COLUMN(Articles!$J$1)-COLUMN(Articles!$A$1)+1,FALSE)*Table14113[[#This Row],[Quantity]]</f>
        <v>#N/A</v>
      </c>
      <c r="I24" s="4">
        <f>Table14113[[#This Row],[Quantity]]*$M$1</f>
        <v>2</v>
      </c>
      <c r="J24" s="4" t="e">
        <f>IF(Table14113[[#This Row],[In stock]] &gt;= Table14113[[#This Row],[Total quantity]],"YES","NO")</f>
        <v>#N/A</v>
      </c>
    </row>
    <row r="25" spans="1:10" x14ac:dyDescent="0.25">
      <c r="A25" s="3" t="s">
        <v>15</v>
      </c>
      <c r="B25" s="4" t="e">
        <f>VLOOKUP(Table14113[[#This Row],[Man. Number]],Articles!A:F,COLUMN(Articles!$D$1)-COLUMN(Articles!$A$1)+1,FALSE)</f>
        <v>#N/A</v>
      </c>
      <c r="C25" s="4" t="e">
        <f>VLOOKUP(Table14113[[#This Row],[Man. Number]],Articles!A:F,COLUMN(Articles!$C$1)-COLUMN(Articles!$A$1)+1,FALSE)</f>
        <v>#N/A</v>
      </c>
      <c r="D25" s="4" t="s">
        <v>72</v>
      </c>
      <c r="E25" s="33">
        <v>1</v>
      </c>
      <c r="F25" s="4" t="e">
        <f>VLOOKUP(Table14113[[#This Row],[Man. Number]],Articles!A:F,COLUMN(Articles!$F$1)-COLUMN(Articles!$A$1)+1,FALSE)</f>
        <v>#N/A</v>
      </c>
      <c r="G25" s="4" t="e">
        <f>IF(Table14113[[#This Row],[In stock]] &gt;= Table14113[[#This Row],[Quantity]],"YES","NO")</f>
        <v>#N/A</v>
      </c>
      <c r="H25" s="4" t="e">
        <f>VLOOKUP(Table14113[[#This Row],[Man. Number]],Articles!A:J,COLUMN(Articles!$J$1)-COLUMN(Articles!$A$1)+1,FALSE)*Table14113[[#This Row],[Quantity]]</f>
        <v>#N/A</v>
      </c>
      <c r="I25" s="4">
        <f>Table14113[[#This Row],[Quantity]]*$M$1</f>
        <v>2</v>
      </c>
      <c r="J25" s="4" t="e">
        <f>IF(Table14113[[#This Row],[In stock]] &gt;= Table14113[[#This Row],[Total quantity]],"YES","NO")</f>
        <v>#N/A</v>
      </c>
    </row>
    <row r="26" spans="1:10" x14ac:dyDescent="0.25">
      <c r="A26" s="3" t="s">
        <v>16</v>
      </c>
      <c r="B26" s="4" t="e">
        <f>VLOOKUP(Table14113[[#This Row],[Man. Number]],Articles!A:F,COLUMN(Articles!$D$1)-COLUMN(Articles!$A$1)+1,FALSE)</f>
        <v>#N/A</v>
      </c>
      <c r="C26" s="4" t="e">
        <f>VLOOKUP(Table14113[[#This Row],[Man. Number]],Articles!A:F,COLUMN(Articles!$C$1)-COLUMN(Articles!$A$1)+1,FALSE)</f>
        <v>#N/A</v>
      </c>
      <c r="D26" s="4" t="s">
        <v>73</v>
      </c>
      <c r="E26" s="33">
        <v>1</v>
      </c>
      <c r="F26" s="4" t="e">
        <f>VLOOKUP(Table14113[[#This Row],[Man. Number]],Articles!A:F,COLUMN(Articles!$F$1)-COLUMN(Articles!$A$1)+1,FALSE)</f>
        <v>#N/A</v>
      </c>
      <c r="G26" s="4" t="e">
        <f>IF(Table14113[[#This Row],[In stock]] &gt;= Table14113[[#This Row],[Quantity]],"YES","NO")</f>
        <v>#N/A</v>
      </c>
      <c r="H26" s="4" t="e">
        <f>VLOOKUP(Table14113[[#This Row],[Man. Number]],Articles!A:J,COLUMN(Articles!$J$1)-COLUMN(Articles!$A$1)+1,FALSE)*Table14113[[#This Row],[Quantity]]</f>
        <v>#N/A</v>
      </c>
      <c r="I26" s="4">
        <f>Table14113[[#This Row],[Quantity]]*$M$1</f>
        <v>2</v>
      </c>
      <c r="J26" s="4" t="e">
        <f>IF(Table14113[[#This Row],[In stock]] &gt;= Table14113[[#This Row],[Total quantity]],"YES","NO")</f>
        <v>#N/A</v>
      </c>
    </row>
    <row r="27" spans="1:10" x14ac:dyDescent="0.25">
      <c r="A27" s="3" t="s">
        <v>134</v>
      </c>
      <c r="B27" s="4" t="e">
        <f>VLOOKUP(Table14113[[#This Row],[Man. Number]],Articles!A:F,COLUMN(Articles!$D$1)-COLUMN(Articles!$A$1)+1,FALSE)</f>
        <v>#N/A</v>
      </c>
      <c r="C27" s="4" t="e">
        <f>VLOOKUP(Table14113[[#This Row],[Man. Number]],Articles!A:F,COLUMN(Articles!$C$1)-COLUMN(Articles!$A$1)+1,FALSE)</f>
        <v>#N/A</v>
      </c>
      <c r="D27" s="4" t="s">
        <v>89</v>
      </c>
      <c r="E27" s="33">
        <v>1</v>
      </c>
      <c r="F27" s="4" t="e">
        <f>VLOOKUP(Table14113[[#This Row],[Man. Number]],Articles!A:F,COLUMN(Articles!$F$1)-COLUMN(Articles!$A$1)+1,FALSE)</f>
        <v>#N/A</v>
      </c>
      <c r="G27" s="4" t="e">
        <f>IF(Table14113[[#This Row],[In stock]] &gt;= Table14113[[#This Row],[Quantity]],"YES","NO")</f>
        <v>#N/A</v>
      </c>
      <c r="H27" s="4" t="e">
        <f>VLOOKUP(Table14113[[#This Row],[Man. Number]],Articles!A:J,COLUMN(Articles!$J$1)-COLUMN(Articles!$A$1)+1,FALSE)*Table14113[[#This Row],[Quantity]]</f>
        <v>#N/A</v>
      </c>
      <c r="I27" s="4">
        <f>Table14113[[#This Row],[Quantity]]*$M$1</f>
        <v>2</v>
      </c>
      <c r="J27" s="4" t="e">
        <f>IF(Table14113[[#This Row],[In stock]] &gt;= Table14113[[#This Row],[Total quantity]],"YES","NO")</f>
        <v>#N/A</v>
      </c>
    </row>
    <row r="28" spans="1:10" x14ac:dyDescent="0.25">
      <c r="A28" s="38" t="s">
        <v>40</v>
      </c>
      <c r="B28" s="4" t="e">
        <f>VLOOKUP(Table14113[[#This Row],[Man. Number]],Articles!A:F,COLUMN(Articles!$D$1)-COLUMN(Articles!$A$1)+1,FALSE)</f>
        <v>#N/A</v>
      </c>
      <c r="C28" s="4" t="e">
        <f>VLOOKUP(Table14113[[#This Row],[Man. Number]],Articles!A:F,COLUMN(Articles!$C$1)-COLUMN(Articles!$A$1)+1,FALSE)</f>
        <v>#N/A</v>
      </c>
      <c r="D28" s="4" t="s">
        <v>86</v>
      </c>
      <c r="E28" s="33">
        <v>1</v>
      </c>
      <c r="F28" s="4" t="e">
        <f>VLOOKUP(Table14113[[#This Row],[Man. Number]],Articles!A:F,COLUMN(Articles!$F$1)-COLUMN(Articles!$A$1)+1,FALSE)</f>
        <v>#N/A</v>
      </c>
      <c r="G28" s="4" t="e">
        <f>IF(Table14113[[#This Row],[In stock]] &gt;= Table14113[[#This Row],[Quantity]],"YES","NO")</f>
        <v>#N/A</v>
      </c>
      <c r="H28" s="4" t="e">
        <f>VLOOKUP(Table14113[[#This Row],[Man. Number]],Articles!A:J,COLUMN(Articles!$J$1)-COLUMN(Articles!$A$1)+1,FALSE)*Table14113[[#This Row],[Quantity]]</f>
        <v>#N/A</v>
      </c>
      <c r="I28" s="4">
        <f>Table14113[[#This Row],[Quantity]]*$M$1</f>
        <v>2</v>
      </c>
      <c r="J28" s="4" t="e">
        <f>IF(Table14113[[#This Row],[In stock]] &gt;= Table14113[[#This Row],[Total quantity]],"YES","NO")</f>
        <v>#N/A</v>
      </c>
    </row>
    <row r="29" spans="1:10" x14ac:dyDescent="0.25">
      <c r="A29" s="3" t="s">
        <v>226</v>
      </c>
      <c r="B29" s="4" t="e">
        <f>VLOOKUP(Table14113[[#This Row],[Man. Number]],Articles!A:F,COLUMN(Articles!$D$1)-COLUMN(Articles!$A$1)+1,FALSE)</f>
        <v>#N/A</v>
      </c>
      <c r="C29" s="4" t="e">
        <f>VLOOKUP(Table14113[[#This Row],[Man. Number]],Articles!A:F,COLUMN(Articles!$C$1)-COLUMN(Articles!$A$1)+1,FALSE)</f>
        <v>#N/A</v>
      </c>
      <c r="D29" s="4" t="s">
        <v>69</v>
      </c>
      <c r="E29" s="33">
        <v>1</v>
      </c>
      <c r="F29" s="4" t="e">
        <f>VLOOKUP(Table14113[[#This Row],[Man. Number]],Articles!A:F,COLUMN(Articles!$F$1)-COLUMN(Articles!$A$1)+1,FALSE)</f>
        <v>#N/A</v>
      </c>
      <c r="G29" s="4" t="e">
        <f>IF(Table14113[[#This Row],[In stock]] &gt;= Table14113[[#This Row],[Quantity]],"YES","NO")</f>
        <v>#N/A</v>
      </c>
      <c r="H29" s="4" t="e">
        <f>VLOOKUP(Table14113[[#This Row],[Man. Number]],Articles!A:J,COLUMN(Articles!$J$1)-COLUMN(Articles!$A$1)+1,FALSE)*Table14113[[#This Row],[Quantity]]</f>
        <v>#N/A</v>
      </c>
      <c r="I29" s="4">
        <f>Table14113[[#This Row],[Quantity]]*$M$1</f>
        <v>2</v>
      </c>
      <c r="J29" s="4" t="e">
        <f>IF(Table14113[[#This Row],[In stock]] &gt;= Table14113[[#This Row],[Total quantity]],"YES","NO")</f>
        <v>#N/A</v>
      </c>
    </row>
    <row r="30" spans="1:10" x14ac:dyDescent="0.25">
      <c r="A30" s="38" t="s">
        <v>225</v>
      </c>
      <c r="B30" s="4" t="e">
        <f>VLOOKUP(Table14113[[#This Row],[Man. Number]],Articles!A:F,COLUMN(Articles!$D$1)-COLUMN(Articles!$A$1)+1,FALSE)</f>
        <v>#N/A</v>
      </c>
      <c r="C30" s="4" t="e">
        <f>VLOOKUP(Table14113[[#This Row],[Man. Number]],Articles!A:F,COLUMN(Articles!$C$1)-COLUMN(Articles!$A$1)+1,FALSE)</f>
        <v>#N/A</v>
      </c>
      <c r="D30" s="4" t="s">
        <v>230</v>
      </c>
      <c r="E30" s="33">
        <v>1</v>
      </c>
      <c r="F30" s="4" t="e">
        <f>VLOOKUP(Table14113[[#This Row],[Man. Number]],Articles!A:F,COLUMN(Articles!$F$1)-COLUMN(Articles!$A$1)+1,FALSE)</f>
        <v>#N/A</v>
      </c>
      <c r="G30" s="4" t="e">
        <f>IF(Table14113[[#This Row],[In stock]] &gt;= Table14113[[#This Row],[Quantity]],"YES","NO")</f>
        <v>#N/A</v>
      </c>
      <c r="H30" s="4" t="e">
        <f>VLOOKUP(Table14113[[#This Row],[Man. Number]],Articles!A:J,COLUMN(Articles!$J$1)-COLUMN(Articles!$A$1)+1,FALSE)*Table14113[[#This Row],[Quantity]]</f>
        <v>#N/A</v>
      </c>
      <c r="I30" s="4">
        <f>Table14113[[#This Row],[Quantity]]*$M$1</f>
        <v>2</v>
      </c>
      <c r="J30" s="4" t="e">
        <f>IF(Table14113[[#This Row],[In stock]] &gt;= Table14113[[#This Row],[Total quantity]],"YES","NO")</f>
        <v>#N/A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88</v>
      </c>
      <c r="E31" s="33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88</v>
      </c>
      <c r="E32" s="33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38" t="s">
        <v>164</v>
      </c>
      <c r="B33" s="33" t="e">
        <f>VLOOKUP(Table14113[[#This Row],[Man. Number]],Articles!A:F,COLUMN(Articles!$D$1)-COLUMN(Articles!$A$1)+1,FALSE)</f>
        <v>#N/A</v>
      </c>
      <c r="C33" s="33" t="e">
        <f>VLOOKUP(Table14113[[#This Row],[Man. Number]],Articles!A:F,COLUMN(Articles!$C$1)-COLUMN(Articles!$A$1)+1,FALSE)</f>
        <v>#N/A</v>
      </c>
      <c r="D33" s="4" t="s">
        <v>239</v>
      </c>
      <c r="E33" s="33">
        <f>(3*2+5)/36</f>
        <v>0.30555555555555558</v>
      </c>
      <c r="F33" s="33" t="e">
        <f>VLOOKUP(Table14113[[#This Row],[Man. Number]],Articles!A:F,COLUMN(Articles!$F$1)-COLUMN(Articles!$A$1)+1,FALSE)</f>
        <v>#N/A</v>
      </c>
      <c r="G33" s="33" t="e">
        <f>IF(Table14113[[#This Row],[In stock]] &gt;= Table14113[[#This Row],[Quantity]],"YES","NO")</f>
        <v>#N/A</v>
      </c>
      <c r="H33" s="33" t="e">
        <f>VLOOKUP(Table14113[[#This Row],[Man. Number]],Articles!A:J,COLUMN(Articles!$J$1)-COLUMN(Articles!$A$1)+1,FALSE)*Table14113[[#This Row],[Quantity]]</f>
        <v>#N/A</v>
      </c>
      <c r="I33" s="33">
        <f>Table14113[[#This Row],[Quantity]]*$M$1</f>
        <v>0.61111111111111116</v>
      </c>
      <c r="J33" s="33" t="e">
        <f>IF(Table14113[[#This Row],[In stock]] &gt;= Table14113[[#This Row],[Total quantity]],"YES","NO")</f>
        <v>#N/A</v>
      </c>
    </row>
    <row r="34" spans="1:10" x14ac:dyDescent="0.25">
      <c r="A34" s="4" t="s">
        <v>30</v>
      </c>
      <c r="B34" s="4" t="e">
        <f>VLOOKUP(Table14113[[#This Row],[Man. Number]],Articles!A:F,COLUMN(Articles!$D$1)-COLUMN(Articles!$A$1)+1,FALSE)</f>
        <v>#N/A</v>
      </c>
      <c r="C34" s="4" t="e">
        <f>VLOOKUP(Table14113[[#This Row],[Man. Number]],Articles!A:F,COLUMN(Articles!$C$1)-COLUMN(Articles!$A$1)+1,FALSE)</f>
        <v>#N/A</v>
      </c>
      <c r="D34" s="4" t="s">
        <v>85</v>
      </c>
      <c r="E34" s="33">
        <v>1</v>
      </c>
      <c r="F34" s="4" t="e">
        <f>VLOOKUP(Table14113[[#This Row],[Man. Number]],Articles!A:F,COLUMN(Articles!$F$1)-COLUMN(Articles!$A$1)+1,FALSE)</f>
        <v>#N/A</v>
      </c>
      <c r="G34" s="4" t="e">
        <f>IF(Table14113[[#This Row],[In stock]] &gt;= Table14113[[#This Row],[Quantity]],"YES","NO")</f>
        <v>#N/A</v>
      </c>
      <c r="H34" s="4" t="e">
        <f>VLOOKUP(Table14113[[#This Row],[Man. Number]],Articles!A:J,COLUMN(Articles!$J$1)-COLUMN(Articles!$A$1)+1,FALSE)*Table14113[[#This Row],[Quantity]]</f>
        <v>#N/A</v>
      </c>
      <c r="I34" s="4">
        <f>Table14113[[#This Row],[Quantity]]*$M$1</f>
        <v>2</v>
      </c>
      <c r="J34" s="4" t="e">
        <f>IF(Table14113[[#This Row],[In stock]] &gt;= Table14113[[#This Row],[Total quantity]],"YES","NO")</f>
        <v>#N/A</v>
      </c>
    </row>
    <row r="35" spans="1:10" x14ac:dyDescent="0.25">
      <c r="A35" s="4" t="s">
        <v>121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25" priority="5"/>
  </conditionalFormatting>
  <conditionalFormatting sqref="G1:H1048576 J1:J1048576">
    <cfRule type="containsText" dxfId="24" priority="6" operator="containsText" text="NO">
      <formula>NOT(ISERROR(SEARCH("NO",G1)))</formula>
    </cfRule>
  </conditionalFormatting>
  <conditionalFormatting sqref="N1">
    <cfRule type="cellIs" dxfId="23" priority="3" stopIfTrue="1" operator="equal">
      <formula>"Locked"</formula>
    </cfRule>
    <cfRule type="cellIs" dxfId="22" priority="4" stopIfTrue="1" operator="equal">
      <formula>"Unlocked"</formula>
    </cfRule>
  </conditionalFormatting>
  <conditionalFormatting sqref="A13">
    <cfRule type="duplicateValues" dxfId="21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G9" sqref="G9"/>
    </sheetView>
  </sheetViews>
  <sheetFormatPr defaultColWidth="9.140625"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0">
        <v>1</v>
      </c>
      <c r="N1" t="s">
        <v>269</v>
      </c>
    </row>
    <row r="2" spans="1:14" x14ac:dyDescent="0.25">
      <c r="A2" s="4" t="s">
        <v>42</v>
      </c>
      <c r="B2" s="4" t="e">
        <f>VLOOKUP(Table1411[[#This Row],[Man. Number]],Articles!A:F,COLUMN(Articles!$D$1)-COLUMN(Articles!$A$1)+1,FALSE)</f>
        <v>#N/A</v>
      </c>
      <c r="C2" s="4" t="e">
        <f>VLOOKUP(Table1411[[#This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VLOOKUP(Table1411[[#This Row],[Man. Number]],Articles!A:F,COLUMN(Articles!$F$1)-COLUMN(Articles!$A$1)+1,FALSE)</f>
        <v>#N/A</v>
      </c>
      <c r="G2" s="4" t="e">
        <f>IF(Table1411[[#This Row],[In stock]] &gt;= Table1411[[#This Row],[Quantity]],"YES","NO")</f>
        <v>#N/A</v>
      </c>
      <c r="H2" s="4" t="e">
        <f>VLOOKUP(Table1411[[#This Row],[Man. Number]],Articles!A:J,COLUMN(Articles!$J$1)-COLUMN(Articles!$A$1)+1,FALSE)*Table1411[[#This Row],[Quantity]]</f>
        <v>#N/A</v>
      </c>
      <c r="I2" s="4">
        <f>Table1411[[#This Row],[Quantity]]*$M$1</f>
        <v>1</v>
      </c>
      <c r="J2" s="4" t="e">
        <f>IF(Table1411[[#This Row],[In stock]] &gt;= Table1411[[#This Row],[Total quantity]],"YES","NO")</f>
        <v>#N/A</v>
      </c>
    </row>
    <row r="3" spans="1:14" x14ac:dyDescent="0.25">
      <c r="A3" s="3" t="s">
        <v>35</v>
      </c>
      <c r="B3" s="4" t="e">
        <f>VLOOKUP(Table1411[[#This Row],[Man. Number]],Articles!A:F,COLUMN(Articles!$D$1)-COLUMN(Articles!$A$1)+1,FALSE)</f>
        <v>#N/A</v>
      </c>
      <c r="C3" s="4" t="e">
        <f>VLOOKUP(Table1411[[#This Row],[Man. Number]],Articles!A:F,COLUMN(Articles!$C$1)-COLUMN(Articles!$A$1)+1,FALSE)</f>
        <v>#N/A</v>
      </c>
      <c r="D3" s="4" t="s">
        <v>29</v>
      </c>
      <c r="E3" s="4">
        <v>19</v>
      </c>
      <c r="F3" s="4" t="e">
        <f>VLOOKUP(Table1411[[#This Row],[Man. Number]],Articles!A:F,COLUMN(Articles!$F$1)-COLUMN(Articles!$A$1)+1,FALSE)</f>
        <v>#N/A</v>
      </c>
      <c r="G3" s="4" t="e">
        <f>IF(Table1411[[#This Row],[In stock]] &gt;= Table1411[[#This Row],[Quantity]],"YES","NO")</f>
        <v>#N/A</v>
      </c>
      <c r="H3" s="4" t="e">
        <f>VLOOKUP(Table1411[[#This Row],[Man. Number]],Articles!A:J,COLUMN(Articles!$J$1)-COLUMN(Articles!$A$1)+1,FALSE)*Table1411[[#This Row],[Quantity]]</f>
        <v>#N/A</v>
      </c>
      <c r="I3" s="4">
        <f>Table1411[[#This Row],[Quantity]]*$M$1</f>
        <v>19</v>
      </c>
      <c r="J3" s="4" t="e">
        <f>IF(Table1411[[#This Row],[In stock]] &gt;= Table1411[[#This Row],[Total quantity]],"YES","NO")</f>
        <v>#N/A</v>
      </c>
    </row>
    <row r="4" spans="1:14" x14ac:dyDescent="0.25">
      <c r="A4" s="3" t="s">
        <v>115</v>
      </c>
      <c r="B4" s="4" t="e">
        <f>VLOOKUP(Table1411[[#This Row],[Man. Number]],Articles!A:F,COLUMN(Articles!$D$1)-COLUMN(Articles!$A$1)+1,FALSE)</f>
        <v>#N/A</v>
      </c>
      <c r="C4" s="4" t="e">
        <f>VLOOKUP(Table1411[[#This Row],[Man. Number]],Articles!A:F,COLUMN(Articles!$C$1)-COLUMN(Articles!$A$1)+1,FALSE)</f>
        <v>#N/A</v>
      </c>
      <c r="D4" s="4" t="s">
        <v>29</v>
      </c>
      <c r="E4" s="4">
        <v>0.63888888888888884</v>
      </c>
      <c r="F4" s="4" t="e">
        <f>VLOOKUP(Table1411[[#This Row],[Man. Number]],Articles!A:F,COLUMN(Articles!$F$1)-COLUMN(Articles!$A$1)+1,FALSE)</f>
        <v>#N/A</v>
      </c>
      <c r="G4" s="4" t="e">
        <f>IF(Table1411[[#This Row],[In stock]] &gt;= Table1411[[#This Row],[Quantity]],"YES","NO")</f>
        <v>#N/A</v>
      </c>
      <c r="H4" s="4" t="e">
        <f>VLOOKUP(Table1411[[#This Row],[Man. Number]],Articles!A:J,COLUMN(Articles!$J$1)-COLUMN(Articles!$A$1)+1,FALSE)*Table1411[[#This Row],[Quantity]]</f>
        <v>#N/A</v>
      </c>
      <c r="I4" s="4">
        <f>Table1411[[#This Row],[Quantity]]*$M$1</f>
        <v>0.63888888888888884</v>
      </c>
      <c r="J4" s="4" t="e">
        <f>IF(Table1411[[#This Row],[In stock]] &gt;= Table1411[[#This Row],[Total quantity]],"YES","NO")</f>
        <v>#N/A</v>
      </c>
    </row>
    <row r="5" spans="1:14" x14ac:dyDescent="0.25">
      <c r="A5" s="3" t="s">
        <v>227</v>
      </c>
      <c r="B5" s="4" t="e">
        <f>VLOOKUP(Table1411[[#This Row],[Man. Number]],Articles!A:F,COLUMN(Articles!$D$1)-COLUMN(Articles!$A$1)+1,FALSE)</f>
        <v>#N/A</v>
      </c>
      <c r="C5" s="4" t="e">
        <f>VLOOKUP(Table1411[[#This Row],[Man. Number]],Articles!A:F,COLUMN(Articles!$C$1)-COLUMN(Articles!$A$1)+1,FALSE)</f>
        <v>#N/A</v>
      </c>
      <c r="D5" s="4" t="s">
        <v>29</v>
      </c>
      <c r="E5" s="4">
        <v>1</v>
      </c>
      <c r="F5" s="4" t="e">
        <f>VLOOKUP(Table1411[[#This Row],[Man. Number]],Articles!A:F,COLUMN(Articles!$F$1)-COLUMN(Articles!$A$1)+1,FALSE)</f>
        <v>#N/A</v>
      </c>
      <c r="G5" s="4" t="e">
        <f>IF(Table1411[[#This Row],[In stock]] &gt;= Table1411[[#This Row],[Quantity]],"YES","NO")</f>
        <v>#N/A</v>
      </c>
      <c r="H5" s="4" t="e">
        <f>VLOOKUP(Table1411[[#This Row],[Man. Number]],Articles!A:J,COLUMN(Articles!$J$1)-COLUMN(Articles!$A$1)+1,FALSE)*Table1411[[#This Row],[Quantity]]</f>
        <v>#N/A</v>
      </c>
      <c r="I5" s="4">
        <f>Table1411[[#This Row],[Quantity]]*$M$1</f>
        <v>1</v>
      </c>
      <c r="J5" s="4" t="e">
        <f>IF(Table1411[[#This Row],[In stock]] &gt;= Table1411[[#This Row],[Total quantity]],"YES","NO")</f>
        <v>#N/A</v>
      </c>
    </row>
    <row r="6" spans="1:14" x14ac:dyDescent="0.25">
      <c r="A6" s="3" t="s">
        <v>9</v>
      </c>
      <c r="B6" s="4" t="e">
        <f>VLOOKUP(Table1411[[#This Row],[Man. Number]],Articles!A:F,COLUMN(Articles!$D$1)-COLUMN(Articles!$A$1)+1,FALSE)</f>
        <v>#N/A</v>
      </c>
      <c r="C6" s="4" t="e">
        <f>VLOOKUP(Table1411[[#This Row],[Man. Number]],Articles!A:F,COLUMN(Articles!$C$1)-COLUMN(Articles!$A$1)+1,FALSE)</f>
        <v>#N/A</v>
      </c>
      <c r="D6" s="4" t="s">
        <v>211</v>
      </c>
      <c r="E6" s="4">
        <v>2</v>
      </c>
      <c r="F6" s="4" t="e">
        <f>VLOOKUP(Table1411[[#This Row],[Man. Number]],Articles!A:F,COLUMN(Articles!$F$1)-COLUMN(Articles!$A$1)+1,FALSE)</f>
        <v>#N/A</v>
      </c>
      <c r="G6" s="4" t="e">
        <f>IF(Table1411[[#This Row],[In stock]] &gt;= Table1411[[#This Row],[Quantity]],"YES","NO")</f>
        <v>#N/A</v>
      </c>
      <c r="H6" s="4" t="e">
        <f>VLOOKUP(Table1411[[#This Row],[Man. Number]],Articles!A:J,COLUMN(Articles!$J$1)-COLUMN(Articles!$A$1)+1,FALSE)*Table1411[[#This Row],[Quantity]]</f>
        <v>#N/A</v>
      </c>
      <c r="I6" s="4">
        <f>Table1411[[#This Row],[Quantity]]*$M$1</f>
        <v>2</v>
      </c>
      <c r="J6" s="4" t="e">
        <f>IF(Table1411[[#This Row],[In stock]] &gt;= Table1411[[#This Row],[Total quantity]],"YES","NO")</f>
        <v>#N/A</v>
      </c>
    </row>
    <row r="7" spans="1:14" x14ac:dyDescent="0.25">
      <c r="A7" s="3" t="s">
        <v>10</v>
      </c>
      <c r="B7" s="4" t="e">
        <f>VLOOKUP(Table1411[[#This Row],[Man. Number]],Articles!A:F,COLUMN(Articles!$D$1)-COLUMN(Articles!$A$1)+1,FALSE)</f>
        <v>#N/A</v>
      </c>
      <c r="C7" s="4" t="e">
        <f>VLOOKUP(Table1411[[#This Row],[Man. Number]],Articles!A:F,COLUMN(Articles!$C$1)-COLUMN(Articles!$A$1)+1,FALSE)</f>
        <v>#N/A</v>
      </c>
      <c r="D7" s="4" t="s">
        <v>68</v>
      </c>
      <c r="E7" s="4">
        <v>1</v>
      </c>
      <c r="F7" s="4" t="e">
        <f>VLOOKUP(Table1411[[#This Row],[Man. Number]],Articles!A:F,COLUMN(Articles!$F$1)-COLUMN(Articles!$A$1)+1,FALSE)</f>
        <v>#N/A</v>
      </c>
      <c r="G7" s="4" t="e">
        <f>IF(Table1411[[#This Row],[In stock]] &gt;= Table1411[[#This Row],[Quantity]],"YES","NO")</f>
        <v>#N/A</v>
      </c>
      <c r="H7" s="4" t="e">
        <f>VLOOKUP(Table1411[[#This Row],[Man. Number]],Articles!A:J,COLUMN(Articles!$J$1)-COLUMN(Articles!$A$1)+1,FALSE)*Table1411[[#This Row],[Quantity]]</f>
        <v>#N/A</v>
      </c>
      <c r="I7" s="4">
        <f>Table1411[[#This Row],[Quantity]]*$M$1</f>
        <v>1</v>
      </c>
      <c r="J7" s="4" t="e">
        <f>IF(Table1411[[#This Row],[In stock]] &gt;= Table1411[[#This Row],[Total quantity]],"YES","NO")</f>
        <v>#N/A</v>
      </c>
    </row>
    <row r="8" spans="1:14" x14ac:dyDescent="0.25">
      <c r="A8" s="3" t="s">
        <v>19</v>
      </c>
      <c r="B8" s="4" t="e">
        <f>VLOOKUP(Table1411[[#This Row],[Man. Number]],Articles!A:F,COLUMN(Articles!$D$1)-COLUMN(Articles!$A$1)+1,FALSE)</f>
        <v>#N/A</v>
      </c>
      <c r="C8" s="4" t="e">
        <f>VLOOKUP(Table1411[[#This Row],[Man. Number]],Articles!A:F,COLUMN(Articles!$C$1)-COLUMN(Articles!$A$1)+1,FALSE)</f>
        <v>#N/A</v>
      </c>
      <c r="D8" s="4" t="s">
        <v>210</v>
      </c>
      <c r="E8" s="4">
        <v>5</v>
      </c>
      <c r="F8" s="4" t="e">
        <f>VLOOKUP(Table1411[[#This Row],[Man. Number]],Articles!A:F,COLUMN(Articles!$F$1)-COLUMN(Articles!$A$1)+1,FALSE)</f>
        <v>#N/A</v>
      </c>
      <c r="G8" s="4" t="e">
        <f>IF(Table1411[[#This Row],[In stock]] &gt;= Table1411[[#This Row],[Quantity]],"YES","NO")</f>
        <v>#N/A</v>
      </c>
      <c r="H8" s="4" t="e">
        <f>VLOOKUP(Table1411[[#This Row],[Man. Number]],Articles!A:J,COLUMN(Articles!$J$1)-COLUMN(Articles!$A$1)+1,FALSE)*Table1411[[#This Row],[Quantity]]</f>
        <v>#N/A</v>
      </c>
      <c r="I8" s="4">
        <f>Table1411[[#This Row],[Quantity]]*$M$1</f>
        <v>5</v>
      </c>
      <c r="J8" s="4" t="e">
        <f>IF(Table1411[[#This Row],[In stock]] &gt;= Table1411[[#This Row],[Total quantity]],"YES","NO")</f>
        <v>#N/A</v>
      </c>
    </row>
    <row r="9" spans="1:14" x14ac:dyDescent="0.25">
      <c r="A9" s="3" t="s">
        <v>64</v>
      </c>
      <c r="B9" s="4" t="e">
        <f>VLOOKUP(Table1411[[#This Row],[Man. Number]],Articles!A:F,COLUMN(Articles!$D$1)-COLUMN(Articles!$A$1)+1,FALSE)</f>
        <v>#N/A</v>
      </c>
      <c r="C9" s="4" t="e">
        <f>VLOOKUP(Table1411[[#This Row],[Man. Number]],Articles!A:F,COLUMN(Articles!$C$1)-COLUMN(Articles!$A$1)+1,FALSE)</f>
        <v>#N/A</v>
      </c>
      <c r="D9" s="4" t="s">
        <v>65</v>
      </c>
      <c r="E9" s="4">
        <v>1</v>
      </c>
      <c r="F9" s="4" t="e">
        <f>VLOOKUP(Table1411[[#This Row],[Man. Number]],Articles!A:F,COLUMN(Articles!$F$1)-COLUMN(Articles!$A$1)+1,FALSE)</f>
        <v>#N/A</v>
      </c>
      <c r="G9" s="4" t="e">
        <f>IF(Table1411[[#This Row],[In stock]] &gt;= Table1411[[#This Row],[Quantity]],"YES","NO")</f>
        <v>#N/A</v>
      </c>
      <c r="H9" s="4" t="e">
        <f>VLOOKUP(Table1411[[#This Row],[Man. Number]],Articles!A:J,COLUMN(Articles!$J$1)-COLUMN(Articles!$A$1)+1,FALSE)*Table1411[[#This Row],[Quantity]]</f>
        <v>#N/A</v>
      </c>
      <c r="I9" s="4">
        <f>Table1411[[#This Row],[Quantity]]*$M$1</f>
        <v>1</v>
      </c>
      <c r="J9" s="4" t="e">
        <f>IF(Table1411[[#This Row],[In stock]] &gt;= Table1411[[#This Row],[Total quantity]],"YES","NO")</f>
        <v>#N/A</v>
      </c>
    </row>
    <row r="10" spans="1:14" x14ac:dyDescent="0.25">
      <c r="A10" s="38" t="s">
        <v>219</v>
      </c>
      <c r="B10" s="33" t="e">
        <f>VLOOKUP(Table1411[[#This Row],[Man. Number]],Articles!A:F,COLUMN(Articles!$D$1)-COLUMN(Articles!$A$1)+1,FALSE)</f>
        <v>#N/A</v>
      </c>
      <c r="C10" s="33" t="e">
        <f>VLOOKUP(Table1411[[#This Row],[Man. Number]],Articles!A:F,COLUMN(Articles!$C$1)-COLUMN(Articles!$A$1)+1,FALSE)</f>
        <v>#N/A</v>
      </c>
      <c r="D10" s="4" t="s">
        <v>84</v>
      </c>
      <c r="E10" s="4">
        <v>1</v>
      </c>
      <c r="F10" s="33" t="e">
        <f>VLOOKUP(Table1411[[#This Row],[Man. Number]],Articles!A:F,COLUMN(Articles!$F$1)-COLUMN(Articles!$A$1)+1,FALSE)</f>
        <v>#N/A</v>
      </c>
      <c r="G10" s="33" t="e">
        <f>IF(Table1411[[#This Row],[In stock]] &gt;= Table1411[[#This Row],[Quantity]],"YES","NO")</f>
        <v>#N/A</v>
      </c>
      <c r="H10" s="33" t="e">
        <f>VLOOKUP(Table1411[[#This Row],[Man. Number]],Articles!A:J,COLUMN(Articles!$J$1)-COLUMN(Articles!$A$1)+1,FALSE)*Table1411[[#This Row],[Quantity]]</f>
        <v>#N/A</v>
      </c>
      <c r="I10" s="33">
        <f>Table1411[[#This Row],[Quantity]]*$M$1</f>
        <v>1</v>
      </c>
      <c r="J10" s="33" t="e">
        <f>IF(Table1411[[#This Row],[In stock]] &gt;= Table1411[[#This Row],[Total quantity]],"YES","NO")</f>
        <v>#N/A</v>
      </c>
    </row>
    <row r="11" spans="1:14" x14ac:dyDescent="0.25">
      <c r="A11" s="4" t="s">
        <v>38</v>
      </c>
      <c r="B11" s="4" t="e">
        <f>VLOOKUP(Table1411[[#This Row],[Man. Number]],Articles!A:F,COLUMN(Articles!$D$1)-COLUMN(Articles!$A$1)+1,FALSE)</f>
        <v>#N/A</v>
      </c>
      <c r="C11" s="4" t="e">
        <f>VLOOKUP(Table1411[[#This Row],[Man. Number]],Articles!A:F,COLUMN(Articles!$C$1)-COLUMN(Articles!$A$1)+1,FALSE)</f>
        <v>#N/A</v>
      </c>
      <c r="D11" s="4" t="s">
        <v>84</v>
      </c>
      <c r="E11" s="4">
        <v>0</v>
      </c>
      <c r="F11" s="4" t="e">
        <f>VLOOKUP(Table1411[[#This Row],[Man. Number]],Articles!A:F,COLUMN(Articles!$F$1)-COLUMN(Articles!$A$1)+1,FALSE)</f>
        <v>#N/A</v>
      </c>
      <c r="G11" s="4" t="e">
        <f>IF(Table1411[[#This Row],[In stock]] &gt;= Table1411[[#This Row],[Quantity]],"YES","NO")</f>
        <v>#N/A</v>
      </c>
      <c r="H11" s="4" t="e">
        <f>VLOOKUP(Table1411[[#This Row],[Man. Number]],Articles!A:J,COLUMN(Articles!$J$1)-COLUMN(Articles!$A$1)+1,FALSE)*Table1411[[#This Row],[Quantity]]</f>
        <v>#N/A</v>
      </c>
      <c r="I11" s="4">
        <f>Table1411[[#This Row],[Quantity]]*$M$1</f>
        <v>0</v>
      </c>
      <c r="J11" s="4" t="e">
        <f>IF(Table1411[[#This Row],[In stock]] &gt;= Table1411[[#This Row],[Total quantity]],"YES","NO")</f>
        <v>#N/A</v>
      </c>
    </row>
    <row r="12" spans="1:14" x14ac:dyDescent="0.25">
      <c r="A12" s="38" t="s">
        <v>220</v>
      </c>
      <c r="B12" s="33" t="e">
        <f>VLOOKUP(Table1411[[#This Row],[Man. Number]],Articles!A:F,COLUMN(Articles!$D$1)-COLUMN(Articles!$A$1)+1,FALSE)</f>
        <v>#N/A</v>
      </c>
      <c r="C12" s="33" t="e">
        <f>VLOOKUP(Table1411[[#This Row],[Man. Number]],Articles!A:F,COLUMN(Articles!$C$1)-COLUMN(Articles!$A$1)+1,FALSE)</f>
        <v>#N/A</v>
      </c>
      <c r="D12" s="4" t="s">
        <v>84</v>
      </c>
      <c r="E12" s="4">
        <v>0</v>
      </c>
      <c r="F12" s="33" t="e">
        <f>VLOOKUP(Table1411[[#This Row],[Man. Number]],Articles!A:F,COLUMN(Articles!$F$1)-COLUMN(Articles!$A$1)+1,FALSE)</f>
        <v>#N/A</v>
      </c>
      <c r="G12" s="33" t="e">
        <f>IF(Table1411[[#This Row],[In stock]] &gt;= Table1411[[#This Row],[Quantity]],"YES","NO")</f>
        <v>#N/A</v>
      </c>
      <c r="H12" s="33" t="e">
        <f>VLOOKUP(Table1411[[#This Row],[Man. Number]],Articles!A:J,COLUMN(Articles!$J$1)-COLUMN(Articles!$A$1)+1,FALSE)*Table1411[[#This Row],[Quantity]]</f>
        <v>#N/A</v>
      </c>
      <c r="I12" s="33">
        <f>Table1411[[#This Row],[Quantity]]*$M$1</f>
        <v>0</v>
      </c>
      <c r="J12" s="33" t="e">
        <f>IF(Table1411[[#This Row],[In stock]] &gt;= Table1411[[#This Row],[Total quantity]],"YES","NO")</f>
        <v>#N/A</v>
      </c>
    </row>
    <row r="13" spans="1:14" x14ac:dyDescent="0.25">
      <c r="A13" s="3" t="s">
        <v>18</v>
      </c>
      <c r="B13" s="4" t="e">
        <f>VLOOKUP(Table1411[[#This Row],[Man. Number]],Articles!A:F,COLUMN(Articles!$D$1)-COLUMN(Articles!$A$1)+1,FALSE)</f>
        <v>#N/A</v>
      </c>
      <c r="C13" s="4" t="e">
        <f>VLOOKUP(Table1411[[#This Row],[Man. Number]],Articles!A:F,COLUMN(Articles!$C$1)-COLUMN(Articles!$A$1)+1,FALSE)</f>
        <v>#N/A</v>
      </c>
      <c r="D13" s="4" t="s">
        <v>71</v>
      </c>
      <c r="E13" s="4">
        <v>1</v>
      </c>
      <c r="F13" s="4" t="e">
        <f>VLOOKUP(Table1411[[#This Row],[Man. Number]],Articles!A:F,COLUMN(Articles!$F$1)-COLUMN(Articles!$A$1)+1,FALSE)</f>
        <v>#N/A</v>
      </c>
      <c r="G13" s="4" t="e">
        <f>IF(Table1411[[#This Row],[In stock]] &gt;= Table1411[[#This Row],[Quantity]],"YES","NO")</f>
        <v>#N/A</v>
      </c>
      <c r="H13" s="4" t="e">
        <f>VLOOKUP(Table1411[[#This Row],[Man. Number]],Articles!A:J,COLUMN(Articles!$J$1)-COLUMN(Articles!$A$1)+1,FALSE)*Table1411[[#This Row],[Quantity]]</f>
        <v>#N/A</v>
      </c>
      <c r="I13" s="4">
        <f>Table1411[[#This Row],[Quantity]]*$M$1</f>
        <v>1</v>
      </c>
      <c r="J13" s="4" t="e">
        <f>IF(Table1411[[#This Row],[In stock]] &gt;= Table1411[[#This Row],[Total quantity]],"YES","NO")</f>
        <v>#N/A</v>
      </c>
    </row>
    <row r="14" spans="1:14" x14ac:dyDescent="0.25">
      <c r="A14" s="3" t="s">
        <v>93</v>
      </c>
      <c r="B14" s="4" t="e">
        <f>VLOOKUP(Table1411[[#This Row],[Man. Number]],Articles!A:F,COLUMN(Articles!$D$1)-COLUMN(Articles!$A$1)+1,FALSE)</f>
        <v>#N/A</v>
      </c>
      <c r="C14" s="4" t="e">
        <f>VLOOKUP(Table1411[[#This Row],[Man. Number]],Articles!A:F,COLUMN(Articles!$C$1)-COLUMN(Articles!$A$1)+1,FALSE)</f>
        <v>#N/A</v>
      </c>
      <c r="D14" s="4" t="s">
        <v>74</v>
      </c>
      <c r="E14" s="4">
        <v>1</v>
      </c>
      <c r="F14" s="4" t="e">
        <f>VLOOKUP(Table1411[[#This Row],[Man. Number]],Articles!A:F,COLUMN(Articles!$F$1)-COLUMN(Articles!$A$1)+1,FALSE)</f>
        <v>#N/A</v>
      </c>
      <c r="G14" s="4" t="e">
        <f>IF(Table1411[[#This Row],[In stock]] &gt;= Table1411[[#This Row],[Quantity]],"YES","NO")</f>
        <v>#N/A</v>
      </c>
      <c r="H14" s="4" t="e">
        <f>VLOOKUP(Table1411[[#This Row],[Man. Number]],Articles!A:J,COLUMN(Articles!$J$1)-COLUMN(Articles!$A$1)+1,FALSE)*Table1411[[#This Row],[Quantity]]</f>
        <v>#N/A</v>
      </c>
      <c r="I14" s="4">
        <f>Table1411[[#This Row],[Quantity]]*$M$1</f>
        <v>1</v>
      </c>
      <c r="J14" s="4" t="e">
        <f>IF(Table1411[[#This Row],[In stock]] &gt;= Table1411[[#This Row],[Total quantity]],"YES","NO")</f>
        <v>#N/A</v>
      </c>
    </row>
    <row r="15" spans="1:14" x14ac:dyDescent="0.25">
      <c r="A15" s="38" t="s">
        <v>58</v>
      </c>
      <c r="B15" s="33" t="e">
        <f>VLOOKUP(Table1411[[#This Row],[Man. Number]],Articles!A:F,COLUMN(Articles!$D$1)-COLUMN(Articles!$A$1)+1,FALSE)</f>
        <v>#N/A</v>
      </c>
      <c r="C15" s="33" t="e">
        <f>VLOOKUP(Table1411[[#This Row],[Man. Number]],Articles!A:F,COLUMN(Articles!$C$1)-COLUMN(Articles!$A$1)+1,FALSE)</f>
        <v>#N/A</v>
      </c>
      <c r="D15" s="4" t="s">
        <v>212</v>
      </c>
      <c r="E15" s="4">
        <v>1</v>
      </c>
      <c r="F15" s="33" t="e">
        <f>VLOOKUP(Table1411[[#This Row],[Man. Number]],Articles!A:F,COLUMN(Articles!$F$1)-COLUMN(Articles!$A$1)+1,FALSE)</f>
        <v>#N/A</v>
      </c>
      <c r="G15" s="33" t="e">
        <f>IF(Table1411[[#This Row],[In stock]] &gt;= Table1411[[#This Row],[Quantity]],"YES","NO")</f>
        <v>#N/A</v>
      </c>
      <c r="H15" s="33" t="e">
        <f>VLOOKUP(Table1411[[#This Row],[Man. Number]],Articles!A:J,COLUMN(Articles!$J$1)-COLUMN(Articles!$A$1)+1,FALSE)*Table1411[[#This Row],[Quantity]]</f>
        <v>#N/A</v>
      </c>
      <c r="I15" s="33">
        <f>Table1411[[#This Row],[Quantity]]*$M$1</f>
        <v>1</v>
      </c>
      <c r="J15" s="33" t="e">
        <f>IF(Table1411[[#This Row],[In stock]] &gt;= Table1411[[#This Row],[Total quantity]],"YES","NO")</f>
        <v>#N/A</v>
      </c>
    </row>
    <row r="16" spans="1:14" x14ac:dyDescent="0.25">
      <c r="A16" s="3" t="s">
        <v>91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90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38" t="s">
        <v>185</v>
      </c>
      <c r="B17" s="4" t="e">
        <f>VLOOKUP(Table1411[[#This Row],[Man. Number]],Articles!A:F,COLUMN(Articles!$D$1)-COLUMN(Articles!$A$1)+1,FALSE)</f>
        <v>#N/A</v>
      </c>
      <c r="C17" s="4" t="e">
        <f>VLOOKUP(Table1411[[#This Row],[Man. Number]],Articles!A:F,COLUMN(Articles!$C$1)-COLUMN(Articles!$A$1)+1,FALSE)</f>
        <v>#N/A</v>
      </c>
      <c r="D17" s="4" t="s">
        <v>81</v>
      </c>
      <c r="E17" s="4">
        <v>1</v>
      </c>
      <c r="F17" s="4" t="e">
        <f>VLOOKUP(Table1411[[#This Row],[Man. Number]],Articles!A:F,COLUMN(Articles!$F$1)-COLUMN(Articles!$A$1)+1,FALSE)</f>
        <v>#N/A</v>
      </c>
      <c r="G17" s="4" t="e">
        <f>IF(Table1411[[#This Row],[In stock]] &gt;= Table1411[[#This Row],[Quantity]],"YES","NO")</f>
        <v>#N/A</v>
      </c>
      <c r="H17" s="4" t="e">
        <f>VLOOKUP(Table1411[[#This Row],[Man. Number]],Articles!A:J,COLUMN(Articles!$J$1)-COLUMN(Articles!$A$1)+1,FALSE)*Table1411[[#This Row],[Quantity]]</f>
        <v>#N/A</v>
      </c>
      <c r="I17" s="4">
        <f>Table1411[[#This Row],[Quantity]]*$M$1</f>
        <v>1</v>
      </c>
      <c r="J17" s="4" t="e">
        <f>IF(Table1411[[#This Row],[In stock]] &gt;= Table1411[[#This Row],[Total quantity]],"YES","NO")</f>
        <v>#N/A</v>
      </c>
    </row>
    <row r="18" spans="1:10" x14ac:dyDescent="0.25">
      <c r="A18" s="39" t="s">
        <v>218</v>
      </c>
      <c r="B18" s="4" t="e">
        <f>VLOOKUP(Table1411[[#This Row],[Man. Number]],Articles!A:F,COLUMN(Articles!$D$1)-COLUMN(Articles!$A$1)+1,FALSE)</f>
        <v>#N/A</v>
      </c>
      <c r="C18" s="4" t="e">
        <f>VLOOKUP(Table1411[[#This Row],[Man. Number]],Articles!A:F,COLUMN(Articles!$C$1)-COLUMN(Articles!$A$1)+1,FALSE)</f>
        <v>#N/A</v>
      </c>
      <c r="D18" s="4" t="s">
        <v>75</v>
      </c>
      <c r="E18" s="4">
        <v>2</v>
      </c>
      <c r="F18" s="4" t="e">
        <f>VLOOKUP(Table1411[[#This Row],[Man. Number]],Articles!A:F,COLUMN(Articles!$F$1)-COLUMN(Articles!$A$1)+1,FALSE)</f>
        <v>#N/A</v>
      </c>
      <c r="G18" s="4" t="e">
        <f>IF(Table1411[[#This Row],[In stock]] &gt;= Table1411[[#This Row],[Quantity]],"YES","NO")</f>
        <v>#N/A</v>
      </c>
      <c r="H18" s="4" t="e">
        <f>VLOOKUP(Table1411[[#This Row],[Man. Number]],Articles!A:J,COLUMN(Articles!$J$1)-COLUMN(Articles!$A$1)+1,FALSE)*Table1411[[#This Row],[Quantity]]</f>
        <v>#N/A</v>
      </c>
      <c r="I18" s="4">
        <f>Table1411[[#This Row],[Quantity]]*$M$1</f>
        <v>2</v>
      </c>
      <c r="J18" s="4" t="e">
        <f>IF(Table1411[[#This Row],[In stock]] &gt;= Table1411[[#This Row],[Total quantity]],"YES","NO")</f>
        <v>#N/A</v>
      </c>
    </row>
    <row r="19" spans="1:10" x14ac:dyDescent="0.25">
      <c r="A19" s="38" t="s">
        <v>190</v>
      </c>
      <c r="B19" s="4" t="e">
        <f>VLOOKUP(Table1411[[#This Row],[Man. Number]],Articles!A:F,COLUMN(Articles!$D$1)-COLUMN(Articles!$A$1)+1,FALSE)</f>
        <v>#N/A</v>
      </c>
      <c r="C19" s="4" t="e">
        <f>VLOOKUP(Table1411[[#This Row],[Man. Number]],Articles!A:F,COLUMN(Articles!$C$1)-COLUMN(Articles!$A$1)+1,FALSE)</f>
        <v>#N/A</v>
      </c>
      <c r="D19" s="4" t="s">
        <v>78</v>
      </c>
      <c r="E19" s="4">
        <v>1</v>
      </c>
      <c r="F19" s="4" t="e">
        <f>VLOOKUP(Table1411[[#This Row],[Man. Number]],Articles!A:F,COLUMN(Articles!$F$1)-COLUMN(Articles!$A$1)+1,FALSE)</f>
        <v>#N/A</v>
      </c>
      <c r="G19" s="4" t="e">
        <f>IF(Table1411[[#This Row],[In stock]] &gt;= Table1411[[#This Row],[Quantity]],"YES","NO")</f>
        <v>#N/A</v>
      </c>
      <c r="H19" s="4" t="e">
        <f>VLOOKUP(Table1411[[#This Row],[Man. Number]],Articles!A:J,COLUMN(Articles!$J$1)-COLUMN(Articles!$A$1)+1,FALSE)*Table1411[[#This Row],[Quantity]]</f>
        <v>#N/A</v>
      </c>
      <c r="I19" s="4">
        <f>Table1411[[#This Row],[Quantity]]*$M$1</f>
        <v>1</v>
      </c>
      <c r="J19" s="4" t="e">
        <f>IF(Table1411[[#This Row],[In stock]] &gt;= Table1411[[#This Row],[Total quantity]],"YES","NO")</f>
        <v>#N/A</v>
      </c>
    </row>
    <row r="20" spans="1:10" x14ac:dyDescent="0.25">
      <c r="A20" s="3" t="s">
        <v>53</v>
      </c>
      <c r="B20" s="4" t="e">
        <f>VLOOKUP(Table1411[[#This Row],[Man. Number]],Articles!A:F,COLUMN(Articles!$D$1)-COLUMN(Articles!$A$1)+1,FALSE)</f>
        <v>#N/A</v>
      </c>
      <c r="C20" s="4" t="e">
        <f>VLOOKUP(Table1411[[#This Row],[Man. Number]],Articles!A:F,COLUMN(Articles!$C$1)-COLUMN(Articles!$A$1)+1,FALSE)</f>
        <v>#N/A</v>
      </c>
      <c r="D20" s="4" t="s">
        <v>213</v>
      </c>
      <c r="E20" s="4">
        <v>2</v>
      </c>
      <c r="F20" s="4" t="e">
        <f>VLOOKUP(Table1411[[#This Row],[Man. Number]],Articles!A:F,COLUMN(Articles!$F$1)-COLUMN(Articles!$A$1)+1,FALSE)</f>
        <v>#N/A</v>
      </c>
      <c r="G20" s="4" t="e">
        <f>IF(Table1411[[#This Row],[In stock]] &gt;= Table1411[[#This Row],[Quantity]],"YES","NO")</f>
        <v>#N/A</v>
      </c>
      <c r="H20" s="4" t="e">
        <f>VLOOKUP(Table1411[[#This Row],[Man. Number]],Articles!A:J,COLUMN(Articles!$J$1)-COLUMN(Articles!$A$1)+1,FALSE)*Table1411[[#This Row],[Quantity]]</f>
        <v>#N/A</v>
      </c>
      <c r="I20" s="4">
        <f>Table1411[[#This Row],[Quantity]]*$M$1</f>
        <v>2</v>
      </c>
      <c r="J20" s="4" t="e">
        <f>IF(Table1411[[#This Row],[In stock]] &gt;= Table1411[[#This Row],[Total quantity]],"YES","NO")</f>
        <v>#N/A</v>
      </c>
    </row>
    <row r="21" spans="1:10" x14ac:dyDescent="0.25">
      <c r="A21" s="38" t="s">
        <v>193</v>
      </c>
      <c r="B21" s="33" t="e">
        <f>VLOOKUP(Table1411[[#This Row],[Man. Number]],Articles!A:F,COLUMN(Articles!$D$1)-COLUMN(Articles!$A$1)+1,FALSE)</f>
        <v>#N/A</v>
      </c>
      <c r="C21" s="33" t="e">
        <f>VLOOKUP(Table1411[[#This Row],[Man. Number]],Articles!A:F,COLUMN(Articles!$C$1)-COLUMN(Articles!$A$1)+1,FALSE)</f>
        <v>#N/A</v>
      </c>
      <c r="D21" s="4" t="s">
        <v>216</v>
      </c>
      <c r="E21" s="4">
        <v>2</v>
      </c>
      <c r="F21" s="33" t="e">
        <f>VLOOKUP(Table1411[[#This Row],[Man. Number]],Articles!A:F,COLUMN(Articles!$F$1)-COLUMN(Articles!$A$1)+1,FALSE)</f>
        <v>#N/A</v>
      </c>
      <c r="G21" s="33" t="e">
        <f>IF(Table1411[[#This Row],[In stock]] &gt;= Table1411[[#This Row],[Quantity]],"YES","NO")</f>
        <v>#N/A</v>
      </c>
      <c r="H21" s="33" t="e">
        <f>VLOOKUP(Table1411[[#This Row],[Man. Number]],Articles!A:J,COLUMN(Articles!$J$1)-COLUMN(Articles!$A$1)+1,FALSE)*Table1411[[#This Row],[Quantity]]</f>
        <v>#N/A</v>
      </c>
      <c r="I21" s="33">
        <f>Table1411[[#This Row],[Quantity]]*$M$1</f>
        <v>2</v>
      </c>
      <c r="J21" s="33" t="e">
        <f>IF(Table1411[[#This Row],[In stock]] &gt;= Table1411[[#This Row],[Total quantity]],"YES","NO")</f>
        <v>#N/A</v>
      </c>
    </row>
    <row r="22" spans="1:10" x14ac:dyDescent="0.25">
      <c r="A22" s="38" t="s">
        <v>170</v>
      </c>
      <c r="B22" s="4" t="e">
        <f>VLOOKUP(Table1411[[#This Row],[Man. Number]],Articles!A:F,COLUMN(Articles!$D$1)-COLUMN(Articles!$A$1)+1,FALSE)</f>
        <v>#N/A</v>
      </c>
      <c r="C22" s="4" t="e">
        <f>VLOOKUP(Table1411[[#This Row],[Man. Number]],Articles!A:F,COLUMN(Articles!$C$1)-COLUMN(Articles!$A$1)+1,FALSE)</f>
        <v>#N/A</v>
      </c>
      <c r="D22" s="4" t="s">
        <v>214</v>
      </c>
      <c r="E22" s="4">
        <v>3</v>
      </c>
      <c r="F22" s="4" t="e">
        <f>VLOOKUP(Table1411[[#This Row],[Man. Number]],Articles!A:F,COLUMN(Articles!$F$1)-COLUMN(Articles!$A$1)+1,FALSE)</f>
        <v>#N/A</v>
      </c>
      <c r="G22" s="4" t="e">
        <f>IF(Table1411[[#This Row],[In stock]] &gt;= Table1411[[#This Row],[Quantity]],"YES","NO")</f>
        <v>#N/A</v>
      </c>
      <c r="H22" s="4" t="e">
        <f>VLOOKUP(Table1411[[#This Row],[Man. Number]],Articles!A:J,COLUMN(Articles!$J$1)-COLUMN(Articles!$A$1)+1,FALSE)*Table1411[[#This Row],[Quantity]]</f>
        <v>#N/A</v>
      </c>
      <c r="I22" s="4">
        <f>Table1411[[#This Row],[Quantity]]*$M$1</f>
        <v>3</v>
      </c>
      <c r="J22" s="4" t="e">
        <f>IF(Table1411[[#This Row],[In stock]] &gt;= Table1411[[#This Row],[Total quantity]],"YES","NO")</f>
        <v>#N/A</v>
      </c>
    </row>
    <row r="23" spans="1:10" x14ac:dyDescent="0.25">
      <c r="A23" s="38" t="s">
        <v>191</v>
      </c>
      <c r="B23" s="33" t="e">
        <f>VLOOKUP(Table1411[[#This Row],[Man. Number]],Articles!A:F,COLUMN(Articles!$D$1)-COLUMN(Articles!$A$1)+1,FALSE)</f>
        <v>#N/A</v>
      </c>
      <c r="C23" s="33" t="e">
        <f>VLOOKUP(Table1411[[#This Row],[Man. Number]],Articles!A:F,COLUMN(Articles!$C$1)-COLUMN(Articles!$A$1)+1,FALSE)</f>
        <v>#N/A</v>
      </c>
      <c r="D23" s="4" t="s">
        <v>215</v>
      </c>
      <c r="E23" s="4">
        <v>1</v>
      </c>
      <c r="F23" s="33" t="e">
        <f>VLOOKUP(Table1411[[#This Row],[Man. Number]],Articles!A:F,COLUMN(Articles!$F$1)-COLUMN(Articles!$A$1)+1,FALSE)</f>
        <v>#N/A</v>
      </c>
      <c r="G23" s="33" t="e">
        <f>IF(Table1411[[#This Row],[In stock]] &gt;= Table1411[[#This Row],[Quantity]],"YES","NO")</f>
        <v>#N/A</v>
      </c>
      <c r="H23" s="33" t="e">
        <f>VLOOKUP(Table1411[[#This Row],[Man. Number]],Articles!A:J,COLUMN(Articles!$J$1)-COLUMN(Articles!$A$1)+1,FALSE)*Table1411[[#This Row],[Quantity]]</f>
        <v>#N/A</v>
      </c>
      <c r="I23" s="33">
        <f>Table1411[[#This Row],[Quantity]]*$M$1</f>
        <v>1</v>
      </c>
      <c r="J23" s="33" t="e">
        <f>IF(Table1411[[#This Row],[In stock]] &gt;= Table1411[[#This Row],[Total quantity]],"YES","NO")</f>
        <v>#N/A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87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21</v>
      </c>
      <c r="B25" s="4" t="e">
        <f>VLOOKUP(Table1411[[#This Row],[Man. Number]],Articles!A:F,COLUMN(Articles!$D$1)-COLUMN(Articles!$A$1)+1,FALSE)</f>
        <v>#N/A</v>
      </c>
      <c r="C25" s="4" t="e">
        <f>VLOOKUP(Table1411[[#This Row],[Man. Number]],Articles!A:F,COLUMN(Articles!$C$1)-COLUMN(Articles!$A$1)+1,FALSE)</f>
        <v>#N/A</v>
      </c>
      <c r="D25" s="4" t="s">
        <v>76</v>
      </c>
      <c r="E25" s="4">
        <v>2</v>
      </c>
      <c r="F25" s="4" t="e">
        <f>VLOOKUP(Table1411[[#This Row],[Man. Number]],Articles!A:F,COLUMN(Articles!$F$1)-COLUMN(Articles!$A$1)+1,FALSE)</f>
        <v>#N/A</v>
      </c>
      <c r="G25" s="4" t="e">
        <f>IF(Table1411[[#This Row],[In stock]] &gt;= Table1411[[#This Row],[Quantity]],"YES","NO")</f>
        <v>#N/A</v>
      </c>
      <c r="H25" s="4" t="e">
        <f>VLOOKUP(Table1411[[#This Row],[Man. Number]],Articles!A:J,COLUMN(Articles!$J$1)-COLUMN(Articles!$A$1)+1,FALSE)*Table1411[[#This Row],[Quantity]]</f>
        <v>#N/A</v>
      </c>
      <c r="I25" s="4">
        <f>Table1411[[#This Row],[Quantity]]*$M$1</f>
        <v>2</v>
      </c>
      <c r="J25" s="4" t="e">
        <f>IF(Table1411[[#This Row],[In stock]] &gt;= Table1411[[#This Row],[Total quantity]],"YES","NO")</f>
        <v>#N/A</v>
      </c>
    </row>
    <row r="26" spans="1:10" x14ac:dyDescent="0.25">
      <c r="A26" s="3" t="s">
        <v>22</v>
      </c>
      <c r="B26" s="4" t="e">
        <f>VLOOKUP(Table1411[[#This Row],[Man. Number]],Articles!A:F,COLUMN(Articles!$D$1)-COLUMN(Articles!$A$1)+1,FALSE)</f>
        <v>#N/A</v>
      </c>
      <c r="C26" s="4" t="e">
        <f>VLOOKUP(Table1411[[#This Row],[Man. Number]],Articles!A:F,COLUMN(Articles!$C$1)-COLUMN(Articles!$A$1)+1,FALSE)</f>
        <v>#N/A</v>
      </c>
      <c r="D26" s="4" t="s">
        <v>77</v>
      </c>
      <c r="E26" s="4">
        <v>5</v>
      </c>
      <c r="F26" s="4" t="e">
        <f>VLOOKUP(Table1411[[#This Row],[Man. Number]],Articles!A:F,COLUMN(Articles!$F$1)-COLUMN(Articles!$A$1)+1,FALSE)</f>
        <v>#N/A</v>
      </c>
      <c r="G26" s="4" t="e">
        <f>IF(Table1411[[#This Row],[In stock]] &gt;= Table1411[[#This Row],[Quantity]],"YES","NO")</f>
        <v>#N/A</v>
      </c>
      <c r="H26" s="4" t="e">
        <f>VLOOKUP(Table1411[[#This Row],[Man. Number]],Articles!A:J,COLUMN(Articles!$J$1)-COLUMN(Articles!$A$1)+1,FALSE)*Table1411[[#This Row],[Quantity]]</f>
        <v>#N/A</v>
      </c>
      <c r="I26" s="4">
        <f>Table1411[[#This Row],[Quantity]]*$M$1</f>
        <v>5</v>
      </c>
      <c r="J26" s="4" t="e">
        <f>IF(Table1411[[#This Row],[In stock]] &gt;= Table1411[[#This Row],[Total quantity]],"YES","NO")</f>
        <v>#N/A</v>
      </c>
    </row>
    <row r="27" spans="1:10" x14ac:dyDescent="0.25">
      <c r="A27" s="3" t="s">
        <v>14</v>
      </c>
      <c r="B27" s="4" t="e">
        <f>VLOOKUP(Table1411[[#This Row],[Man. Number]],Articles!A:F,COLUMN(Articles!$D$1)-COLUMN(Articles!$A$1)+1,FALSE)</f>
        <v>#N/A</v>
      </c>
      <c r="C27" s="4" t="e">
        <f>VLOOKUP(Table1411[[#This Row],[Man. Number]],Articles!A:F,COLUMN(Articles!$C$1)-COLUMN(Articles!$A$1)+1,FALSE)</f>
        <v>#N/A</v>
      </c>
      <c r="D27" s="4" t="s">
        <v>70</v>
      </c>
      <c r="E27" s="4">
        <v>1</v>
      </c>
      <c r="F27" s="4" t="e">
        <f>VLOOKUP(Table1411[[#This Row],[Man. Number]],Articles!A:F,COLUMN(Articles!$F$1)-COLUMN(Articles!$A$1)+1,FALSE)</f>
        <v>#N/A</v>
      </c>
      <c r="G27" s="4" t="e">
        <f>IF(Table1411[[#This Row],[In stock]] &gt;= Table1411[[#This Row],[Quantity]],"YES","NO")</f>
        <v>#N/A</v>
      </c>
      <c r="H27" s="4" t="e">
        <f>VLOOKUP(Table1411[[#This Row],[Man. Number]],Articles!A:J,COLUMN(Articles!$J$1)-COLUMN(Articles!$A$1)+1,FALSE)*Table1411[[#This Row],[Quantity]]</f>
        <v>#N/A</v>
      </c>
      <c r="I27" s="4">
        <f>Table1411[[#This Row],[Quantity]]*$M$1</f>
        <v>1</v>
      </c>
      <c r="J27" s="4" t="e">
        <f>IF(Table1411[[#This Row],[In stock]] &gt;= Table1411[[#This Row],[Total quantity]],"YES","NO")</f>
        <v>#N/A</v>
      </c>
    </row>
    <row r="28" spans="1:10" x14ac:dyDescent="0.25">
      <c r="A28" s="3" t="s">
        <v>15</v>
      </c>
      <c r="B28" s="4" t="e">
        <f>VLOOKUP(Table1411[[#This Row],[Man. Number]],Articles!A:F,COLUMN(Articles!$D$1)-COLUMN(Articles!$A$1)+1,FALSE)</f>
        <v>#N/A</v>
      </c>
      <c r="C28" s="4" t="e">
        <f>VLOOKUP(Table1411[[#This Row],[Man. Number]],Articles!A:F,COLUMN(Articles!$C$1)-COLUMN(Articles!$A$1)+1,FALSE)</f>
        <v>#N/A</v>
      </c>
      <c r="D28" s="4" t="s">
        <v>72</v>
      </c>
      <c r="E28" s="4">
        <v>1</v>
      </c>
      <c r="F28" s="4" t="e">
        <f>VLOOKUP(Table1411[[#This Row],[Man. Number]],Articles!A:F,COLUMN(Articles!$F$1)-COLUMN(Articles!$A$1)+1,FALSE)</f>
        <v>#N/A</v>
      </c>
      <c r="G28" s="4" t="e">
        <f>IF(Table1411[[#This Row],[In stock]] &gt;= Table1411[[#This Row],[Quantity]],"YES","NO")</f>
        <v>#N/A</v>
      </c>
      <c r="H28" s="4" t="e">
        <f>VLOOKUP(Table1411[[#This Row],[Man. Number]],Articles!A:J,COLUMN(Articles!$J$1)-COLUMN(Articles!$A$1)+1,FALSE)*Table1411[[#This Row],[Quantity]]</f>
        <v>#N/A</v>
      </c>
      <c r="I28" s="4">
        <f>Table1411[[#This Row],[Quantity]]*$M$1</f>
        <v>1</v>
      </c>
      <c r="J28" s="4" t="e">
        <f>IF(Table1411[[#This Row],[In stock]] &gt;= Table1411[[#This Row],[Total quantity]],"YES","NO")</f>
        <v>#N/A</v>
      </c>
    </row>
    <row r="29" spans="1:10" x14ac:dyDescent="0.25">
      <c r="A29" s="3" t="s">
        <v>16</v>
      </c>
      <c r="B29" s="4" t="e">
        <f>VLOOKUP(Table1411[[#This Row],[Man. Number]],Articles!A:F,COLUMN(Articles!$D$1)-COLUMN(Articles!$A$1)+1,FALSE)</f>
        <v>#N/A</v>
      </c>
      <c r="C29" s="4" t="e">
        <f>VLOOKUP(Table1411[[#This Row],[Man. Number]],Articles!A:F,COLUMN(Articles!$C$1)-COLUMN(Articles!$A$1)+1,FALSE)</f>
        <v>#N/A</v>
      </c>
      <c r="D29" s="4" t="s">
        <v>73</v>
      </c>
      <c r="E29" s="4">
        <v>1</v>
      </c>
      <c r="F29" s="4" t="e">
        <f>VLOOKUP(Table1411[[#This Row],[Man. Number]],Articles!A:F,COLUMN(Articles!$F$1)-COLUMN(Articles!$A$1)+1,FALSE)</f>
        <v>#N/A</v>
      </c>
      <c r="G29" s="4" t="e">
        <f>IF(Table1411[[#This Row],[In stock]] &gt;= Table1411[[#This Row],[Quantity]],"YES","NO")</f>
        <v>#N/A</v>
      </c>
      <c r="H29" s="4" t="e">
        <f>VLOOKUP(Table1411[[#This Row],[Man. Number]],Articles!A:J,COLUMN(Articles!$J$1)-COLUMN(Articles!$A$1)+1,FALSE)*Table1411[[#This Row],[Quantity]]</f>
        <v>#N/A</v>
      </c>
      <c r="I29" s="4">
        <f>Table1411[[#This Row],[Quantity]]*$M$1</f>
        <v>1</v>
      </c>
      <c r="J29" s="4" t="e">
        <f>IF(Table1411[[#This Row],[In stock]] &gt;= Table1411[[#This Row],[Total quantity]],"YES","NO")</f>
        <v>#N/A</v>
      </c>
    </row>
    <row r="30" spans="1:10" x14ac:dyDescent="0.25">
      <c r="A30" s="3" t="s">
        <v>134</v>
      </c>
      <c r="B30" s="4" t="e">
        <f>VLOOKUP(Table1411[[#This Row],[Man. Number]],Articles!A:F,COLUMN(Articles!$D$1)-COLUMN(Articles!$A$1)+1,FALSE)</f>
        <v>#N/A</v>
      </c>
      <c r="C30" s="4" t="e">
        <f>VLOOKUP(Table1411[[#This Row],[Man. Number]],Articles!A:F,COLUMN(Articles!$C$1)-COLUMN(Articles!$A$1)+1,FALSE)</f>
        <v>#N/A</v>
      </c>
      <c r="D30" s="4" t="s">
        <v>89</v>
      </c>
      <c r="E30" s="4">
        <v>1</v>
      </c>
      <c r="F30" s="4" t="e">
        <f>VLOOKUP(Table1411[[#This Row],[Man. Number]],Articles!A:F,COLUMN(Articles!$F$1)-COLUMN(Articles!$A$1)+1,FALSE)</f>
        <v>#N/A</v>
      </c>
      <c r="G30" s="4" t="e">
        <f>IF(Table1411[[#This Row],[In stock]] &gt;= Table1411[[#This Row],[Quantity]],"YES","NO")</f>
        <v>#N/A</v>
      </c>
      <c r="H30" s="4" t="e">
        <f>VLOOKUP(Table1411[[#This Row],[Man. Number]],Articles!A:J,COLUMN(Articles!$J$1)-COLUMN(Articles!$A$1)+1,FALSE)*Table1411[[#This Row],[Quantity]]</f>
        <v>#N/A</v>
      </c>
      <c r="I30" s="4">
        <f>Table1411[[#This Row],[Quantity]]*$M$1</f>
        <v>1</v>
      </c>
      <c r="J30" s="4" t="e">
        <f>IF(Table1411[[#This Row],[In stock]] &gt;= Table1411[[#This Row],[Total quantity]],"YES","NO")</f>
        <v>#N/A</v>
      </c>
    </row>
    <row r="31" spans="1:10" x14ac:dyDescent="0.25">
      <c r="A31" s="38" t="s">
        <v>40</v>
      </c>
      <c r="B31" s="4" t="e">
        <f>VLOOKUP(Table1411[[#This Row],[Man. Number]],Articles!A:F,COLUMN(Articles!$D$1)-COLUMN(Articles!$A$1)+1,FALSE)</f>
        <v>#N/A</v>
      </c>
      <c r="C31" s="4" t="e">
        <f>VLOOKUP(Table1411[[#This Row],[Man. Number]],Articles!A:F,COLUMN(Articles!$C$1)-COLUMN(Articles!$A$1)+1,FALSE)</f>
        <v>#N/A</v>
      </c>
      <c r="D31" s="4" t="s">
        <v>86</v>
      </c>
      <c r="E31" s="4">
        <v>1</v>
      </c>
      <c r="F31" s="4" t="e">
        <f>VLOOKUP(Table1411[[#This Row],[Man. Number]],Articles!A:F,COLUMN(Articles!$F$1)-COLUMN(Articles!$A$1)+1,FALSE)</f>
        <v>#N/A</v>
      </c>
      <c r="G31" s="4" t="e">
        <f>IF(Table1411[[#This Row],[In stock]] &gt;= Table1411[[#This Row],[Quantity]],"YES","NO")</f>
        <v>#N/A</v>
      </c>
      <c r="H31" s="4" t="e">
        <f>VLOOKUP(Table1411[[#This Row],[Man. Number]],Articles!A:J,COLUMN(Articles!$J$1)-COLUMN(Articles!$A$1)+1,FALSE)*Table1411[[#This Row],[Quantity]]</f>
        <v>#N/A</v>
      </c>
      <c r="I31" s="4">
        <f>Table1411[[#This Row],[Quantity]]*$M$1</f>
        <v>1</v>
      </c>
      <c r="J31" s="4" t="e">
        <f>IF(Table1411[[#This Row],[In stock]] &gt;= Table1411[[#This Row],[Total quantity]],"YES","NO")</f>
        <v>#N/A</v>
      </c>
    </row>
    <row r="32" spans="1:10" x14ac:dyDescent="0.25">
      <c r="A32" s="3" t="s">
        <v>8</v>
      </c>
      <c r="B32" s="4" t="e">
        <f>VLOOKUP(Table1411[[#This Row],[Man. Number]],Articles!A:F,COLUMN(Articles!$D$1)-COLUMN(Articles!$A$1)+1,FALSE)</f>
        <v>#N/A</v>
      </c>
      <c r="C32" s="4" t="e">
        <f>VLOOKUP(Table1411[[#This Row],[Man. Number]],Articles!A:F,COLUMN(Articles!$C$1)-COLUMN(Articles!$A$1)+1,FALSE)</f>
        <v>#N/A</v>
      </c>
      <c r="D32" s="4" t="s">
        <v>69</v>
      </c>
      <c r="E32" s="4">
        <v>1</v>
      </c>
      <c r="F32" s="4" t="e">
        <f>VLOOKUP(Table1411[[#This Row],[Man. Number]],Articles!A:F,COLUMN(Articles!$F$1)-COLUMN(Articles!$A$1)+1,FALSE)</f>
        <v>#N/A</v>
      </c>
      <c r="G32" s="4" t="e">
        <f>IF(Table1411[[#This Row],[In stock]] &gt;= Table1411[[#This Row],[Quantity]],"YES","NO")</f>
        <v>#N/A</v>
      </c>
      <c r="H32" s="4" t="e">
        <f>VLOOKUP(Table1411[[#This Row],[Man. Number]],Articles!A:J,COLUMN(Articles!$J$1)-COLUMN(Articles!$A$1)+1,FALSE)*Table1411[[#This Row],[Quantity]]</f>
        <v>#N/A</v>
      </c>
      <c r="I32" s="4">
        <f>Table1411[[#This Row],[Quantity]]*$M$1</f>
        <v>1</v>
      </c>
      <c r="J32" s="4" t="e">
        <f>IF(Table1411[[#This Row],[In stock]] &gt;= Table1411[[#This Row],[Total quantity]],"YES","NO")</f>
        <v>#N/A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88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88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38" t="s">
        <v>197</v>
      </c>
      <c r="B35" s="33" t="e">
        <f>VLOOKUP(Table1411[[#This Row],[Man. Number]],Articles!A:F,COLUMN(Articles!$D$1)-COLUMN(Articles!$A$1)+1,FALSE)</f>
        <v>#N/A</v>
      </c>
      <c r="C35" s="33" t="e">
        <f>VLOOKUP(Table1411[[#This Row],[Man. Number]],Articles!A:F,COLUMN(Articles!$C$1)-COLUMN(Articles!$A$1)+1,FALSE)</f>
        <v>#N/A</v>
      </c>
      <c r="D35" s="4" t="s">
        <v>88</v>
      </c>
      <c r="E35" s="4">
        <v>1</v>
      </c>
      <c r="F35" s="33" t="e">
        <f>VLOOKUP(Table1411[[#This Row],[Man. Number]],Articles!A:F,COLUMN(Articles!$F$1)-COLUMN(Articles!$A$1)+1,FALSE)</f>
        <v>#N/A</v>
      </c>
      <c r="G35" s="33" t="e">
        <f>IF(Table1411[[#This Row],[In stock]] &gt;= Table1411[[#This Row],[Quantity]],"YES","NO")</f>
        <v>#N/A</v>
      </c>
      <c r="H35" s="33" t="e">
        <f>VLOOKUP(Table1411[[#This Row],[Man. Number]],Articles!A:J,COLUMN(Articles!$J$1)-COLUMN(Articles!$A$1)+1,FALSE)*Table1411[[#This Row],[Quantity]]</f>
        <v>#N/A</v>
      </c>
      <c r="I35" s="33">
        <f>Table1411[[#This Row],[Quantity]]*$M$1</f>
        <v>1</v>
      </c>
      <c r="J35" s="33" t="e">
        <f>IF(Table1411[[#This Row],[In stock]] &gt;= Table1411[[#This Row],[Total quantity]],"YES","NO")</f>
        <v>#N/A</v>
      </c>
    </row>
    <row r="36" spans="1:10" x14ac:dyDescent="0.25">
      <c r="A36" s="38" t="s">
        <v>200</v>
      </c>
      <c r="B36" s="33" t="e">
        <f>VLOOKUP(Table1411[[#This Row],[Man. Number]],Articles!A:F,COLUMN(Articles!$D$1)-COLUMN(Articles!$A$1)+1,FALSE)</f>
        <v>#N/A</v>
      </c>
      <c r="C36" s="33" t="e">
        <f>VLOOKUP(Table1411[[#This Row],[Man. Number]],Articles!A:F,COLUMN(Articles!$C$1)-COLUMN(Articles!$A$1)+1,FALSE)</f>
        <v>#N/A</v>
      </c>
      <c r="D36" s="4" t="s">
        <v>88</v>
      </c>
      <c r="E36" s="4">
        <v>1</v>
      </c>
      <c r="F36" s="33" t="e">
        <f>VLOOKUP(Table1411[[#This Row],[Man. Number]],Articles!A:F,COLUMN(Articles!$F$1)-COLUMN(Articles!$A$1)+1,FALSE)</f>
        <v>#N/A</v>
      </c>
      <c r="G36" s="33" t="e">
        <f>IF(Table1411[[#This Row],[In stock]] &gt;= Table1411[[#This Row],[Quantity]],"YES","NO")</f>
        <v>#N/A</v>
      </c>
      <c r="H36" s="33" t="e">
        <f>VLOOKUP(Table1411[[#This Row],[Man. Number]],Articles!A:J,COLUMN(Articles!$J$1)-COLUMN(Articles!$A$1)+1,FALSE)*Table1411[[#This Row],[Quantity]]</f>
        <v>#N/A</v>
      </c>
      <c r="I36" s="33">
        <f>Table1411[[#This Row],[Quantity]]*$M$1</f>
        <v>1</v>
      </c>
      <c r="J36" s="33" t="e">
        <f>IF(Table1411[[#This Row],[In stock]] &gt;= Table1411[[#This Row],[Total quantity]],"YES","NO")</f>
        <v>#N/A</v>
      </c>
    </row>
    <row r="37" spans="1:10" x14ac:dyDescent="0.25">
      <c r="A37" s="38" t="s">
        <v>164</v>
      </c>
      <c r="B37" s="33" t="e">
        <f>VLOOKUP(Table1411[[#This Row],[Man. Number]],Articles!A:F,COLUMN(Articles!$D$1)-COLUMN(Articles!$A$1)+1,FALSE)</f>
        <v>#N/A</v>
      </c>
      <c r="C37" s="33" t="e">
        <f>VLOOKUP(Table1411[[#This Row],[Man. Number]],Articles!A:F,COLUMN(Articles!$C$1)-COLUMN(Articles!$A$1)+1,FALSE)</f>
        <v>#N/A</v>
      </c>
      <c r="D37" s="4" t="s">
        <v>217</v>
      </c>
      <c r="E37" s="4">
        <f>10/36</f>
        <v>0.27777777777777779</v>
      </c>
      <c r="F37" s="33" t="e">
        <f>VLOOKUP(Table1411[[#This Row],[Man. Number]],Articles!A:F,COLUMN(Articles!$F$1)-COLUMN(Articles!$A$1)+1,FALSE)</f>
        <v>#N/A</v>
      </c>
      <c r="G37" s="33" t="e">
        <f>IF(Table1411[[#This Row],[In stock]] &gt;= Table1411[[#This Row],[Quantity]],"YES","NO")</f>
        <v>#N/A</v>
      </c>
      <c r="H37" s="33" t="e">
        <f>VLOOKUP(Table1411[[#This Row],[Man. Number]],Articles!A:J,COLUMN(Articles!$J$1)-COLUMN(Articles!$A$1)+1,FALSE)*Table1411[[#This Row],[Quantity]]</f>
        <v>#N/A</v>
      </c>
      <c r="I37" s="33">
        <f>Table1411[[#This Row],[Quantity]]*$M$1</f>
        <v>0.27777777777777779</v>
      </c>
      <c r="J37" s="33" t="e">
        <f>IF(Table1411[[#This Row],[In stock]] &gt;= Table1411[[#This Row],[Total quantity]],"YES","NO")</f>
        <v>#N/A</v>
      </c>
    </row>
    <row r="38" spans="1:10" x14ac:dyDescent="0.25">
      <c r="A38" s="38" t="s">
        <v>195</v>
      </c>
      <c r="B38" s="33" t="e">
        <f>VLOOKUP(Table1411[[#This Row],[Man. Number]],Articles!A:F,COLUMN(Articles!$D$1)-COLUMN(Articles!$A$1)+1,FALSE)</f>
        <v>#N/A</v>
      </c>
      <c r="C38" s="33" t="e">
        <f>VLOOKUP(Table1411[[#This Row],[Man. Number]],Articles!A:F,COLUMN(Articles!$C$1)-COLUMN(Articles!$A$1)+1,FALSE)</f>
        <v>#N/A</v>
      </c>
      <c r="D38" s="4" t="s">
        <v>209</v>
      </c>
      <c r="E38" s="4">
        <v>19</v>
      </c>
      <c r="F38" s="33" t="e">
        <f>VLOOKUP(Table1411[[#This Row],[Man. Number]],Articles!A:F,COLUMN(Articles!$F$1)-COLUMN(Articles!$A$1)+1,FALSE)</f>
        <v>#N/A</v>
      </c>
      <c r="G38" s="33" t="e">
        <f>IF(Table1411[[#This Row],[In stock]] &gt;= Table1411[[#This Row],[Quantity]],"YES","NO")</f>
        <v>#N/A</v>
      </c>
      <c r="H38" s="33" t="e">
        <f>VLOOKUP(Table1411[[#This Row],[Man. Number]],Articles!A:J,COLUMN(Articles!$J$1)-COLUMN(Articles!$A$1)+1,FALSE)*Table1411[[#This Row],[Quantity]]</f>
        <v>#N/A</v>
      </c>
      <c r="I38" s="33">
        <f>Table1411[[#This Row],[Quantity]]*$M$1</f>
        <v>19</v>
      </c>
      <c r="J38" s="33" t="e">
        <f>IF(Table1411[[#This Row],[In stock]] &gt;= Table1411[[#This Row],[Total quantity]],"YES","NO")</f>
        <v>#N/A</v>
      </c>
    </row>
    <row r="39" spans="1:10" x14ac:dyDescent="0.25">
      <c r="A39" s="38" t="s">
        <v>196</v>
      </c>
      <c r="B39" s="33" t="e">
        <f>VLOOKUP(Table1411[[#This Row],[Man. Number]],Articles!A:F,COLUMN(Articles!$D$1)-COLUMN(Articles!$A$1)+1,FALSE)</f>
        <v>#N/A</v>
      </c>
      <c r="C39" s="33" t="e">
        <f>VLOOKUP(Table1411[[#This Row],[Man. Number]],Articles!A:F,COLUMN(Articles!$C$1)-COLUMN(Articles!$A$1)+1,FALSE)</f>
        <v>#N/A</v>
      </c>
      <c r="D39" s="4" t="s">
        <v>208</v>
      </c>
      <c r="E39" s="4">
        <v>4</v>
      </c>
      <c r="F39" s="33" t="e">
        <f>VLOOKUP(Table1411[[#This Row],[Man. Number]],Articles!A:F,COLUMN(Articles!$F$1)-COLUMN(Articles!$A$1)+1,FALSE)</f>
        <v>#N/A</v>
      </c>
      <c r="G39" s="33" t="e">
        <f>IF(Table1411[[#This Row],[In stock]] &gt;= Table1411[[#This Row],[Quantity]],"YES","NO")</f>
        <v>#N/A</v>
      </c>
      <c r="H39" s="33" t="e">
        <f>VLOOKUP(Table1411[[#This Row],[Man. Number]],Articles!A:J,COLUMN(Articles!$J$1)-COLUMN(Articles!$A$1)+1,FALSE)*Table1411[[#This Row],[Quantity]]</f>
        <v>#N/A</v>
      </c>
      <c r="I39" s="33">
        <f>Table1411[[#This Row],[Quantity]]*$M$1</f>
        <v>4</v>
      </c>
      <c r="J39" s="33" t="e">
        <f>IF(Table1411[[#This Row],[In stock]] &gt;= Table1411[[#This Row],[Total quantity]],"YES","NO")</f>
        <v>#N/A</v>
      </c>
    </row>
    <row r="40" spans="1:10" x14ac:dyDescent="0.25">
      <c r="A40" s="38" t="s">
        <v>199</v>
      </c>
      <c r="B40" s="33" t="e">
        <f>VLOOKUP(Table1411[[#This Row],[Man. Number]],Articles!A:F,COLUMN(Articles!$D$1)-COLUMN(Articles!$A$1)+1,FALSE)</f>
        <v>#N/A</v>
      </c>
      <c r="C40" s="33" t="e">
        <f>VLOOKUP(Table1411[[#This Row],[Man. Number]],Articles!A:F,COLUMN(Articles!$C$1)-COLUMN(Articles!$A$1)+1,FALSE)</f>
        <v>#N/A</v>
      </c>
      <c r="D40" s="4" t="s">
        <v>208</v>
      </c>
      <c r="E40" s="4">
        <v>4</v>
      </c>
      <c r="F40" s="33" t="e">
        <f>VLOOKUP(Table1411[[#This Row],[Man. Number]],Articles!A:F,COLUMN(Articles!$F$1)-COLUMN(Articles!$A$1)+1,FALSE)</f>
        <v>#N/A</v>
      </c>
      <c r="G40" s="33" t="e">
        <f>IF(Table1411[[#This Row],[In stock]] &gt;= Table1411[[#This Row],[Quantity]],"YES","NO")</f>
        <v>#N/A</v>
      </c>
      <c r="H40" s="33" t="e">
        <f>VLOOKUP(Table1411[[#This Row],[Man. Number]],Articles!A:J,COLUMN(Articles!$J$1)-COLUMN(Articles!$A$1)+1,FALSE)*Table1411[[#This Row],[Quantity]]</f>
        <v>#N/A</v>
      </c>
      <c r="I40" s="33">
        <f>Table1411[[#This Row],[Quantity]]*$M$1</f>
        <v>4</v>
      </c>
      <c r="J40" s="33" t="e">
        <f>IF(Table1411[[#This Row],[In stock]] &gt;= Table1411[[#This Row],[Total quantity]],"YES","NO")</f>
        <v>#N/A</v>
      </c>
    </row>
    <row r="41" spans="1:10" x14ac:dyDescent="0.25">
      <c r="A41" s="38" t="s">
        <v>198</v>
      </c>
      <c r="B41" s="33" t="e">
        <f>VLOOKUP(Table1411[[#This Row],[Man. Number]],Articles!A:F,COLUMN(Articles!$D$1)-COLUMN(Articles!$A$1)+1,FALSE)</f>
        <v>#N/A</v>
      </c>
      <c r="C41" s="33" t="e">
        <f>VLOOKUP(Table1411[[#This Row],[Man. Number]],Articles!A:F,COLUMN(Articles!$C$1)-COLUMN(Articles!$A$1)+1,FALSE)</f>
        <v>#N/A</v>
      </c>
      <c r="D41" s="4" t="s">
        <v>207</v>
      </c>
      <c r="E41" s="4">
        <v>1</v>
      </c>
      <c r="F41" s="33" t="e">
        <f>VLOOKUP(Table1411[[#This Row],[Man. Number]],Articles!A:F,COLUMN(Articles!$F$1)-COLUMN(Articles!$A$1)+1,FALSE)</f>
        <v>#N/A</v>
      </c>
      <c r="G41" s="33" t="e">
        <f>IF(Table1411[[#This Row],[In stock]] &gt;= Table1411[[#This Row],[Quantity]],"YES","NO")</f>
        <v>#N/A</v>
      </c>
      <c r="H41" s="33" t="e">
        <f>VLOOKUP(Table1411[[#This Row],[Man. Number]],Articles!A:J,COLUMN(Articles!$J$1)-COLUMN(Articles!$A$1)+1,FALSE)*Table1411[[#This Row],[Quantity]]</f>
        <v>#N/A</v>
      </c>
      <c r="I41" s="33">
        <f>Table1411[[#This Row],[Quantity]]*$M$1</f>
        <v>1</v>
      </c>
      <c r="J41" s="33" t="e">
        <f>IF(Table1411[[#This Row],[In stock]] &gt;= Table1411[[#This Row],[Total quantity]],"YES","NO")</f>
        <v>#N/A</v>
      </c>
    </row>
    <row r="42" spans="1:10" x14ac:dyDescent="0.25">
      <c r="A42" s="38" t="s">
        <v>201</v>
      </c>
      <c r="B42" s="33" t="e">
        <f>VLOOKUP(Table1411[[#This Row],[Man. Number]],Articles!A:F,COLUMN(Articles!$D$1)-COLUMN(Articles!$A$1)+1,FALSE)</f>
        <v>#N/A</v>
      </c>
      <c r="C42" s="33" t="e">
        <f>VLOOKUP(Table1411[[#This Row],[Man. Number]],Articles!A:F,COLUMN(Articles!$C$1)-COLUMN(Articles!$A$1)+1,FALSE)</f>
        <v>#N/A</v>
      </c>
      <c r="D42" s="4" t="s">
        <v>207</v>
      </c>
      <c r="E42" s="4">
        <v>1</v>
      </c>
      <c r="F42" s="33" t="e">
        <f>VLOOKUP(Table1411[[#This Row],[Man. Number]],Articles!A:F,COLUMN(Articles!$F$1)-COLUMN(Articles!$A$1)+1,FALSE)</f>
        <v>#N/A</v>
      </c>
      <c r="G42" s="33" t="e">
        <f>IF(Table1411[[#This Row],[In stock]] &gt;= Table1411[[#This Row],[Quantity]],"YES","NO")</f>
        <v>#N/A</v>
      </c>
      <c r="H42" s="33" t="e">
        <f>VLOOKUP(Table1411[[#This Row],[Man. Number]],Articles!A:J,COLUMN(Articles!$J$1)-COLUMN(Articles!$A$1)+1,FALSE)*Table1411[[#This Row],[Quantity]]</f>
        <v>#N/A</v>
      </c>
      <c r="I42" s="33">
        <f>Table1411[[#This Row],[Quantity]]*$M$1</f>
        <v>1</v>
      </c>
      <c r="J42" s="33" t="e">
        <f>IF(Table1411[[#This Row],[In stock]] &gt;= Table1411[[#This Row],[Total quantity]],"YES","NO")</f>
        <v>#N/A</v>
      </c>
    </row>
    <row r="43" spans="1:10" x14ac:dyDescent="0.25">
      <c r="A43" s="4" t="s">
        <v>30</v>
      </c>
      <c r="B43" s="4" t="e">
        <f>VLOOKUP(Table1411[[#This Row],[Man. Number]],Articles!A:F,COLUMN(Articles!$D$1)-COLUMN(Articles!$A$1)+1,FALSE)</f>
        <v>#N/A</v>
      </c>
      <c r="C43" s="4" t="e">
        <f>VLOOKUP(Table1411[[#This Row],[Man. Number]],Articles!A:F,COLUMN(Articles!$C$1)-COLUMN(Articles!$A$1)+1,FALSE)</f>
        <v>#N/A</v>
      </c>
      <c r="D43" s="4" t="s">
        <v>85</v>
      </c>
      <c r="E43" s="4">
        <v>1</v>
      </c>
      <c r="F43" s="4" t="e">
        <f>VLOOKUP(Table1411[[#This Row],[Man. Number]],Articles!A:F,COLUMN(Articles!$F$1)-COLUMN(Articles!$A$1)+1,FALSE)</f>
        <v>#N/A</v>
      </c>
      <c r="G43" s="4" t="e">
        <f>IF(Table1411[[#This Row],[In stock]] &gt;= Table1411[[#This Row],[Quantity]],"YES","NO")</f>
        <v>#N/A</v>
      </c>
      <c r="H43" s="4" t="e">
        <f>VLOOKUP(Table1411[[#This Row],[Man. Number]],Articles!A:J,COLUMN(Articles!$J$1)-COLUMN(Articles!$A$1)+1,FALSE)*Table1411[[#This Row],[Quantity]]</f>
        <v>#N/A</v>
      </c>
      <c r="I43" s="4">
        <f>Table1411[[#This Row],[Quantity]]*$M$1</f>
        <v>1</v>
      </c>
      <c r="J43" s="4" t="e">
        <f>IF(Table1411[[#This Row],[In stock]] &gt;= Table1411[[#This Row],[Total quantity]],"YES","NO")</f>
        <v>#N/A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121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20" priority="5"/>
  </conditionalFormatting>
  <conditionalFormatting sqref="G1:H1048576 J1:J1048576">
    <cfRule type="containsText" dxfId="19" priority="6" operator="containsText" text="NO">
      <formula>NOT(ISERROR(SEARCH("NO",G1)))</formula>
    </cfRule>
  </conditionalFormatting>
  <conditionalFormatting sqref="N1">
    <cfRule type="cellIs" dxfId="18" priority="1" stopIfTrue="1" operator="equal">
      <formula>"Locked"</formula>
    </cfRule>
    <cfRule type="cellIs" dxfId="1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 activeCell="F7" sqref="F7"/>
    </sheetView>
  </sheetViews>
  <sheetFormatPr defaultColWidth="9.140625"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">
        <v>1</v>
      </c>
      <c r="N1" t="s">
        <v>269</v>
      </c>
    </row>
    <row r="2" spans="1:14" x14ac:dyDescent="0.25">
      <c r="A2" s="3" t="s">
        <v>42</v>
      </c>
      <c r="B2" s="4" t="e">
        <f>VLOOKUP(Table14[[#This Row],[Man. Number]],Articles!A:F,COLUMN(Articles!$D$1)-COLUMN(Articles!$A$1)+1,FALSE)</f>
        <v>#N/A</v>
      </c>
      <c r="C2" s="4" t="e">
        <f>VLOOKUP(Table14[[#This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VLOOKUP(Table14[[#This Row],[Man. Number]],Articles!A:F,COLUMN(Articles!$F$1)-COLUMN(Articles!$A$1)+1,FALSE)</f>
        <v>#N/A</v>
      </c>
      <c r="G2" s="4" t="e">
        <f>IF(Table14[[#This Row],[In stock]] &gt;= Table14[[#This Row],[Quantity]],"YES","NO")</f>
        <v>#N/A</v>
      </c>
      <c r="H2" s="3" t="e">
        <f>VLOOKUP(Table14[[#This Row],[Man. Number]],Articles!A:J,COLUMN(Articles!$J$1)-COLUMN(Articles!$A$1)+1,FALSE)*Table14[[#This Row],[Quantity]]</f>
        <v>#N/A</v>
      </c>
      <c r="I2" s="4">
        <f>Table14[[#This Row],[Quantity]]*$M$1</f>
        <v>1</v>
      </c>
      <c r="J2" s="4" t="e">
        <f>IF(Table14[[#This Row],[In stock]] &gt;= Table14[[#This Row],[Total quantity]],"YES","NO")</f>
        <v>#N/A</v>
      </c>
    </row>
    <row r="3" spans="1:14" x14ac:dyDescent="0.25">
      <c r="A3" s="3" t="s">
        <v>35</v>
      </c>
      <c r="B3" s="4" t="e">
        <f>VLOOKUP(Table14[[#This Row],[Man. Number]],Articles!A:F,COLUMN(Articles!$D$1)-COLUMN(Articles!$A$1)+1,FALSE)</f>
        <v>#N/A</v>
      </c>
      <c r="C3" s="4" t="e">
        <f>VLOOKUP(Table14[[#This Row],[Man. Number]],Articles!A:F,COLUMN(Articles!$C$1)-COLUMN(Articles!$A$1)+1,FALSE)</f>
        <v>#N/A</v>
      </c>
      <c r="D3" s="4" t="s">
        <v>29</v>
      </c>
      <c r="E3" s="4">
        <v>19</v>
      </c>
      <c r="F3" s="4" t="e">
        <f>VLOOKUP(Table14[[#This Row],[Man. Number]],Articles!A:F,COLUMN(Articles!$F$1)-COLUMN(Articles!$A$1)+1,FALSE)</f>
        <v>#N/A</v>
      </c>
      <c r="G3" s="4" t="e">
        <f>IF(Table14[[#This Row],[In stock]] &gt;= Table14[[#This Row],[Quantity]],"YES","NO")</f>
        <v>#N/A</v>
      </c>
      <c r="H3" s="3" t="e">
        <f>VLOOKUP(Table14[[#This Row],[Man. Number]],Articles!A:J,COLUMN(Articles!$J$1)-COLUMN(Articles!$A$1)+1,FALSE)*Table14[[#This Row],[Quantity]]</f>
        <v>#N/A</v>
      </c>
      <c r="I3" s="4">
        <f>Table14[[#This Row],[Quantity]]*$M$1</f>
        <v>19</v>
      </c>
      <c r="J3" s="4" t="e">
        <f>IF(Table14[[#This Row],[In stock]] &gt;= Table14[[#This Row],[Total quantity]],"YES","NO")</f>
        <v>#N/A</v>
      </c>
    </row>
    <row r="4" spans="1:14" x14ac:dyDescent="0.25">
      <c r="A4" s="3" t="s">
        <v>115</v>
      </c>
      <c r="B4" s="4" t="e">
        <f>VLOOKUP(Table14[[#This Row],[Man. Number]],Articles!A:F,COLUMN(Articles!$D$1)-COLUMN(Articles!$A$1)+1,FALSE)</f>
        <v>#N/A</v>
      </c>
      <c r="C4" s="4" t="e">
        <f>VLOOKUP(Table14[[#This Row],[Man. Number]],Articles!A:F,COLUMN(Articles!$C$1)-COLUMN(Articles!$A$1)+1,FALSE)</f>
        <v>#N/A</v>
      </c>
      <c r="D4" s="4" t="s">
        <v>29</v>
      </c>
      <c r="E4" s="4">
        <v>0.63888888888888884</v>
      </c>
      <c r="F4" s="4" t="e">
        <f>VLOOKUP(Table14[[#This Row],[Man. Number]],Articles!A:F,COLUMN(Articles!$F$1)-COLUMN(Articles!$A$1)+1,FALSE)</f>
        <v>#N/A</v>
      </c>
      <c r="G4" s="4" t="e">
        <f>IF(Table14[[#This Row],[In stock]] &gt;= Table14[[#This Row],[Quantity]],"YES","NO")</f>
        <v>#N/A</v>
      </c>
      <c r="H4" s="3" t="e">
        <f>VLOOKUP(Table14[[#This Row],[Man. Number]],Articles!A:J,COLUMN(Articles!$J$1)-COLUMN(Articles!$A$1)+1,FALSE)*Table14[[#This Row],[Quantity]]</f>
        <v>#N/A</v>
      </c>
      <c r="I4" s="4">
        <f>Table14[[#This Row],[Quantity]]*$M$1</f>
        <v>0.63888888888888884</v>
      </c>
      <c r="J4" s="4" t="e">
        <f>IF(Table14[[#This Row],[In stock]] &gt;= Table14[[#This Row],[Total quantity]],"YES","NO")</f>
        <v>#N/A</v>
      </c>
    </row>
    <row r="5" spans="1:14" x14ac:dyDescent="0.25">
      <c r="A5" s="3" t="s">
        <v>94</v>
      </c>
      <c r="B5" s="4" t="e">
        <f>VLOOKUP(Table14[[#This Row],[Man. Number]],Articles!A:F,COLUMN(Articles!$D$1)-COLUMN(Articles!$A$1)+1,FALSE)</f>
        <v>#N/A</v>
      </c>
      <c r="C5" s="4" t="e">
        <f>VLOOKUP(Table14[[#This Row],[Man. Number]],Articles!A:F,COLUMN(Articles!$C$1)-COLUMN(Articles!$A$1)+1,FALSE)</f>
        <v>#N/A</v>
      </c>
      <c r="D5" s="4" t="s">
        <v>29</v>
      </c>
      <c r="E5" s="4">
        <v>1</v>
      </c>
      <c r="F5" s="4" t="e">
        <f>VLOOKUP(Table14[[#This Row],[Man. Number]],Articles!A:F,COLUMN(Articles!$F$1)-COLUMN(Articles!$A$1)+1,FALSE)</f>
        <v>#N/A</v>
      </c>
      <c r="G5" s="4" t="e">
        <f>IF(Table14[[#This Row],[In stock]] &gt;= Table14[[#This Row],[Quantity]],"YES","NO")</f>
        <v>#N/A</v>
      </c>
      <c r="H5" s="3" t="e">
        <f>VLOOKUP(Table14[[#This Row],[Man. Number]],Articles!A:J,COLUMN(Articles!$J$1)-COLUMN(Articles!$A$1)+1,FALSE)*Table14[[#This Row],[Quantity]]</f>
        <v>#N/A</v>
      </c>
      <c r="I5" s="4">
        <f>Table14[[#This Row],[Quantity]]*$M$1</f>
        <v>1</v>
      </c>
      <c r="J5" s="4" t="e">
        <f>IF(Table14[[#This Row],[In stock]] &gt;= Table14[[#This Row],[Total quantity]],"YES","NO")</f>
        <v>#N/A</v>
      </c>
    </row>
    <row r="6" spans="1:14" x14ac:dyDescent="0.25">
      <c r="A6" s="3" t="s">
        <v>9</v>
      </c>
      <c r="B6" s="4" t="e">
        <f>VLOOKUP(Table14[[#This Row],[Man. Number]],Articles!A:F,COLUMN(Articles!$D$1)-COLUMN(Articles!$A$1)+1,FALSE)</f>
        <v>#N/A</v>
      </c>
      <c r="C6" s="4" t="e">
        <f>VLOOKUP(Table14[[#This Row],[Man. Number]],Articles!A:F,COLUMN(Articles!$C$1)-COLUMN(Articles!$A$1)+1,FALSE)</f>
        <v>#N/A</v>
      </c>
      <c r="D6" s="4" t="s">
        <v>67</v>
      </c>
      <c r="E6" s="4">
        <v>1</v>
      </c>
      <c r="F6" s="4" t="e">
        <f>VLOOKUP(Table14[[#This Row],[Man. Number]],Articles!A:F,COLUMN(Articles!$F$1)-COLUMN(Articles!$A$1)+1,FALSE)</f>
        <v>#N/A</v>
      </c>
      <c r="G6" s="4" t="e">
        <f>IF(Table14[[#This Row],[In stock]] &gt;= Table14[[#This Row],[Quantity]],"YES","NO")</f>
        <v>#N/A</v>
      </c>
      <c r="H6" s="3" t="e">
        <f>VLOOKUP(Table14[[#This Row],[Man. Number]],Articles!A:J,COLUMN(Articles!$J$1)-COLUMN(Articles!$A$1)+1,FALSE)*Table14[[#This Row],[Quantity]]</f>
        <v>#N/A</v>
      </c>
      <c r="I6" s="4">
        <f>Table14[[#This Row],[Quantity]]*$M$1</f>
        <v>1</v>
      </c>
      <c r="J6" s="4" t="e">
        <f>IF(Table14[[#This Row],[In stock]] &gt;= Table14[[#This Row],[Total quantity]],"YES","NO")</f>
        <v>#N/A</v>
      </c>
    </row>
    <row r="7" spans="1:14" x14ac:dyDescent="0.25">
      <c r="A7" s="3" t="s">
        <v>10</v>
      </c>
      <c r="B7" s="4" t="e">
        <f>VLOOKUP(Table14[[#This Row],[Man. Number]],Articles!A:F,COLUMN(Articles!$D$1)-COLUMN(Articles!$A$1)+1,FALSE)</f>
        <v>#N/A</v>
      </c>
      <c r="C7" s="4" t="e">
        <f>VLOOKUP(Table14[[#This Row],[Man. Number]],Articles!A:F,COLUMN(Articles!$C$1)-COLUMN(Articles!$A$1)+1,FALSE)</f>
        <v>#N/A</v>
      </c>
      <c r="D7" s="4" t="s">
        <v>68</v>
      </c>
      <c r="E7" s="4">
        <v>1</v>
      </c>
      <c r="F7" s="4" t="e">
        <f>VLOOKUP(Table14[[#This Row],[Man. Number]],Articles!A:F,COLUMN(Articles!$F$1)-COLUMN(Articles!$A$1)+1,FALSE)</f>
        <v>#N/A</v>
      </c>
      <c r="G7" s="4" t="e">
        <f>IF(Table14[[#This Row],[In stock]] &gt;= Table14[[#This Row],[Quantity]],"YES","NO")</f>
        <v>#N/A</v>
      </c>
      <c r="H7" s="3" t="e">
        <f>VLOOKUP(Table14[[#This Row],[Man. Number]],Articles!A:J,COLUMN(Articles!$J$1)-COLUMN(Articles!$A$1)+1,FALSE)*Table14[[#This Row],[Quantity]]</f>
        <v>#N/A</v>
      </c>
      <c r="I7" s="4">
        <f>Table14[[#This Row],[Quantity]]*$M$1</f>
        <v>1</v>
      </c>
      <c r="J7" s="4" t="e">
        <f>IF(Table14[[#This Row],[In stock]] &gt;= Table14[[#This Row],[Total quantity]],"YES","NO")</f>
        <v>#N/A</v>
      </c>
    </row>
    <row r="8" spans="1:14" x14ac:dyDescent="0.25">
      <c r="A8" s="3" t="s">
        <v>19</v>
      </c>
      <c r="B8" s="4" t="e">
        <f>VLOOKUP(Table14[[#This Row],[Man. Number]],Articles!A:F,COLUMN(Articles!$D$1)-COLUMN(Articles!$A$1)+1,FALSE)</f>
        <v>#N/A</v>
      </c>
      <c r="C8" s="4" t="e">
        <f>VLOOKUP(Table14[[#This Row],[Man. Number]],Articles!A:F,COLUMN(Articles!$C$1)-COLUMN(Articles!$A$1)+1,FALSE)</f>
        <v>#N/A</v>
      </c>
      <c r="D8" s="4" t="s">
        <v>66</v>
      </c>
      <c r="E8" s="4">
        <v>4</v>
      </c>
      <c r="F8" s="4" t="e">
        <f>VLOOKUP(Table14[[#This Row],[Man. Number]],Articles!A:F,COLUMN(Articles!$F$1)-COLUMN(Articles!$A$1)+1,FALSE)</f>
        <v>#N/A</v>
      </c>
      <c r="G8" s="4" t="e">
        <f>IF(Table14[[#This Row],[In stock]] &gt;= Table14[[#This Row],[Quantity]],"YES","NO")</f>
        <v>#N/A</v>
      </c>
      <c r="H8" s="3" t="e">
        <f>VLOOKUP(Table14[[#This Row],[Man. Number]],Articles!A:J,COLUMN(Articles!$J$1)-COLUMN(Articles!$A$1)+1,FALSE)*Table14[[#This Row],[Quantity]]</f>
        <v>#N/A</v>
      </c>
      <c r="I8" s="4">
        <f>Table14[[#This Row],[Quantity]]*$M$1</f>
        <v>4</v>
      </c>
      <c r="J8" s="4" t="e">
        <f>IF(Table14[[#This Row],[In stock]] &gt;= Table14[[#This Row],[Total quantity]],"YES","NO")</f>
        <v>#N/A</v>
      </c>
    </row>
    <row r="9" spans="1:14" x14ac:dyDescent="0.25">
      <c r="A9" s="3" t="s">
        <v>64</v>
      </c>
      <c r="B9" s="4" t="e">
        <f>VLOOKUP(Table14[[#This Row],[Man. Number]],Articles!A:F,COLUMN(Articles!$D$1)-COLUMN(Articles!$A$1)+1,FALSE)</f>
        <v>#N/A</v>
      </c>
      <c r="C9" s="4" t="e">
        <f>VLOOKUP(Table14[[#This Row],[Man. Number]],Articles!A:F,COLUMN(Articles!$C$1)-COLUMN(Articles!$A$1)+1,FALSE)</f>
        <v>#N/A</v>
      </c>
      <c r="D9" s="4" t="s">
        <v>65</v>
      </c>
      <c r="E9" s="4">
        <v>1</v>
      </c>
      <c r="F9" s="4" t="e">
        <f>VLOOKUP(Table14[[#This Row],[Man. Number]],Articles!A:F,COLUMN(Articles!$F$1)-COLUMN(Articles!$A$1)+1,FALSE)</f>
        <v>#N/A</v>
      </c>
      <c r="G9" s="4" t="e">
        <f>IF(Table14[[#This Row],[In stock]] &gt;= Table14[[#This Row],[Quantity]],"YES","NO")</f>
        <v>#N/A</v>
      </c>
      <c r="H9" s="3" t="e">
        <f>VLOOKUP(Table14[[#This Row],[Man. Number]],Articles!A:J,COLUMN(Articles!$J$1)-COLUMN(Articles!$A$1)+1,FALSE)*Table14[[#This Row],[Quantity]]</f>
        <v>#N/A</v>
      </c>
      <c r="I9" s="4">
        <f>Table14[[#This Row],[Quantity]]*$M$1</f>
        <v>1</v>
      </c>
      <c r="J9" s="4" t="e">
        <f>IF(Table14[[#This Row],[In stock]] &gt;= Table14[[#This Row],[Total quantity]],"YES","NO")</f>
        <v>#N/A</v>
      </c>
    </row>
    <row r="10" spans="1:14" x14ac:dyDescent="0.25">
      <c r="A10" s="3" t="s">
        <v>38</v>
      </c>
      <c r="B10" s="4" t="e">
        <f>VLOOKUP(Table14[[#This Row],[Man. Number]],Articles!A:F,COLUMN(Articles!$D$1)-COLUMN(Articles!$A$1)+1,FALSE)</f>
        <v>#N/A</v>
      </c>
      <c r="C10" s="4" t="e">
        <f>VLOOKUP(Table14[[#This Row],[Man. Number]],Articles!A:F,COLUMN(Articles!$C$1)-COLUMN(Articles!$A$1)+1,FALSE)</f>
        <v>#N/A</v>
      </c>
      <c r="D10" s="4" t="s">
        <v>84</v>
      </c>
      <c r="E10" s="4">
        <v>1</v>
      </c>
      <c r="F10" s="4" t="e">
        <f>VLOOKUP(Table14[[#This Row],[Man. Number]],Articles!A:F,COLUMN(Articles!$F$1)-COLUMN(Articles!$A$1)+1,FALSE)</f>
        <v>#N/A</v>
      </c>
      <c r="G10" s="4" t="e">
        <f>IF(Table14[[#This Row],[In stock]] &gt;= Table14[[#This Row],[Quantity]],"YES","NO")</f>
        <v>#N/A</v>
      </c>
      <c r="H10" s="3" t="e">
        <f>VLOOKUP(Table14[[#This Row],[Man. Number]],Articles!A:J,COLUMN(Articles!$J$1)-COLUMN(Articles!$A$1)+1,FALSE)*Table14[[#This Row],[Quantity]]</f>
        <v>#N/A</v>
      </c>
      <c r="I10" s="4">
        <f>Table14[[#This Row],[Quantity]]*$M$1</f>
        <v>1</v>
      </c>
      <c r="J10" s="4" t="e">
        <f>IF(Table14[[#This Row],[In stock]] &gt;= Table14[[#This Row],[Total quantity]],"YES","NO")</f>
        <v>#N/A</v>
      </c>
    </row>
    <row r="11" spans="1:14" x14ac:dyDescent="0.25">
      <c r="A11" s="3" t="s">
        <v>18</v>
      </c>
      <c r="B11" s="4" t="e">
        <f>VLOOKUP(Table14[[#This Row],[Man. Number]],Articles!A:F,COLUMN(Articles!$D$1)-COLUMN(Articles!$A$1)+1,FALSE)</f>
        <v>#N/A</v>
      </c>
      <c r="C11" s="4" t="e">
        <f>VLOOKUP(Table14[[#This Row],[Man. Number]],Articles!A:F,COLUMN(Articles!$C$1)-COLUMN(Articles!$A$1)+1,FALSE)</f>
        <v>#N/A</v>
      </c>
      <c r="D11" s="4" t="s">
        <v>71</v>
      </c>
      <c r="E11" s="4">
        <v>1</v>
      </c>
      <c r="F11" s="4" t="e">
        <f>VLOOKUP(Table14[[#This Row],[Man. Number]],Articles!A:F,COLUMN(Articles!$F$1)-COLUMN(Articles!$A$1)+1,FALSE)</f>
        <v>#N/A</v>
      </c>
      <c r="G11" s="4" t="e">
        <f>IF(Table14[[#This Row],[In stock]] &gt;= Table14[[#This Row],[Quantity]],"YES","NO")</f>
        <v>#N/A</v>
      </c>
      <c r="H11" s="3" t="e">
        <f>VLOOKUP(Table14[[#This Row],[Man. Number]],Articles!A:J,COLUMN(Articles!$J$1)-COLUMN(Articles!$A$1)+1,FALSE)*Table14[[#This Row],[Quantity]]</f>
        <v>#N/A</v>
      </c>
      <c r="I11" s="4">
        <f>Table14[[#This Row],[Quantity]]*$M$1</f>
        <v>1</v>
      </c>
      <c r="J11" s="4" t="e">
        <f>IF(Table14[[#This Row],[In stock]] &gt;= Table14[[#This Row],[Total quantity]],"YES","NO")</f>
        <v>#N/A</v>
      </c>
    </row>
    <row r="12" spans="1:14" x14ac:dyDescent="0.25">
      <c r="A12" s="3" t="s">
        <v>93</v>
      </c>
      <c r="B12" s="4" t="e">
        <f>VLOOKUP(Table14[[#This Row],[Man. Number]],Articles!A:F,COLUMN(Articles!$D$1)-COLUMN(Articles!$A$1)+1,FALSE)</f>
        <v>#N/A</v>
      </c>
      <c r="C12" s="4" t="e">
        <f>VLOOKUP(Table14[[#This Row],[Man. Number]],Articles!A:F,COLUMN(Articles!$C$1)-COLUMN(Articles!$A$1)+1,FALSE)</f>
        <v>#N/A</v>
      </c>
      <c r="D12" s="4" t="s">
        <v>74</v>
      </c>
      <c r="E12" s="4">
        <v>1</v>
      </c>
      <c r="F12" s="4" t="e">
        <f>VLOOKUP(Table14[[#This Row],[Man. Number]],Articles!A:F,COLUMN(Articles!$F$1)-COLUMN(Articles!$A$1)+1,FALSE)</f>
        <v>#N/A</v>
      </c>
      <c r="G12" s="4" t="e">
        <f>IF(Table14[[#This Row],[In stock]] &gt;= Table14[[#This Row],[Quantity]],"YES","NO")</f>
        <v>#N/A</v>
      </c>
      <c r="H12" s="3" t="e">
        <f>VLOOKUP(Table14[[#This Row],[Man. Number]],Articles!A:J,COLUMN(Articles!$J$1)-COLUMN(Articles!$A$1)+1,FALSE)*Table14[[#This Row],[Quantity]]</f>
        <v>#N/A</v>
      </c>
      <c r="I12" s="4">
        <f>Table14[[#This Row],[Quantity]]*$M$1</f>
        <v>1</v>
      </c>
      <c r="J12" s="4" t="e">
        <f>IF(Table14[[#This Row],[In stock]] &gt;= Table14[[#This Row],[Total quantity]],"YES","NO")</f>
        <v>#N/A</v>
      </c>
    </row>
    <row r="13" spans="1:14" x14ac:dyDescent="0.25">
      <c r="A13" s="3" t="s">
        <v>91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90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27</v>
      </c>
      <c r="B14" s="4" t="e">
        <f>VLOOKUP(Table14[[#This Row],[Man. Number]],Articles!A:F,COLUMN(Articles!$D$1)-COLUMN(Articles!$A$1)+1,FALSE)</f>
        <v>#N/A</v>
      </c>
      <c r="C14" s="4" t="e">
        <f>VLOOKUP(Table14[[#This Row],[Man. Number]],Articles!A:F,COLUMN(Articles!$C$1)-COLUMN(Articles!$A$1)+1,FALSE)</f>
        <v>#N/A</v>
      </c>
      <c r="D14" s="4" t="s">
        <v>82</v>
      </c>
      <c r="E14" s="4">
        <v>1</v>
      </c>
      <c r="F14" s="4" t="e">
        <f>VLOOKUP(Table14[[#This Row],[Man. Number]],Articles!A:F,COLUMN(Articles!$F$1)-COLUMN(Articles!$A$1)+1,FALSE)</f>
        <v>#N/A</v>
      </c>
      <c r="G14" s="4" t="e">
        <f>IF(Table14[[#This Row],[In stock]] &gt;= Table14[[#This Row],[Quantity]],"YES","NO")</f>
        <v>#N/A</v>
      </c>
      <c r="H14" s="3" t="e">
        <f>VLOOKUP(Table14[[#This Row],[Man. Number]],Articles!A:J,COLUMN(Articles!$J$1)-COLUMN(Articles!$A$1)+1,FALSE)*Table14[[#This Row],[Quantity]]</f>
        <v>#N/A</v>
      </c>
      <c r="I14" s="4">
        <f>Table14[[#This Row],[Quantity]]*$M$1</f>
        <v>1</v>
      </c>
      <c r="J14" s="4" t="e">
        <f>IF(Table14[[#This Row],[In stock]] &gt;= Table14[[#This Row],[Total quantity]],"YES","NO")</f>
        <v>#N/A</v>
      </c>
    </row>
    <row r="15" spans="1:14" x14ac:dyDescent="0.25">
      <c r="A15" s="3" t="s">
        <v>25</v>
      </c>
      <c r="B15" s="4" t="e">
        <f>VLOOKUP(Table14[[#This Row],[Man. Number]],Articles!A:F,COLUMN(Articles!$D$1)-COLUMN(Articles!$A$1)+1,FALSE)</f>
        <v>#N/A</v>
      </c>
      <c r="C15" s="4" t="e">
        <f>VLOOKUP(Table14[[#This Row],[Man. Number]],Articles!A:F,COLUMN(Articles!$C$1)-COLUMN(Articles!$A$1)+1,FALSE)</f>
        <v>#N/A</v>
      </c>
      <c r="D15" s="4" t="s">
        <v>81</v>
      </c>
      <c r="E15" s="4">
        <v>1</v>
      </c>
      <c r="F15" s="4" t="e">
        <f>VLOOKUP(Table14[[#This Row],[Man. Number]],Articles!A:F,COLUMN(Articles!$F$1)-COLUMN(Articles!$A$1)+1,FALSE)</f>
        <v>#N/A</v>
      </c>
      <c r="G15" s="4" t="e">
        <f>IF(Table14[[#This Row],[In stock]] &gt;= Table14[[#This Row],[Quantity]],"YES","NO")</f>
        <v>#N/A</v>
      </c>
      <c r="H15" s="3" t="e">
        <f>VLOOKUP(Table14[[#This Row],[Man. Number]],Articles!A:J,COLUMN(Articles!$J$1)-COLUMN(Articles!$A$1)+1,FALSE)*Table14[[#This Row],[Quantity]]</f>
        <v>#N/A</v>
      </c>
      <c r="I15" s="4">
        <f>Table14[[#This Row],[Quantity]]*$M$1</f>
        <v>1</v>
      </c>
      <c r="J15" s="4" t="e">
        <f>IF(Table14[[#This Row],[In stock]] &gt;= Table14[[#This Row],[Total quantity]],"YES","NO")</f>
        <v>#N/A</v>
      </c>
    </row>
    <row r="16" spans="1:14" x14ac:dyDescent="0.25">
      <c r="A16" s="3" t="s">
        <v>20</v>
      </c>
      <c r="B16" s="4" t="e">
        <f>VLOOKUP(Table14[[#This Row],[Man. Number]],Articles!A:F,COLUMN(Articles!$D$1)-COLUMN(Articles!$A$1)+1,FALSE)</f>
        <v>#N/A</v>
      </c>
      <c r="C16" s="4" t="e">
        <f>VLOOKUP(Table14[[#This Row],[Man. Number]],Articles!A:F,COLUMN(Articles!$C$1)-COLUMN(Articles!$A$1)+1,FALSE)</f>
        <v>#N/A</v>
      </c>
      <c r="D16" s="4" t="s">
        <v>75</v>
      </c>
      <c r="E16" s="4">
        <v>2</v>
      </c>
      <c r="F16" s="4" t="e">
        <f>VLOOKUP(Table14[[#This Row],[Man. Number]],Articles!A:F,COLUMN(Articles!$F$1)-COLUMN(Articles!$A$1)+1,FALSE)</f>
        <v>#N/A</v>
      </c>
      <c r="G16" s="4" t="e">
        <f>IF(Table14[[#This Row],[In stock]] &gt;= Table14[[#This Row],[Quantity]],"YES","NO")</f>
        <v>#N/A</v>
      </c>
      <c r="H16" s="3" t="e">
        <f>VLOOKUP(Table14[[#This Row],[Man. Number]],Articles!A:J,COLUMN(Articles!$J$1)-COLUMN(Articles!$A$1)+1,FALSE)*Table14[[#This Row],[Quantity]]</f>
        <v>#N/A</v>
      </c>
      <c r="I16" s="4">
        <f>Table14[[#This Row],[Quantity]]*$M$1</f>
        <v>2</v>
      </c>
      <c r="J16" s="4" t="e">
        <f>IF(Table14[[#This Row],[In stock]] &gt;= Table14[[#This Row],[Total quantity]],"YES","NO")</f>
        <v>#N/A</v>
      </c>
    </row>
    <row r="17" spans="1:10" x14ac:dyDescent="0.25">
      <c r="A17" s="3" t="s">
        <v>23</v>
      </c>
      <c r="B17" s="4" t="e">
        <f>VLOOKUP(Table14[[#This Row],[Man. Number]],Articles!A:F,COLUMN(Articles!$D$1)-COLUMN(Articles!$A$1)+1,FALSE)</f>
        <v>#N/A</v>
      </c>
      <c r="C17" s="4" t="e">
        <f>VLOOKUP(Table14[[#This Row],[Man. Number]],Articles!A:F,COLUMN(Articles!$C$1)-COLUMN(Articles!$A$1)+1,FALSE)</f>
        <v>#N/A</v>
      </c>
      <c r="D17" s="4" t="s">
        <v>78</v>
      </c>
      <c r="E17" s="4">
        <v>1</v>
      </c>
      <c r="F17" s="4" t="e">
        <f>VLOOKUP(Table14[[#This Row],[Man. Number]],Articles!A:F,COLUMN(Articles!$F$1)-COLUMN(Articles!$A$1)+1,FALSE)</f>
        <v>#N/A</v>
      </c>
      <c r="G17" s="4" t="e">
        <f>IF(Table14[[#This Row],[In stock]] &gt;= Table14[[#This Row],[Quantity]],"YES","NO")</f>
        <v>#N/A</v>
      </c>
      <c r="H17" s="3" t="e">
        <f>VLOOKUP(Table14[[#This Row],[Man. Number]],Articles!A:J,COLUMN(Articles!$J$1)-COLUMN(Articles!$A$1)+1,FALSE)*Table14[[#This Row],[Quantity]]</f>
        <v>#N/A</v>
      </c>
      <c r="I17" s="4">
        <f>Table14[[#This Row],[Quantity]]*$M$1</f>
        <v>1</v>
      </c>
      <c r="J17" s="4" t="e">
        <f>IF(Table14[[#This Row],[In stock]] &gt;= Table14[[#This Row],[Total quantity]],"YES","NO")</f>
        <v>#N/A</v>
      </c>
    </row>
    <row r="18" spans="1:10" x14ac:dyDescent="0.25">
      <c r="A18" s="3" t="s">
        <v>28</v>
      </c>
      <c r="B18" s="4" t="e">
        <f>VLOOKUP(Table14[[#This Row],[Man. Number]],Articles!A:F,COLUMN(Articles!$D$1)-COLUMN(Articles!$A$1)+1,FALSE)</f>
        <v>#N/A</v>
      </c>
      <c r="C18" s="4" t="e">
        <f>VLOOKUP(Table14[[#This Row],[Man. Number]],Articles!A:F,COLUMN(Articles!$C$1)-COLUMN(Articles!$A$1)+1,FALSE)</f>
        <v>#N/A</v>
      </c>
      <c r="D18" s="4" t="s">
        <v>83</v>
      </c>
      <c r="E18" s="4">
        <v>2</v>
      </c>
      <c r="F18" s="4" t="e">
        <f>VLOOKUP(Table14[[#This Row],[Man. Number]],Articles!A:F,COLUMN(Articles!$F$1)-COLUMN(Articles!$A$1)+1,FALSE)</f>
        <v>#N/A</v>
      </c>
      <c r="G18" s="4" t="e">
        <f>IF(Table14[[#This Row],[In stock]] &gt;= Table14[[#This Row],[Quantity]],"YES","NO")</f>
        <v>#N/A</v>
      </c>
      <c r="H18" s="3" t="e">
        <f>VLOOKUP(Table14[[#This Row],[Man. Number]],Articles!A:J,COLUMN(Articles!$J$1)-COLUMN(Articles!$A$1)+1,FALSE)*Table14[[#This Row],[Quantity]]</f>
        <v>#N/A</v>
      </c>
      <c r="I18" s="4">
        <f>Table14[[#This Row],[Quantity]]*$M$1</f>
        <v>2</v>
      </c>
      <c r="J18" s="4" t="e">
        <f>IF(Table14[[#This Row],[In stock]] &gt;= Table14[[#This Row],[Total quantity]],"YES","NO")</f>
        <v>#N/A</v>
      </c>
    </row>
    <row r="19" spans="1:10" x14ac:dyDescent="0.25">
      <c r="A19" s="3" t="s">
        <v>53</v>
      </c>
      <c r="B19" s="4" t="e">
        <f>VLOOKUP(Table14[[#This Row],[Man. Number]],Articles!A:F,COLUMN(Articles!$D$1)-COLUMN(Articles!$A$1)+1,FALSE)</f>
        <v>#N/A</v>
      </c>
      <c r="C19" s="4" t="e">
        <f>VLOOKUP(Table14[[#This Row],[Man. Number]],Articles!A:F,COLUMN(Articles!$C$1)-COLUMN(Articles!$A$1)+1,FALSE)</f>
        <v>#N/A</v>
      </c>
      <c r="D19" s="4" t="s">
        <v>79</v>
      </c>
      <c r="E19" s="4">
        <v>3</v>
      </c>
      <c r="F19" s="4" t="e">
        <f>VLOOKUP(Table14[[#This Row],[Man. Number]],Articles!A:F,COLUMN(Articles!$F$1)-COLUMN(Articles!$A$1)+1,FALSE)</f>
        <v>#N/A</v>
      </c>
      <c r="G19" s="4" t="e">
        <f>IF(Table14[[#This Row],[In stock]] &gt;= Table14[[#This Row],[Quantity]],"YES","NO")</f>
        <v>#N/A</v>
      </c>
      <c r="H19" s="3" t="e">
        <f>VLOOKUP(Table14[[#This Row],[Man. Number]],Articles!A:J,COLUMN(Articles!$J$1)-COLUMN(Articles!$A$1)+1,FALSE)*Table14[[#This Row],[Quantity]]</f>
        <v>#N/A</v>
      </c>
      <c r="I19" s="4">
        <f>Table14[[#This Row],[Quantity]]*$M$1</f>
        <v>3</v>
      </c>
      <c r="J19" s="4" t="e">
        <f>IF(Table14[[#This Row],[In stock]] &gt;= Table14[[#This Row],[Total quantity]],"YES","NO")</f>
        <v>#N/A</v>
      </c>
    </row>
    <row r="20" spans="1:10" x14ac:dyDescent="0.25">
      <c r="A20" s="3" t="s">
        <v>92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80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87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21</v>
      </c>
      <c r="B22" s="4" t="e">
        <f>VLOOKUP(Table14[[#This Row],[Man. Number]],Articles!A:F,COLUMN(Articles!$D$1)-COLUMN(Articles!$A$1)+1,FALSE)</f>
        <v>#N/A</v>
      </c>
      <c r="C22" s="4" t="e">
        <f>VLOOKUP(Table14[[#This Row],[Man. Number]],Articles!A:F,COLUMN(Articles!$C$1)-COLUMN(Articles!$A$1)+1,FALSE)</f>
        <v>#N/A</v>
      </c>
      <c r="D22" s="4" t="s">
        <v>76</v>
      </c>
      <c r="E22" s="4">
        <v>2</v>
      </c>
      <c r="F22" s="4" t="e">
        <f>VLOOKUP(Table14[[#This Row],[Man. Number]],Articles!A:F,COLUMN(Articles!$F$1)-COLUMN(Articles!$A$1)+1,FALSE)</f>
        <v>#N/A</v>
      </c>
      <c r="G22" s="4" t="e">
        <f>IF(Table14[[#This Row],[In stock]] &gt;= Table14[[#This Row],[Quantity]],"YES","NO")</f>
        <v>#N/A</v>
      </c>
      <c r="H22" s="3" t="e">
        <f>VLOOKUP(Table14[[#This Row],[Man. Number]],Articles!A:J,COLUMN(Articles!$J$1)-COLUMN(Articles!$A$1)+1,FALSE)*Table14[[#This Row],[Quantity]]</f>
        <v>#N/A</v>
      </c>
      <c r="I22" s="4">
        <f>Table14[[#This Row],[Quantity]]*$M$1</f>
        <v>2</v>
      </c>
      <c r="J22" s="4" t="e">
        <f>IF(Table14[[#This Row],[In stock]] &gt;= Table14[[#This Row],[Total quantity]],"YES","NO")</f>
        <v>#N/A</v>
      </c>
    </row>
    <row r="23" spans="1:10" x14ac:dyDescent="0.25">
      <c r="A23" s="3" t="s">
        <v>22</v>
      </c>
      <c r="B23" s="4" t="e">
        <f>VLOOKUP(Table14[[#This Row],[Man. Number]],Articles!A:F,COLUMN(Articles!$D$1)-COLUMN(Articles!$A$1)+1,FALSE)</f>
        <v>#N/A</v>
      </c>
      <c r="C23" s="4" t="e">
        <f>VLOOKUP(Table14[[#This Row],[Man. Number]],Articles!A:F,COLUMN(Articles!$C$1)-COLUMN(Articles!$A$1)+1,FALSE)</f>
        <v>#N/A</v>
      </c>
      <c r="D23" s="4" t="s">
        <v>77</v>
      </c>
      <c r="E23" s="4">
        <v>5</v>
      </c>
      <c r="F23" s="4" t="e">
        <f>VLOOKUP(Table14[[#This Row],[Man. Number]],Articles!A:F,COLUMN(Articles!$F$1)-COLUMN(Articles!$A$1)+1,FALSE)</f>
        <v>#N/A</v>
      </c>
      <c r="G23" s="4" t="e">
        <f>IF(Table14[[#This Row],[In stock]] &gt;= Table14[[#This Row],[Quantity]],"YES","NO")</f>
        <v>#N/A</v>
      </c>
      <c r="H23" s="3" t="e">
        <f>VLOOKUP(Table14[[#This Row],[Man. Number]],Articles!A:J,COLUMN(Articles!$J$1)-COLUMN(Articles!$A$1)+1,FALSE)*Table14[[#This Row],[Quantity]]</f>
        <v>#N/A</v>
      </c>
      <c r="I23" s="4">
        <f>Table14[[#This Row],[Quantity]]*$M$1</f>
        <v>5</v>
      </c>
      <c r="J23" s="4" t="e">
        <f>IF(Table14[[#This Row],[In stock]] &gt;= Table14[[#This Row],[Total quantity]],"YES","NO")</f>
        <v>#N/A</v>
      </c>
    </row>
    <row r="24" spans="1:10" x14ac:dyDescent="0.25">
      <c r="A24" s="3" t="s">
        <v>14</v>
      </c>
      <c r="B24" s="4" t="e">
        <f>VLOOKUP(Table14[[#This Row],[Man. Number]],Articles!A:F,COLUMN(Articles!$D$1)-COLUMN(Articles!$A$1)+1,FALSE)</f>
        <v>#N/A</v>
      </c>
      <c r="C24" s="4" t="e">
        <f>VLOOKUP(Table14[[#This Row],[Man. Number]],Articles!A:F,COLUMN(Articles!$C$1)-COLUMN(Articles!$A$1)+1,FALSE)</f>
        <v>#N/A</v>
      </c>
      <c r="D24" s="4" t="s">
        <v>70</v>
      </c>
      <c r="E24" s="4">
        <v>1</v>
      </c>
      <c r="F24" s="4" t="e">
        <f>VLOOKUP(Table14[[#This Row],[Man. Number]],Articles!A:F,COLUMN(Articles!$F$1)-COLUMN(Articles!$A$1)+1,FALSE)</f>
        <v>#N/A</v>
      </c>
      <c r="G24" s="4" t="e">
        <f>IF(Table14[[#This Row],[In stock]] &gt;= Table14[[#This Row],[Quantity]],"YES","NO")</f>
        <v>#N/A</v>
      </c>
      <c r="H24" s="3" t="e">
        <f>VLOOKUP(Table14[[#This Row],[Man. Number]],Articles!A:J,COLUMN(Articles!$J$1)-COLUMN(Articles!$A$1)+1,FALSE)*Table14[[#This Row],[Quantity]]</f>
        <v>#N/A</v>
      </c>
      <c r="I24" s="4">
        <f>Table14[[#This Row],[Quantity]]*$M$1</f>
        <v>1</v>
      </c>
      <c r="J24" s="4" t="e">
        <f>IF(Table14[[#This Row],[In stock]] &gt;= Table14[[#This Row],[Total quantity]],"YES","NO")</f>
        <v>#N/A</v>
      </c>
    </row>
    <row r="25" spans="1:10" x14ac:dyDescent="0.25">
      <c r="A25" s="3" t="s">
        <v>15</v>
      </c>
      <c r="B25" s="4" t="e">
        <f>VLOOKUP(Table14[[#This Row],[Man. Number]],Articles!A:F,COLUMN(Articles!$D$1)-COLUMN(Articles!$A$1)+1,FALSE)</f>
        <v>#N/A</v>
      </c>
      <c r="C25" s="4" t="e">
        <f>VLOOKUP(Table14[[#This Row],[Man. Number]],Articles!A:F,COLUMN(Articles!$C$1)-COLUMN(Articles!$A$1)+1,FALSE)</f>
        <v>#N/A</v>
      </c>
      <c r="D25" s="4" t="s">
        <v>72</v>
      </c>
      <c r="E25" s="4">
        <v>1</v>
      </c>
      <c r="F25" s="4" t="e">
        <f>VLOOKUP(Table14[[#This Row],[Man. Number]],Articles!A:F,COLUMN(Articles!$F$1)-COLUMN(Articles!$A$1)+1,FALSE)</f>
        <v>#N/A</v>
      </c>
      <c r="G25" s="4" t="e">
        <f>IF(Table14[[#This Row],[In stock]] &gt;= Table14[[#This Row],[Quantity]],"YES","NO")</f>
        <v>#N/A</v>
      </c>
      <c r="H25" s="3" t="e">
        <f>VLOOKUP(Table14[[#This Row],[Man. Number]],Articles!A:J,COLUMN(Articles!$J$1)-COLUMN(Articles!$A$1)+1,FALSE)*Table14[[#This Row],[Quantity]]</f>
        <v>#N/A</v>
      </c>
      <c r="I25" s="4">
        <f>Table14[[#This Row],[Quantity]]*$M$1</f>
        <v>1</v>
      </c>
      <c r="J25" s="4" t="e">
        <f>IF(Table14[[#This Row],[In stock]] &gt;= Table14[[#This Row],[Total quantity]],"YES","NO")</f>
        <v>#N/A</v>
      </c>
    </row>
    <row r="26" spans="1:10" x14ac:dyDescent="0.25">
      <c r="A26" s="3" t="s">
        <v>16</v>
      </c>
      <c r="B26" s="4" t="e">
        <f>VLOOKUP(Table14[[#This Row],[Man. Number]],Articles!A:F,COLUMN(Articles!$D$1)-COLUMN(Articles!$A$1)+1,FALSE)</f>
        <v>#N/A</v>
      </c>
      <c r="C26" s="4" t="e">
        <f>VLOOKUP(Table14[[#This Row],[Man. Number]],Articles!A:F,COLUMN(Articles!$C$1)-COLUMN(Articles!$A$1)+1,FALSE)</f>
        <v>#N/A</v>
      </c>
      <c r="D26" s="4" t="s">
        <v>73</v>
      </c>
      <c r="E26" s="4">
        <v>1</v>
      </c>
      <c r="F26" s="4" t="e">
        <f>VLOOKUP(Table14[[#This Row],[Man. Number]],Articles!A:F,COLUMN(Articles!$F$1)-COLUMN(Articles!$A$1)+1,FALSE)</f>
        <v>#N/A</v>
      </c>
      <c r="G26" s="4" t="e">
        <f>IF(Table14[[#This Row],[In stock]] &gt;= Table14[[#This Row],[Quantity]],"YES","NO")</f>
        <v>#N/A</v>
      </c>
      <c r="H26" s="3" t="e">
        <f>VLOOKUP(Table14[[#This Row],[Man. Number]],Articles!A:J,COLUMN(Articles!$J$1)-COLUMN(Articles!$A$1)+1,FALSE)*Table14[[#This Row],[Quantity]]</f>
        <v>#N/A</v>
      </c>
      <c r="I26" s="4">
        <f>Table14[[#This Row],[Quantity]]*$M$1</f>
        <v>1</v>
      </c>
      <c r="J26" s="4" t="e">
        <f>IF(Table14[[#This Row],[In stock]] &gt;= Table14[[#This Row],[Total quantity]],"YES","NO")</f>
        <v>#N/A</v>
      </c>
    </row>
    <row r="27" spans="1:10" x14ac:dyDescent="0.25">
      <c r="A27" s="3">
        <v>912951</v>
      </c>
      <c r="B27" s="4" t="e">
        <f>VLOOKUP(Table14[[#This Row],[Man. Number]],Articles!A:F,COLUMN(Articles!$D$1)-COLUMN(Articles!$A$1)+1,FALSE)</f>
        <v>#N/A</v>
      </c>
      <c r="C27" s="4" t="e">
        <f>VLOOKUP(Table14[[#This Row],[Man. Number]],Articles!A:F,COLUMN(Articles!$C$1)-COLUMN(Articles!$A$1)+1,FALSE)</f>
        <v>#N/A</v>
      </c>
      <c r="D27" s="4" t="s">
        <v>89</v>
      </c>
      <c r="E27" s="4">
        <v>1</v>
      </c>
      <c r="F27" s="4" t="e">
        <f>VLOOKUP(Table14[[#This Row],[Man. Number]],Articles!A:F,COLUMN(Articles!$F$1)-COLUMN(Articles!$A$1)+1,FALSE)</f>
        <v>#N/A</v>
      </c>
      <c r="G27" s="4" t="e">
        <f>IF(Table14[[#This Row],[In stock]] &gt;= Table14[[#This Row],[Quantity]],"YES","NO")</f>
        <v>#N/A</v>
      </c>
      <c r="H27" s="3" t="e">
        <f>VLOOKUP(Table14[[#This Row],[Man. Number]],Articles!A:J,COLUMN(Articles!$J$1)-COLUMN(Articles!$A$1)+1,FALSE)*Table14[[#This Row],[Quantity]]</f>
        <v>#N/A</v>
      </c>
      <c r="I27" s="4">
        <f>Table14[[#This Row],[Quantity]]*$M$1</f>
        <v>1</v>
      </c>
      <c r="J27" s="4" t="e">
        <f>IF(Table14[[#This Row],[In stock]] &gt;= Table14[[#This Row],[Total quantity]],"YES","NO")</f>
        <v>#N/A</v>
      </c>
    </row>
    <row r="28" spans="1:10" x14ac:dyDescent="0.25">
      <c r="A28" s="3" t="s">
        <v>31</v>
      </c>
      <c r="B28" s="4" t="e">
        <f>VLOOKUP(Table14[[#This Row],[Man. Number]],Articles!A:F,COLUMN(Articles!$D$1)-COLUMN(Articles!$A$1)+1,FALSE)</f>
        <v>#N/A</v>
      </c>
      <c r="C28" s="4" t="e">
        <f>VLOOKUP(Table14[[#This Row],[Man. Number]],Articles!A:F,COLUMN(Articles!$C$1)-COLUMN(Articles!$A$1)+1,FALSE)</f>
        <v>#N/A</v>
      </c>
      <c r="D28" s="4" t="s">
        <v>86</v>
      </c>
      <c r="E28" s="4">
        <v>1</v>
      </c>
      <c r="F28" s="4" t="e">
        <f>VLOOKUP(Table14[[#This Row],[Man. Number]],Articles!A:F,COLUMN(Articles!$F$1)-COLUMN(Articles!$A$1)+1,FALSE)</f>
        <v>#N/A</v>
      </c>
      <c r="G28" s="4" t="e">
        <f>IF(Table14[[#This Row],[In stock]] &gt;= Table14[[#This Row],[Quantity]],"YES","NO")</f>
        <v>#N/A</v>
      </c>
      <c r="H28" s="3" t="e">
        <f>VLOOKUP(Table14[[#This Row],[Man. Number]],Articles!A:J,COLUMN(Articles!$J$1)-COLUMN(Articles!$A$1)+1,FALSE)*Table14[[#This Row],[Quantity]]</f>
        <v>#N/A</v>
      </c>
      <c r="I28" s="4">
        <f>Table14[[#This Row],[Quantity]]*$M$1</f>
        <v>1</v>
      </c>
      <c r="J28" s="4" t="e">
        <f>IF(Table14[[#This Row],[In stock]] &gt;= Table14[[#This Row],[Total quantity]],"YES","NO")</f>
        <v>#N/A</v>
      </c>
    </row>
    <row r="29" spans="1:10" x14ac:dyDescent="0.25">
      <c r="A29" s="3" t="s">
        <v>8</v>
      </c>
      <c r="B29" s="4" t="e">
        <f>VLOOKUP(Table14[[#This Row],[Man. Number]],Articles!A:F,COLUMN(Articles!$D$1)-COLUMN(Articles!$A$1)+1,FALSE)</f>
        <v>#N/A</v>
      </c>
      <c r="C29" s="4" t="e">
        <f>VLOOKUP(Table14[[#This Row],[Man. Number]],Articles!A:F,COLUMN(Articles!$C$1)-COLUMN(Articles!$A$1)+1,FALSE)</f>
        <v>#N/A</v>
      </c>
      <c r="D29" s="4" t="s">
        <v>69</v>
      </c>
      <c r="E29" s="4">
        <v>1</v>
      </c>
      <c r="F29" s="4" t="e">
        <f>VLOOKUP(Table14[[#This Row],[Man. Number]],Articles!A:F,COLUMN(Articles!$F$1)-COLUMN(Articles!$A$1)+1,FALSE)</f>
        <v>#N/A</v>
      </c>
      <c r="G29" s="4" t="e">
        <f>IF(Table14[[#This Row],[In stock]] &gt;= Table14[[#This Row],[Quantity]],"YES","NO")</f>
        <v>#N/A</v>
      </c>
      <c r="H29" s="3" t="e">
        <f>VLOOKUP(Table14[[#This Row],[Man. Number]],Articles!A:J,COLUMN(Articles!$J$1)-COLUMN(Articles!$A$1)+1,FALSE)*Table14[[#This Row],[Quantity]]</f>
        <v>#N/A</v>
      </c>
      <c r="I29" s="4">
        <f>Table14[[#This Row],[Quantity]]*$M$1</f>
        <v>1</v>
      </c>
      <c r="J29" s="4" t="e">
        <f>IF(Table14[[#This Row],[In stock]] &gt;= Table14[[#This Row],[Total quantity]],"YES","NO")</f>
        <v>#N/A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88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88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30</v>
      </c>
      <c r="B32" s="4" t="e">
        <f>VLOOKUP(Table14[[#This Row],[Man. Number]],Articles!A:F,COLUMN(Articles!$D$1)-COLUMN(Articles!$A$1)+1,FALSE)</f>
        <v>#N/A</v>
      </c>
      <c r="C32" s="4" t="e">
        <f>VLOOKUP(Table14[[#This Row],[Man. Number]],Articles!A:F,COLUMN(Articles!$C$1)-COLUMN(Articles!$A$1)+1,FALSE)</f>
        <v>#N/A</v>
      </c>
      <c r="D32" s="4" t="s">
        <v>85</v>
      </c>
      <c r="E32" s="4">
        <v>1</v>
      </c>
      <c r="F32" s="4" t="e">
        <f>VLOOKUP(Table14[[#This Row],[Man. Number]],Articles!A:F,COLUMN(Articles!$F$1)-COLUMN(Articles!$A$1)+1,FALSE)</f>
        <v>#N/A</v>
      </c>
      <c r="G32" s="4" t="e">
        <f>IF(Table14[[#This Row],[In stock]] &gt;= Table14[[#This Row],[Quantity]],"YES","NO")</f>
        <v>#N/A</v>
      </c>
      <c r="H32" s="3" t="e">
        <f>VLOOKUP(Table14[[#This Row],[Man. Number]],Articles!A:J,COLUMN(Articles!$J$1)-COLUMN(Articles!$A$1)+1,FALSE)*Table14[[#This Row],[Quantity]]</f>
        <v>#N/A</v>
      </c>
      <c r="I32" s="4">
        <f>Table14[[#This Row],[Quantity]]*$M$1</f>
        <v>1</v>
      </c>
      <c r="J32" s="4" t="e">
        <f>IF(Table14[[#This Row],[In stock]] &gt;= Table14[[#This Row],[Total quantity]],"YES","NO")</f>
        <v>#N/A</v>
      </c>
    </row>
    <row r="33" spans="1:10" x14ac:dyDescent="0.25">
      <c r="A33" s="3" t="s">
        <v>11</v>
      </c>
      <c r="B33" s="4" t="e">
        <f>VLOOKUP(Table14[[#This Row],[Man. Number]],Articles!A:F,COLUMN(Articles!$D$1)-COLUMN(Articles!$A$1)+1,FALSE)</f>
        <v>#N/A</v>
      </c>
      <c r="C33" s="4" t="e">
        <f>VLOOKUP(Table14[[#This Row],[Man. Number]],Articles!A:F,COLUMN(Articles!$C$1)-COLUMN(Articles!$A$1)+1,FALSE)</f>
        <v>#N/A</v>
      </c>
      <c r="E33" s="4">
        <v>0</v>
      </c>
      <c r="F33" s="4" t="e">
        <f>VLOOKUP(Table14[[#This Row],[Man. Number]],Articles!A:F,COLUMN(Articles!$F$1)-COLUMN(Articles!$A$1)+1,FALSE)</f>
        <v>#N/A</v>
      </c>
      <c r="G33" s="4" t="e">
        <f>IF(Table14[[#This Row],[In stock]] &gt;= Table14[[#This Row],[Quantity]],"YES","NO")</f>
        <v>#N/A</v>
      </c>
      <c r="H33" s="3" t="e">
        <f>VLOOKUP(Table14[[#This Row],[Man. Number]],Articles!A:J,COLUMN(Articles!$J$1)-COLUMN(Articles!$A$1)+1,FALSE)*Table14[[#This Row],[Quantity]]</f>
        <v>#N/A</v>
      </c>
      <c r="I33" s="4">
        <f>Table14[[#This Row],[Quantity]]*$M$1</f>
        <v>0</v>
      </c>
      <c r="J33" s="4" t="e">
        <f>IF(Table14[[#This Row],[In stock]] &gt;= Table14[[#This Row],[Total quantity]],"YES","NO")</f>
        <v>#N/A</v>
      </c>
    </row>
    <row r="34" spans="1:10" x14ac:dyDescent="0.25">
      <c r="A34" s="3" t="s">
        <v>12</v>
      </c>
      <c r="B34" s="4" t="e">
        <f>VLOOKUP(Table14[[#This Row],[Man. Number]],Articles!A:F,COLUMN(Articles!$D$1)-COLUMN(Articles!$A$1)+1,FALSE)</f>
        <v>#N/A</v>
      </c>
      <c r="C34" s="4" t="e">
        <f>VLOOKUP(Table14[[#This Row],[Man. Number]],Articles!A:F,COLUMN(Articles!$C$1)-COLUMN(Articles!$A$1)+1,FALSE)</f>
        <v>#N/A</v>
      </c>
      <c r="E34" s="4">
        <v>0</v>
      </c>
      <c r="F34" s="4" t="e">
        <f>VLOOKUP(Table14[[#This Row],[Man. Number]],Articles!A:F,COLUMN(Articles!$F$1)-COLUMN(Articles!$A$1)+1,FALSE)</f>
        <v>#N/A</v>
      </c>
      <c r="G34" s="4" t="e">
        <f>IF(Table14[[#This Row],[In stock]] &gt;= Table14[[#This Row],[Quantity]],"YES","NO")</f>
        <v>#N/A</v>
      </c>
      <c r="H34" s="3" t="e">
        <f>VLOOKUP(Table14[[#This Row],[Man. Number]],Articles!A:J,COLUMN(Articles!$J$1)-COLUMN(Articles!$A$1)+1,FALSE)*Table14[[#This Row],[Quantity]]</f>
        <v>#N/A</v>
      </c>
      <c r="I34" s="4">
        <f>Table14[[#This Row],[Quantity]]*$M$1</f>
        <v>0</v>
      </c>
      <c r="J34" s="4" t="e">
        <f>IF(Table14[[#This Row],[In stock]] &gt;= Table14[[#This Row],[Total quantity]],"YES","NO")</f>
        <v>#N/A</v>
      </c>
    </row>
    <row r="35" spans="1:10" x14ac:dyDescent="0.25">
      <c r="A35" s="3" t="s">
        <v>13</v>
      </c>
      <c r="B35" s="4" t="e">
        <f>VLOOKUP(Table14[[#This Row],[Man. Number]],Articles!A:F,COLUMN(Articles!$D$1)-COLUMN(Articles!$A$1)+1,FALSE)</f>
        <v>#N/A</v>
      </c>
      <c r="C35" s="4" t="e">
        <f>VLOOKUP(Table14[[#This Row],[Man. Number]],Articles!A:F,COLUMN(Articles!$C$1)-COLUMN(Articles!$A$1)+1,FALSE)</f>
        <v>#N/A</v>
      </c>
      <c r="E35" s="4">
        <v>0</v>
      </c>
      <c r="F35" s="4" t="e">
        <f>VLOOKUP(Table14[[#This Row],[Man. Number]],Articles!A:F,COLUMN(Articles!$F$1)-COLUMN(Articles!$A$1)+1,FALSE)</f>
        <v>#N/A</v>
      </c>
      <c r="G35" s="4" t="e">
        <f>IF(Table14[[#This Row],[In stock]] &gt;= Table14[[#This Row],[Quantity]],"YES","NO")</f>
        <v>#N/A</v>
      </c>
      <c r="H35" s="3" t="e">
        <f>VLOOKUP(Table14[[#This Row],[Man. Number]],Articles!A:J,COLUMN(Articles!$J$1)-COLUMN(Articles!$A$1)+1,FALSE)*Table14[[#This Row],[Quantity]]</f>
        <v>#N/A</v>
      </c>
      <c r="I35" s="4">
        <f>Table14[[#This Row],[Quantity]]*$M$1</f>
        <v>0</v>
      </c>
      <c r="J35" s="4" t="e">
        <f>IF(Table14[[#This Row],[In stock]] &gt;= Table14[[#This Row],[Total quantity]],"YES","NO")</f>
        <v>#N/A</v>
      </c>
    </row>
    <row r="36" spans="1:10" x14ac:dyDescent="0.25">
      <c r="A36" s="3" t="s">
        <v>34</v>
      </c>
      <c r="B36" s="4" t="e">
        <f>VLOOKUP(Table14[[#This Row],[Man. Number]],Articles!A:F,COLUMN(Articles!$D$1)-COLUMN(Articles!$A$1)+1,FALSE)</f>
        <v>#N/A</v>
      </c>
      <c r="C36" s="4" t="e">
        <f>VLOOKUP(Table14[[#This Row],[Man. Number]],Articles!A:F,COLUMN(Articles!$C$1)-COLUMN(Articles!$A$1)+1,FALSE)</f>
        <v>#N/A</v>
      </c>
      <c r="E36" s="4">
        <v>0</v>
      </c>
      <c r="F36" s="4" t="e">
        <f>VLOOKUP(Table14[[#This Row],[Man. Number]],Articles!A:F,COLUMN(Articles!$F$1)-COLUMN(Articles!$A$1)+1,FALSE)</f>
        <v>#N/A</v>
      </c>
      <c r="G36" s="4" t="e">
        <f>IF(Table14[[#This Row],[In stock]] &gt;= Table14[[#This Row],[Quantity]],"YES","NO")</f>
        <v>#N/A</v>
      </c>
      <c r="H36" s="3" t="e">
        <f>VLOOKUP(Table14[[#This Row],[Man. Number]],Articles!A:J,COLUMN(Articles!$J$1)-COLUMN(Articles!$A$1)+1,FALSE)*Table14[[#This Row],[Quantity]]</f>
        <v>#N/A</v>
      </c>
      <c r="I36" s="4">
        <f>Table14[[#This Row],[Quantity]]*$M$1</f>
        <v>0</v>
      </c>
      <c r="J36" s="4" t="e">
        <f>IF(Table14[[#This Row],[In stock]] &gt;= Table14[[#This Row],[Total quantity]],"YES","NO")</f>
        <v>#N/A</v>
      </c>
    </row>
    <row r="37" spans="1:10" x14ac:dyDescent="0.25">
      <c r="A37" s="3" t="s">
        <v>17</v>
      </c>
      <c r="B37" s="4" t="e">
        <f>VLOOKUP(Table14[[#This Row],[Man. Number]],Articles!A:F,COLUMN(Articles!$D$1)-COLUMN(Articles!$A$1)+1,FALSE)</f>
        <v>#N/A</v>
      </c>
      <c r="C37" s="4" t="e">
        <f>VLOOKUP(Table14[[#This Row],[Man. Number]],Articles!A:F,COLUMN(Articles!$C$1)-COLUMN(Articles!$A$1)+1,FALSE)</f>
        <v>#N/A</v>
      </c>
      <c r="E37" s="4">
        <v>0</v>
      </c>
      <c r="F37" s="4" t="e">
        <f>VLOOKUP(Table14[[#This Row],[Man. Number]],Articles!A:F,COLUMN(Articles!$F$1)-COLUMN(Articles!$A$1)+1,FALSE)</f>
        <v>#N/A</v>
      </c>
      <c r="G37" s="4" t="e">
        <f>IF(Table14[[#This Row],[In stock]] &gt;= Table14[[#This Row],[Quantity]],"YES","NO")</f>
        <v>#N/A</v>
      </c>
      <c r="H37" s="3" t="e">
        <f>VLOOKUP(Table14[[#This Row],[Man. Number]],Articles!A:J,COLUMN(Articles!$J$1)-COLUMN(Articles!$A$1)+1,FALSE)*Table14[[#This Row],[Quantity]]</f>
        <v>#N/A</v>
      </c>
      <c r="I37" s="4">
        <f>Table14[[#This Row],[Quantity]]*$M$1</f>
        <v>0</v>
      </c>
      <c r="J37" s="4" t="e">
        <f>IF(Table14[[#This Row],[In stock]] &gt;= Table14[[#This Row],[Total quantity]],"YES","NO")</f>
        <v>#N/A</v>
      </c>
    </row>
    <row r="38" spans="1:10" x14ac:dyDescent="0.25">
      <c r="A38" s="3" t="s">
        <v>24</v>
      </c>
      <c r="B38" s="4" t="e">
        <f>VLOOKUP(Table14[[#This Row],[Man. Number]],Articles!A:F,COLUMN(Articles!$D$1)-COLUMN(Articles!$A$1)+1,FALSE)</f>
        <v>#N/A</v>
      </c>
      <c r="C38" s="4" t="e">
        <f>VLOOKUP(Table14[[#This Row],[Man. Number]],Articles!A:F,COLUMN(Articles!$C$1)-COLUMN(Articles!$A$1)+1,FALSE)</f>
        <v>#N/A</v>
      </c>
      <c r="E38" s="4">
        <v>0</v>
      </c>
      <c r="F38" s="4" t="e">
        <f>VLOOKUP(Table14[[#This Row],[Man. Number]],Articles!A:F,COLUMN(Articles!$F$1)-COLUMN(Articles!$A$1)+1,FALSE)</f>
        <v>#N/A</v>
      </c>
      <c r="G38" s="4" t="e">
        <f>IF(Table14[[#This Row],[In stock]] &gt;= Table14[[#This Row],[Quantity]],"YES","NO")</f>
        <v>#N/A</v>
      </c>
      <c r="H38" s="3" t="e">
        <f>VLOOKUP(Table14[[#This Row],[Man. Number]],Articles!A:J,COLUMN(Articles!$J$1)-COLUMN(Articles!$A$1)+1,FALSE)*Table14[[#This Row],[Quantity]]</f>
        <v>#N/A</v>
      </c>
      <c r="I38" s="4">
        <f>Table14[[#This Row],[Quantity]]*$M$1</f>
        <v>0</v>
      </c>
      <c r="J38" s="4" t="e">
        <f>IF(Table14[[#This Row],[In stock]] &gt;= Table14[[#This Row],[Total quantity]],"YES","NO")</f>
        <v>#N/A</v>
      </c>
    </row>
    <row r="39" spans="1:10" x14ac:dyDescent="0.25">
      <c r="A39" s="3" t="s">
        <v>26</v>
      </c>
      <c r="B39" s="4" t="e">
        <f>VLOOKUP(Table14[[#This Row],[Man. Number]],Articles!A:F,COLUMN(Articles!$D$1)-COLUMN(Articles!$A$1)+1,FALSE)</f>
        <v>#N/A</v>
      </c>
      <c r="C39" s="4" t="e">
        <f>VLOOKUP(Table14[[#This Row],[Man. Number]],Articles!A:F,COLUMN(Articles!$C$1)-COLUMN(Articles!$A$1)+1,FALSE)</f>
        <v>#N/A</v>
      </c>
      <c r="E39" s="4">
        <v>0</v>
      </c>
      <c r="F39" s="4" t="e">
        <f>VLOOKUP(Table14[[#This Row],[Man. Number]],Articles!A:F,COLUMN(Articles!$F$1)-COLUMN(Articles!$A$1)+1,FALSE)</f>
        <v>#N/A</v>
      </c>
      <c r="G39" s="4" t="e">
        <f>IF(Table14[[#This Row],[In stock]] &gt;= Table14[[#This Row],[Quantity]],"YES","NO")</f>
        <v>#N/A</v>
      </c>
      <c r="H39" s="3" t="e">
        <f>VLOOKUP(Table14[[#This Row],[Man. Number]],Articles!A:J,COLUMN(Articles!$J$1)-COLUMN(Articles!$A$1)+1,FALSE)*Table14[[#This Row],[Quantity]]</f>
        <v>#N/A</v>
      </c>
      <c r="I39" s="4">
        <f>Table14[[#This Row],[Quantity]]*$M$1</f>
        <v>0</v>
      </c>
      <c r="J39" s="4" t="e">
        <f>IF(Table14[[#This Row],[In stock]] &gt;= Table14[[#This Row],[Total quantity]],"YES","NO")</f>
        <v>#N/A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121</v>
      </c>
      <c r="G41" s="4"/>
      <c r="H41" s="33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16" priority="3"/>
  </conditionalFormatting>
  <conditionalFormatting sqref="G1:H1048576 J1:J1048576">
    <cfRule type="containsText" dxfId="15" priority="4" operator="containsText" text="NO">
      <formula>NOT(ISERROR(SEARCH("NO",G1)))</formula>
    </cfRule>
  </conditionalFormatting>
  <conditionalFormatting sqref="N1">
    <cfRule type="cellIs" dxfId="14" priority="1" stopIfTrue="1" operator="equal">
      <formula>"Locked"</formula>
    </cfRule>
    <cfRule type="cellIs" dxfId="1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31"/>
  <sheetViews>
    <sheetView workbookViewId="0">
      <pane ySplit="1" topLeftCell="A2" activePane="bottomLeft" state="frozen"/>
      <selection pane="bottomLeft" activeCell="G9" sqref="G9"/>
    </sheetView>
  </sheetViews>
  <sheetFormatPr defaultColWidth="9.140625" defaultRowHeight="15" x14ac:dyDescent="0.25"/>
  <cols>
    <col min="1" max="1" width="25.7109375" style="3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0">
        <v>2</v>
      </c>
      <c r="N1" t="s">
        <v>222</v>
      </c>
    </row>
    <row r="2" spans="1:14" x14ac:dyDescent="0.25">
      <c r="A2" s="3" t="s">
        <v>262</v>
      </c>
      <c r="B2" s="33" t="e">
        <f>VLOOKUP(Table14681012[[#This Row],[Man. Number]],Articles!A:F,COLUMN(Articles!$D$1)-COLUMN(Articles!$A$1)+1,FALSE)</f>
        <v>#N/A</v>
      </c>
      <c r="C2" s="33" t="e">
        <f>VLOOKUP(Table14681012[[#This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VLOOKUP(Table14681012[[#This Row],[Man. Number]],Articles!A:F,COLUMN(Articles!$F$1)-COLUMN(Articles!$A$1)+1,FALSE)</f>
        <v>#N/A</v>
      </c>
      <c r="G2" s="33" t="e">
        <f>IF(Table14681012[[#This Row],[In stock]] &gt;= Table14681012[[#This Row],[Quantity]],"YES","NO")</f>
        <v>#N/A</v>
      </c>
      <c r="H2" s="3" t="e">
        <f>VLOOKUP(Table14681012[[#This Row],[Man. Number]],Articles!A:J,COLUMN(Articles!$J$1)-COLUMN(Articles!$A$1)+1,FALSE)*Table14681012[[#This Row],[Quantity]]</f>
        <v>#N/A</v>
      </c>
      <c r="I2" s="33">
        <f>Table14681012[[#This Row],[Quantity]]*$M$1</f>
        <v>2</v>
      </c>
      <c r="J2" s="33" t="e">
        <f>IF(Table14681012[[#This Row],[In stock]] &gt;= Table14681012[[#This Row],[Total quantity]],"YES","NO")</f>
        <v>#N/A</v>
      </c>
    </row>
    <row r="3" spans="1:14" x14ac:dyDescent="0.25">
      <c r="A3" s="3" t="s">
        <v>162</v>
      </c>
      <c r="B3" s="33" t="e">
        <f>VLOOKUP(Table14681012[[#This Row],[Man. Number]],Articles!A:F,COLUMN(Articles!$D$1)-COLUMN(Articles!$A$1)+1,FALSE)</f>
        <v>#N/A</v>
      </c>
      <c r="C3" s="33" t="e">
        <f>VLOOKUP(Table14681012[[#This Row],[Man. Number]],Articles!A:F,COLUMN(Articles!$C$1)-COLUMN(Articles!$A$1)+1,FALSE)</f>
        <v>#N/A</v>
      </c>
      <c r="D3" s="4" t="s">
        <v>67</v>
      </c>
      <c r="E3" s="4">
        <v>1</v>
      </c>
      <c r="F3" s="4" t="e">
        <f>VLOOKUP(Table14681012[[#This Row],[Man. Number]],Articles!A:F,COLUMN(Articles!$F$1)-COLUMN(Articles!$A$1)+1,FALSE)</f>
        <v>#N/A</v>
      </c>
      <c r="G3" s="33" t="e">
        <f>IF(Table14681012[[#This Row],[In stock]] &gt;= Table14681012[[#This Row],[Quantity]],"YES","NO")</f>
        <v>#N/A</v>
      </c>
      <c r="H3" s="3" t="e">
        <f>VLOOKUP(Table14681012[[#This Row],[Man. Number]],Articles!A:J,COLUMN(Articles!$J$1)-COLUMN(Articles!$A$1)+1,FALSE)*Table14681012[[#This Row],[Quantity]]</f>
        <v>#N/A</v>
      </c>
      <c r="I3" s="33">
        <f>Table14681012[[#This Row],[Quantity]]*$M$1</f>
        <v>2</v>
      </c>
      <c r="J3" s="33" t="e">
        <f>IF(Table14681012[[#This Row],[In stock]] &gt;= Table14681012[[#This Row],[Total quantity]],"YES","NO")</f>
        <v>#N/A</v>
      </c>
    </row>
    <row r="4" spans="1:14" x14ac:dyDescent="0.25">
      <c r="A4" s="3" t="s">
        <v>161</v>
      </c>
      <c r="B4" s="33" t="e">
        <f>VLOOKUP(Table14681012[[#This Row],[Man. Number]],Articles!A:F,COLUMN(Articles!$D$1)-COLUMN(Articles!$A$1)+1,FALSE)</f>
        <v>#N/A</v>
      </c>
      <c r="C4" s="33" t="e">
        <f>VLOOKUP(Table14681012[[#This Row],[Man. Number]],Articles!A:F,COLUMN(Articles!$C$1)-COLUMN(Articles!$A$1)+1,FALSE)</f>
        <v>#N/A</v>
      </c>
      <c r="D4" s="4" t="s">
        <v>243</v>
      </c>
      <c r="E4" s="4">
        <v>1</v>
      </c>
      <c r="F4" s="4" t="e">
        <f>VLOOKUP(Table14681012[[#This Row],[Man. Number]],Articles!A:F,COLUMN(Articles!$F$1)-COLUMN(Articles!$A$1)+1,FALSE)</f>
        <v>#N/A</v>
      </c>
      <c r="G4" s="33" t="e">
        <f>IF(Table14681012[[#This Row],[In stock]] &gt;= Table14681012[[#This Row],[Quantity]],"YES","NO")</f>
        <v>#N/A</v>
      </c>
      <c r="H4" s="3" t="e">
        <f>VLOOKUP(Table14681012[[#This Row],[Man. Number]],Articles!A:J,COLUMN(Articles!$J$1)-COLUMN(Articles!$A$1)+1,FALSE)*Table14681012[[#This Row],[Quantity]]</f>
        <v>#N/A</v>
      </c>
      <c r="I4" s="33">
        <f>Table14681012[[#This Row],[Quantity]]*$M$1</f>
        <v>2</v>
      </c>
      <c r="J4" s="33" t="e">
        <f>IF(Table14681012[[#This Row],[In stock]] &gt;= Table14681012[[#This Row],[Total quantity]],"YES","NO")</f>
        <v>#N/A</v>
      </c>
    </row>
    <row r="5" spans="1:14" x14ac:dyDescent="0.25">
      <c r="A5" s="3" t="s">
        <v>180</v>
      </c>
      <c r="B5" s="33" t="e">
        <f>VLOOKUP(Table14681012[[#This Row],[Man. Number]],Articles!A:F,COLUMN(Articles!$D$1)-COLUMN(Articles!$A$1)+1,FALSE)</f>
        <v>#N/A</v>
      </c>
      <c r="C5" s="33" t="e">
        <f>VLOOKUP(Table14681012[[#This Row],[Man. Number]],Articles!A:F,COLUMN(Articles!$C$1)-COLUMN(Articles!$A$1)+1,FALSE)</f>
        <v>#N/A</v>
      </c>
      <c r="D5" s="4" t="s">
        <v>247</v>
      </c>
      <c r="E5" s="4">
        <v>1</v>
      </c>
      <c r="F5" s="33" t="e">
        <f>VLOOKUP(Table14681012[[#This Row],[Man. Number]],Articles!A:F,COLUMN(Articles!$F$1)-COLUMN(Articles!$A$1)+1,FALSE)</f>
        <v>#N/A</v>
      </c>
      <c r="G5" s="33" t="e">
        <f>IF(Table14681012[[#This Row],[In stock]] &gt;= Table14681012[[#This Row],[Quantity]],"YES","NO")</f>
        <v>#N/A</v>
      </c>
      <c r="H5" s="3" t="e">
        <f>VLOOKUP(Table14681012[[#This Row],[Man. Number]],Articles!A:J,COLUMN(Articles!$J$1)-COLUMN(Articles!$A$1)+1,FALSE)*Table14681012[[#This Row],[Quantity]]</f>
        <v>#N/A</v>
      </c>
      <c r="I5" s="33">
        <f>Table14681012[[#This Row],[Quantity]]*$M$1</f>
        <v>2</v>
      </c>
      <c r="J5" s="33" t="e">
        <f>IF(Table14681012[[#This Row],[In stock]] &gt;= Table14681012[[#This Row],[Total quantity]],"YES","NO")</f>
        <v>#N/A</v>
      </c>
    </row>
    <row r="6" spans="1:14" x14ac:dyDescent="0.25">
      <c r="A6" s="3" t="s">
        <v>189</v>
      </c>
      <c r="B6" s="33" t="e">
        <f>VLOOKUP(Table14681012[[#This Row],[Man. Number]],Articles!A:F,COLUMN(Articles!$D$1)-COLUMN(Articles!$A$1)+1,FALSE)</f>
        <v>#N/A</v>
      </c>
      <c r="C6" s="33" t="e">
        <f>VLOOKUP(Table14681012[[#This Row],[Man. Number]],Articles!A:F,COLUMN(Articles!$C$1)-COLUMN(Articles!$A$1)+1,FALSE)</f>
        <v>#N/A</v>
      </c>
      <c r="D6" s="4" t="s">
        <v>90</v>
      </c>
      <c r="E6" s="4">
        <v>1</v>
      </c>
      <c r="F6" s="4" t="e">
        <f>VLOOKUP(Table14681012[[#This Row],[Man. Number]],Articles!A:F,COLUMN(Articles!$F$1)-COLUMN(Articles!$A$1)+1,FALSE)</f>
        <v>#N/A</v>
      </c>
      <c r="G6" s="33" t="e">
        <f>IF(Table14681012[[#This Row],[In stock]] &gt;= Table14681012[[#This Row],[Quantity]],"YES","NO")</f>
        <v>#N/A</v>
      </c>
      <c r="H6" s="3" t="e">
        <f>VLOOKUP(Table14681012[[#This Row],[Man. Number]],Articles!A:J,COLUMN(Articles!$J$1)-COLUMN(Articles!$A$1)+1,FALSE)*Table14681012[[#This Row],[Quantity]]</f>
        <v>#N/A</v>
      </c>
      <c r="I6" s="33">
        <f>Table14681012[[#This Row],[Quantity]]*$M$1</f>
        <v>2</v>
      </c>
      <c r="J6" s="33" t="e">
        <f>IF(Table14681012[[#This Row],[In stock]] &gt;= Table14681012[[#This Row],[Total quantity]],"YES","NO")</f>
        <v>#N/A</v>
      </c>
    </row>
    <row r="7" spans="1:14" x14ac:dyDescent="0.25">
      <c r="A7" s="3" t="s">
        <v>186</v>
      </c>
      <c r="B7" s="33" t="e">
        <f>VLOOKUP(Table14681012[[#This Row],[Man. Number]],Articles!A:F,COLUMN(Articles!$D$1)-COLUMN(Articles!$A$1)+1,FALSE)</f>
        <v>#N/A</v>
      </c>
      <c r="C7" s="33" t="e">
        <f>VLOOKUP(Table14681012[[#This Row],[Man. Number]],Articles!A:F,COLUMN(Articles!$C$1)-COLUMN(Articles!$A$1)+1,FALSE)</f>
        <v>#N/A</v>
      </c>
      <c r="D7" s="33" t="s">
        <v>82</v>
      </c>
      <c r="E7" s="4">
        <v>1</v>
      </c>
      <c r="F7" s="4" t="e">
        <f>VLOOKUP(Table14681012[[#This Row],[Man. Number]],Articles!A:F,COLUMN(Articles!$F$1)-COLUMN(Articles!$A$1)+1,FALSE)</f>
        <v>#N/A</v>
      </c>
      <c r="G7" s="33" t="e">
        <f>IF(Table14681012[[#This Row],[In stock]] &gt;= Table14681012[[#This Row],[Quantity]],"YES","NO")</f>
        <v>#N/A</v>
      </c>
      <c r="H7" s="3" t="e">
        <f>VLOOKUP(Table14681012[[#This Row],[Man. Number]],Articles!A:J,COLUMN(Articles!$J$1)-COLUMN(Articles!$A$1)+1,FALSE)*Table14681012[[#This Row],[Quantity]]</f>
        <v>#N/A</v>
      </c>
      <c r="I7" s="33">
        <f>Table14681012[[#This Row],[Quantity]]*$M$1</f>
        <v>2</v>
      </c>
      <c r="J7" s="33" t="e">
        <f>IF(Table14681012[[#This Row],[In stock]] &gt;= Table14681012[[#This Row],[Total quantity]],"YES","NO")</f>
        <v>#N/A</v>
      </c>
    </row>
    <row r="8" spans="1:14" x14ac:dyDescent="0.25">
      <c r="A8" s="3" t="s">
        <v>192</v>
      </c>
      <c r="B8" s="33" t="e">
        <f>VLOOKUP(Table14681012[[#This Row],[Man. Number]],Articles!A:F,COLUMN(Articles!$D$1)-COLUMN(Articles!$A$1)+1,FALSE)</f>
        <v>#N/A</v>
      </c>
      <c r="C8" s="33" t="e">
        <f>VLOOKUP(Table14681012[[#This Row],[Man. Number]],Articles!A:F,COLUMN(Articles!$C$1)-COLUMN(Articles!$A$1)+1,FALSE)</f>
        <v>#N/A</v>
      </c>
      <c r="D8" s="4" t="s">
        <v>175</v>
      </c>
      <c r="E8" s="4">
        <v>1</v>
      </c>
      <c r="F8" s="33" t="e">
        <f>VLOOKUP(Table14681012[[#This Row],[Man. Number]],Articles!A:F,COLUMN(Articles!$F$1)-COLUMN(Articles!$A$1)+1,FALSE)</f>
        <v>#N/A</v>
      </c>
      <c r="G8" s="33" t="e">
        <f>IF(Table14681012[[#This Row],[In stock]] &gt;= Table14681012[[#This Row],[Quantity]],"YES","NO")</f>
        <v>#N/A</v>
      </c>
      <c r="H8" s="3" t="e">
        <f>VLOOKUP(Table14681012[[#This Row],[Man. Number]],Articles!A:J,COLUMN(Articles!$J$1)-COLUMN(Articles!$A$1)+1,FALSE)*Table14681012[[#This Row],[Quantity]]</f>
        <v>#N/A</v>
      </c>
      <c r="I8" s="33">
        <f>Table14681012[[#This Row],[Quantity]]*$M$1</f>
        <v>2</v>
      </c>
      <c r="J8" s="33" t="e">
        <f>IF(Table14681012[[#This Row],[In stock]] &gt;= Table14681012[[#This Row],[Total quantity]],"YES","NO")</f>
        <v>#N/A</v>
      </c>
    </row>
    <row r="9" spans="1:14" x14ac:dyDescent="0.25">
      <c r="A9" s="3" t="s">
        <v>160</v>
      </c>
      <c r="B9" s="33" t="e">
        <f>VLOOKUP(Table14681012[[#This Row],[Man. Number]],Articles!A:F,COLUMN(Articles!$D$1)-COLUMN(Articles!$A$1)+1,FALSE)</f>
        <v>#N/A</v>
      </c>
      <c r="C9" s="33" t="e">
        <f>VLOOKUP(Table14681012[[#This Row],[Man. Number]],Articles!A:F,COLUMN(Articles!$C$1)-COLUMN(Articles!$A$1)+1,FALSE)</f>
        <v>#N/A</v>
      </c>
      <c r="D9" s="4" t="s">
        <v>153</v>
      </c>
      <c r="E9" s="4">
        <v>1</v>
      </c>
      <c r="F9" s="4" t="e">
        <f>VLOOKUP(Table14681012[[#This Row],[Man. Number]],Articles!A:F,COLUMN(Articles!$F$1)-COLUMN(Articles!$A$1)+1,FALSE)</f>
        <v>#N/A</v>
      </c>
      <c r="G9" s="33" t="e">
        <f>IF(Table14681012[[#This Row],[In stock]] &gt;= Table14681012[[#This Row],[Quantity]],"YES","NO")</f>
        <v>#N/A</v>
      </c>
      <c r="H9" s="3" t="e">
        <f>VLOOKUP(Table14681012[[#This Row],[Man. Number]],Articles!A:J,COLUMN(Articles!$J$1)-COLUMN(Articles!$A$1)+1,FALSE)*Table14681012[[#This Row],[Quantity]]</f>
        <v>#N/A</v>
      </c>
      <c r="I9" s="33">
        <f>Table14681012[[#This Row],[Quantity]]*$M$1</f>
        <v>2</v>
      </c>
      <c r="J9" s="33" t="e">
        <f>IF(Table14681012[[#This Row],[In stock]] &gt;= Table14681012[[#This Row],[Total quantity]],"YES","NO")</f>
        <v>#N/A</v>
      </c>
    </row>
    <row r="10" spans="1:14" x14ac:dyDescent="0.25">
      <c r="A10" s="3" t="s">
        <v>231</v>
      </c>
      <c r="B10" s="33" t="e">
        <f>VLOOKUP(Table14681012[[#This Row],[Man. Number]],Articles!A:F,COLUMN(Articles!$D$1)-COLUMN(Articles!$A$1)+1,FALSE)</f>
        <v>#N/A</v>
      </c>
      <c r="C10" s="33" t="e">
        <f>VLOOKUP(Table14681012[[#This Row],[Man. Number]],Articles!A:F,COLUMN(Articles!$C$1)-COLUMN(Articles!$A$1)+1,FALSE)</f>
        <v>#N/A</v>
      </c>
      <c r="D10" s="4" t="s">
        <v>68</v>
      </c>
      <c r="E10" s="4">
        <v>1</v>
      </c>
      <c r="F10" s="4" t="e">
        <f>VLOOKUP(Table14681012[[#This Row],[Man. Number]],Articles!A:F,COLUMN(Articles!$F$1)-COLUMN(Articles!$A$1)+1,FALSE)</f>
        <v>#N/A</v>
      </c>
      <c r="G10" s="33" t="e">
        <f>IF(Table14681012[[#This Row],[In stock]] &gt;= Table14681012[[#This Row],[Quantity]],"YES","NO")</f>
        <v>#N/A</v>
      </c>
      <c r="H10" s="3" t="e">
        <f>VLOOKUP(Table14681012[[#This Row],[Man. Number]],Articles!A:J,COLUMN(Articles!$J$1)-COLUMN(Articles!$A$1)+1,FALSE)*Table14681012[[#This Row],[Quantity]]</f>
        <v>#N/A</v>
      </c>
      <c r="I10" s="33">
        <f>Table14681012[[#This Row],[Quantity]]*$M$1</f>
        <v>2</v>
      </c>
      <c r="J10" s="33" t="e">
        <f>IF(Table14681012[[#This Row],[In stock]] &gt;= Table14681012[[#This Row],[Total quantity]],"YES","NO")</f>
        <v>#N/A</v>
      </c>
    </row>
    <row r="11" spans="1:14" x14ac:dyDescent="0.25">
      <c r="A11" s="3" t="s">
        <v>187</v>
      </c>
      <c r="B11" s="33" t="e">
        <f>VLOOKUP(Table14681012[[#This Row],[Man. Number]],Articles!A:F,COLUMN(Articles!$D$1)-COLUMN(Articles!$A$1)+1,FALSE)</f>
        <v>#N/A</v>
      </c>
      <c r="C11" s="33" t="e">
        <f>VLOOKUP(Table14681012[[#This Row],[Man. Number]],Articles!A:F,COLUMN(Articles!$C$1)-COLUMN(Articles!$A$1)+1,FALSE)</f>
        <v>#N/A</v>
      </c>
      <c r="D11" s="4" t="s">
        <v>250</v>
      </c>
      <c r="E11" s="4">
        <v>2</v>
      </c>
      <c r="F11" s="33" t="e">
        <f>VLOOKUP(Table14681012[[#This Row],[Man. Number]],Articles!A:F,COLUMN(Articles!$F$1)-COLUMN(Articles!$A$1)+1,FALSE)</f>
        <v>#N/A</v>
      </c>
      <c r="G11" s="33" t="e">
        <f>IF(Table14681012[[#This Row],[In stock]] &gt;= Table14681012[[#This Row],[Quantity]],"YES","NO")</f>
        <v>#N/A</v>
      </c>
      <c r="H11" s="3" t="e">
        <f>VLOOKUP(Table14681012[[#This Row],[Man. Number]],Articles!A:J,COLUMN(Articles!$J$1)-COLUMN(Articles!$A$1)+1,FALSE)*Table14681012[[#This Row],[Quantity]]</f>
        <v>#N/A</v>
      </c>
      <c r="I11" s="33">
        <f>Table14681012[[#This Row],[Quantity]]*$M$1</f>
        <v>4</v>
      </c>
      <c r="J11" s="33" t="e">
        <f>IF(Table14681012[[#This Row],[In stock]] &gt;= Table14681012[[#This Row],[Total quantity]],"YES","NO")</f>
        <v>#N/A</v>
      </c>
    </row>
    <row r="12" spans="1:14" x14ac:dyDescent="0.25">
      <c r="A12" s="3" t="s">
        <v>182</v>
      </c>
      <c r="B12" s="33" t="e">
        <f>VLOOKUP(Table14681012[[#This Row],[Man. Number]],Articles!A:F,COLUMN(Articles!$D$1)-COLUMN(Articles!$A$1)+1,FALSE)</f>
        <v>#N/A</v>
      </c>
      <c r="C12" s="33" t="e">
        <f>VLOOKUP(Table14681012[[#This Row],[Man. Number]],Articles!A:F,COLUMN(Articles!$C$1)-COLUMN(Articles!$A$1)+1,FALSE)</f>
        <v>#N/A</v>
      </c>
      <c r="D12" s="4" t="s">
        <v>249</v>
      </c>
      <c r="E12" s="4">
        <v>2</v>
      </c>
      <c r="F12" s="4" t="e">
        <f>VLOOKUP(Table14681012[[#This Row],[Man. Number]],Articles!A:F,COLUMN(Articles!$F$1)-COLUMN(Articles!$A$1)+1,FALSE)</f>
        <v>#N/A</v>
      </c>
      <c r="G12" s="33" t="e">
        <f>IF(Table14681012[[#This Row],[In stock]] &gt;= Table14681012[[#This Row],[Quantity]],"YES","NO")</f>
        <v>#N/A</v>
      </c>
      <c r="H12" s="3" t="e">
        <f>VLOOKUP(Table14681012[[#This Row],[Man. Number]],Articles!A:J,COLUMN(Articles!$J$1)-COLUMN(Articles!$A$1)+1,FALSE)*Table14681012[[#This Row],[Quantity]]</f>
        <v>#N/A</v>
      </c>
      <c r="I12" s="33">
        <f>Table14681012[[#This Row],[Quantity]]*$M$1</f>
        <v>4</v>
      </c>
      <c r="J12" s="33" t="e">
        <f>IF(Table14681012[[#This Row],[In stock]] &gt;= Table14681012[[#This Row],[Total quantity]],"YES","NO")</f>
        <v>#N/A</v>
      </c>
    </row>
    <row r="13" spans="1:14" x14ac:dyDescent="0.25">
      <c r="A13" s="3" t="s">
        <v>181</v>
      </c>
      <c r="B13" s="33" t="e">
        <f>VLOOKUP(Table14681012[[#This Row],[Man. Number]],Articles!A:F,COLUMN(Articles!$D$1)-COLUMN(Articles!$A$1)+1,FALSE)</f>
        <v>#N/A</v>
      </c>
      <c r="C13" s="33" t="e">
        <f>VLOOKUP(Table14681012[[#This Row],[Man. Number]],Articles!A:F,COLUMN(Articles!$C$1)-COLUMN(Articles!$A$1)+1,FALSE)</f>
        <v>#N/A</v>
      </c>
      <c r="D13" s="4" t="s">
        <v>248</v>
      </c>
      <c r="E13" s="4">
        <v>2</v>
      </c>
      <c r="F13" s="33" t="e">
        <f>VLOOKUP(Table14681012[[#This Row],[Man. Number]],Articles!A:F,COLUMN(Articles!$F$1)-COLUMN(Articles!$A$1)+1,FALSE)</f>
        <v>#N/A</v>
      </c>
      <c r="G13" s="33" t="e">
        <f>IF(Table14681012[[#This Row],[In stock]] &gt;= Table14681012[[#This Row],[Quantity]],"YES","NO")</f>
        <v>#N/A</v>
      </c>
      <c r="H13" s="3" t="e">
        <f>VLOOKUP(Table14681012[[#This Row],[Man. Number]],Articles!A:J,COLUMN(Articles!$J$1)-COLUMN(Articles!$A$1)+1,FALSE)*Table14681012[[#This Row],[Quantity]]</f>
        <v>#N/A</v>
      </c>
      <c r="I13" s="33">
        <f>Table14681012[[#This Row],[Quantity]]*$M$1</f>
        <v>4</v>
      </c>
      <c r="J13" s="33" t="e">
        <f>IF(Table14681012[[#This Row],[In stock]] &gt;= Table14681012[[#This Row],[Total quantity]],"YES","NO")</f>
        <v>#N/A</v>
      </c>
    </row>
    <row r="14" spans="1:14" x14ac:dyDescent="0.25">
      <c r="A14" s="3" t="s">
        <v>183</v>
      </c>
      <c r="B14" s="33" t="e">
        <f>VLOOKUP(Table14681012[[#This Row],[Man. Number]],Articles!A:F,COLUMN(Articles!$D$1)-COLUMN(Articles!$A$1)+1,FALSE)</f>
        <v>#N/A</v>
      </c>
      <c r="C14" s="33" t="e">
        <f>VLOOKUP(Table14681012[[#This Row],[Man. Number]],Articles!A:F,COLUMN(Articles!$C$1)-COLUMN(Articles!$A$1)+1,FALSE)</f>
        <v>#N/A</v>
      </c>
      <c r="D14" s="4" t="s">
        <v>246</v>
      </c>
      <c r="E14" s="4">
        <v>3</v>
      </c>
      <c r="F14" s="4" t="e">
        <f>VLOOKUP(Table14681012[[#This Row],[Man. Number]],Articles!A:F,COLUMN(Articles!$F$1)-COLUMN(Articles!$A$1)+1,FALSE)</f>
        <v>#N/A</v>
      </c>
      <c r="G14" s="33" t="e">
        <f>IF(Table14681012[[#This Row],[In stock]] &gt;= Table14681012[[#This Row],[Quantity]],"YES","NO")</f>
        <v>#N/A</v>
      </c>
      <c r="H14" s="3" t="e">
        <f>VLOOKUP(Table14681012[[#This Row],[Man. Number]],Articles!A:J,COLUMN(Articles!$J$1)-COLUMN(Articles!$A$1)+1,FALSE)*Table14681012[[#This Row],[Quantity]]</f>
        <v>#N/A</v>
      </c>
      <c r="I14" s="33">
        <f>Table14681012[[#This Row],[Quantity]]*$M$1</f>
        <v>6</v>
      </c>
      <c r="J14" s="33" t="e">
        <f>IF(Table14681012[[#This Row],[In stock]] &gt;= Table14681012[[#This Row],[Total quantity]],"YES","NO")</f>
        <v>#N/A</v>
      </c>
    </row>
    <row r="15" spans="1:14" x14ac:dyDescent="0.25">
      <c r="A15" s="3" t="s">
        <v>240</v>
      </c>
      <c r="B15" s="33" t="e">
        <f>VLOOKUP(Table14681012[[#This Row],[Man. Number]],Articles!A:F,COLUMN(Articles!$D$1)-COLUMN(Articles!$A$1)+1,FALSE)</f>
        <v>#N/A</v>
      </c>
      <c r="C15" s="33" t="e">
        <f>VLOOKUP(Table14681012[[#This Row],[Man. Number]],Articles!A:F,COLUMN(Articles!$C$1)-COLUMN(Articles!$A$1)+1,FALSE)</f>
        <v>#N/A</v>
      </c>
      <c r="D15" s="4" t="s">
        <v>245</v>
      </c>
      <c r="E15" s="4">
        <v>2</v>
      </c>
      <c r="F15" s="4" t="e">
        <f>VLOOKUP(Table14681012[[#This Row],[Man. Number]],Articles!A:F,COLUMN(Articles!$F$1)-COLUMN(Articles!$A$1)+1,FALSE)</f>
        <v>#N/A</v>
      </c>
      <c r="G15" s="33" t="e">
        <f>IF(Table14681012[[#This Row],[In stock]] &gt;= Table14681012[[#This Row],[Quantity]],"YES","NO")</f>
        <v>#N/A</v>
      </c>
      <c r="H15" s="3" t="e">
        <f>VLOOKUP(Table14681012[[#This Row],[Man. Number]],Articles!A:J,COLUMN(Articles!$J$1)-COLUMN(Articles!$A$1)+1,FALSE)*Table14681012[[#This Row],[Quantity]]</f>
        <v>#N/A</v>
      </c>
      <c r="I15" s="33">
        <f>Table14681012[[#This Row],[Quantity]]*$M$1</f>
        <v>4</v>
      </c>
      <c r="J15" s="33" t="e">
        <f>IF(Table14681012[[#This Row],[In stock]] &gt;= Table14681012[[#This Row],[Total quantity]],"YES","NO")</f>
        <v>#N/A</v>
      </c>
    </row>
    <row r="16" spans="1:14" x14ac:dyDescent="0.25">
      <c r="A16" s="3" t="s">
        <v>16</v>
      </c>
      <c r="B16" s="33" t="e">
        <f>VLOOKUP(Table14681012[[#This Row],[Man. Number]],Articles!A:F,COLUMN(Articles!$D$1)-COLUMN(Articles!$A$1)+1,FALSE)</f>
        <v>#N/A</v>
      </c>
      <c r="C16" s="33" t="e">
        <f>VLOOKUP(Table14681012[[#This Row],[Man. Number]],Articles!A:F,COLUMN(Articles!$C$1)-COLUMN(Articles!$A$1)+1,FALSE)</f>
        <v>#N/A</v>
      </c>
      <c r="D16" s="4" t="s">
        <v>72</v>
      </c>
      <c r="E16" s="4">
        <v>1</v>
      </c>
      <c r="F16" s="4" t="e">
        <f>VLOOKUP(Table14681012[[#This Row],[Man. Number]],Articles!A:F,COLUMN(Articles!$F$1)-COLUMN(Articles!$A$1)+1,FALSE)</f>
        <v>#N/A</v>
      </c>
      <c r="G16" s="33" t="e">
        <f>IF(Table14681012[[#This Row],[In stock]] &gt;= Table14681012[[#This Row],[Quantity]],"YES","NO")</f>
        <v>#N/A</v>
      </c>
      <c r="H16" s="3" t="e">
        <f>VLOOKUP(Table14681012[[#This Row],[Man. Number]],Articles!A:J,COLUMN(Articles!$J$1)-COLUMN(Articles!$A$1)+1,FALSE)*Table14681012[[#This Row],[Quantity]]</f>
        <v>#N/A</v>
      </c>
      <c r="I16" s="33">
        <f>Table14681012[[#This Row],[Quantity]]*$M$1</f>
        <v>2</v>
      </c>
      <c r="J16" s="33" t="e">
        <f>IF(Table14681012[[#This Row],[In stock]] &gt;= Table14681012[[#This Row],[Total quantity]],"YES","NO")</f>
        <v>#N/A</v>
      </c>
    </row>
    <row r="17" spans="1:10" x14ac:dyDescent="0.25">
      <c r="A17" s="3" t="s">
        <v>253</v>
      </c>
      <c r="B17" s="33" t="e">
        <f>VLOOKUP(Table14681012[[#This Row],[Man. Number]],Articles!A:F,COLUMN(Articles!$D$1)-COLUMN(Articles!$A$1)+1,FALSE)</f>
        <v>#N/A</v>
      </c>
      <c r="C17" s="33" t="e">
        <f>VLOOKUP(Table14681012[[#This Row],[Man. Number]],Articles!A:F,COLUMN(Articles!$C$1)-COLUMN(Articles!$A$1)+1,FALSE)</f>
        <v>#N/A</v>
      </c>
      <c r="D17" s="4" t="s">
        <v>65</v>
      </c>
      <c r="E17" s="4">
        <v>1</v>
      </c>
      <c r="F17" s="4" t="e">
        <f>VLOOKUP(Table14681012[[#This Row],[Man. Number]],Articles!A:F,COLUMN(Articles!$F$1)-COLUMN(Articles!$A$1)+1,FALSE)</f>
        <v>#N/A</v>
      </c>
      <c r="G17" s="33" t="e">
        <f>IF(Table14681012[[#This Row],[In stock]] &gt;= Table14681012[[#This Row],[Quantity]],"YES","NO")</f>
        <v>#N/A</v>
      </c>
      <c r="H17" s="3" t="e">
        <f>VLOOKUP(Table14681012[[#This Row],[Man. Number]],Articles!A:J,COLUMN(Articles!$J$1)-COLUMN(Articles!$A$1)+1,FALSE)*Table14681012[[#This Row],[Quantity]]</f>
        <v>#N/A</v>
      </c>
      <c r="I17" s="33">
        <f>Table14681012[[#This Row],[Quantity]]*$M$1</f>
        <v>2</v>
      </c>
      <c r="J17" s="33" t="e">
        <f>IF(Table14681012[[#This Row],[In stock]] &gt;= Table14681012[[#This Row],[Total quantity]],"YES","NO")</f>
        <v>#N/A</v>
      </c>
    </row>
    <row r="18" spans="1:10" x14ac:dyDescent="0.25">
      <c r="A18" s="3" t="s">
        <v>39</v>
      </c>
      <c r="B18" s="33" t="e">
        <f>VLOOKUP(Table14681012[[#This Row],[Man. Number]],Articles!A:F,COLUMN(Articles!$D$1)-COLUMN(Articles!$A$1)+1,FALSE)</f>
        <v>#N/A</v>
      </c>
      <c r="C18" s="33" t="e">
        <f>VLOOKUP(Table14681012[[#This Row],[Man. Number]],Articles!A:F,COLUMN(Articles!$C$1)-COLUMN(Articles!$A$1)+1,FALSE)</f>
        <v>#N/A</v>
      </c>
      <c r="D18" s="4" t="s">
        <v>167</v>
      </c>
      <c r="E18" s="4">
        <v>1</v>
      </c>
      <c r="F18" s="33" t="e">
        <f>VLOOKUP(Table14681012[[#This Row],[Man. Number]],Articles!A:F,COLUMN(Articles!$F$1)-COLUMN(Articles!$A$1)+1,FALSE)</f>
        <v>#N/A</v>
      </c>
      <c r="G18" s="33" t="e">
        <f>IF(Table14681012[[#This Row],[In stock]] &gt;= Table14681012[[#This Row],[Quantity]],"YES","NO")</f>
        <v>#N/A</v>
      </c>
      <c r="H18" s="3" t="e">
        <f>VLOOKUP(Table14681012[[#This Row],[Man. Number]],Articles!A:J,COLUMN(Articles!$J$1)-COLUMN(Articles!$A$1)+1,FALSE)*Table14681012[[#This Row],[Quantity]]</f>
        <v>#N/A</v>
      </c>
      <c r="I18" s="33">
        <f>Table14681012[[#This Row],[Quantity]]*$M$1</f>
        <v>2</v>
      </c>
      <c r="J18" s="33" t="e">
        <f>IF(Table14681012[[#This Row],[In stock]] &gt;= Table14681012[[#This Row],[Total quantity]],"YES","NO")</f>
        <v>#N/A</v>
      </c>
    </row>
    <row r="19" spans="1:10" x14ac:dyDescent="0.25">
      <c r="A19" s="3" t="s">
        <v>58</v>
      </c>
      <c r="B19" s="33" t="e">
        <f>VLOOKUP(Table14681012[[#This Row],[Man. Number]],Articles!A:F,COLUMN(Articles!$D$1)-COLUMN(Articles!$A$1)+1,FALSE)</f>
        <v>#N/A</v>
      </c>
      <c r="C19" s="33" t="e">
        <f>VLOOKUP(Table14681012[[#This Row],[Man. Number]],Articles!A:F,COLUMN(Articles!$C$1)-COLUMN(Articles!$A$1)+1,FALSE)</f>
        <v>#N/A</v>
      </c>
      <c r="D19" s="4" t="s">
        <v>71</v>
      </c>
      <c r="E19" s="4">
        <v>1</v>
      </c>
      <c r="F19" s="33" t="e">
        <f>VLOOKUP(Table14681012[[#This Row],[Man. Number]],Articles!A:F,COLUMN(Articles!$F$1)-COLUMN(Articles!$A$1)+1,FALSE)</f>
        <v>#N/A</v>
      </c>
      <c r="G19" s="33" t="e">
        <f>IF(Table14681012[[#This Row],[In stock]] &gt;= Table14681012[[#This Row],[Quantity]],"YES","NO")</f>
        <v>#N/A</v>
      </c>
      <c r="H19" s="3" t="e">
        <f>VLOOKUP(Table14681012[[#This Row],[Man. Number]],Articles!A:J,COLUMN(Articles!$J$1)-COLUMN(Articles!$A$1)+1,FALSE)*Table14681012[[#This Row],[Quantity]]</f>
        <v>#N/A</v>
      </c>
      <c r="I19" s="33">
        <f>Table14681012[[#This Row],[Quantity]]*$M$1</f>
        <v>2</v>
      </c>
      <c r="J19" s="33" t="e">
        <f>IF(Table14681012[[#This Row],[In stock]] &gt;= Table14681012[[#This Row],[Total quantity]],"YES","NO")</f>
        <v>#N/A</v>
      </c>
    </row>
    <row r="20" spans="1:10" x14ac:dyDescent="0.25">
      <c r="A20" s="3" t="s">
        <v>57</v>
      </c>
      <c r="B20" s="33" t="e">
        <f>VLOOKUP(Table14681012[[#This Row],[Man. Number]],Articles!A:F,COLUMN(Articles!$D$1)-COLUMN(Articles!$A$1)+1,FALSE)</f>
        <v>#N/A</v>
      </c>
      <c r="C20" s="33" t="e">
        <f>VLOOKUP(Table14681012[[#This Row],[Man. Number]],Articles!A:F,COLUMN(Articles!$C$1)-COLUMN(Articles!$A$1)+1,FALSE)</f>
        <v>#N/A</v>
      </c>
      <c r="D20" s="4" t="s">
        <v>244</v>
      </c>
      <c r="E20" s="4">
        <v>4</v>
      </c>
      <c r="F20" s="4" t="e">
        <f>VLOOKUP(Table14681012[[#This Row],[Man. Number]],Articles!A:F,COLUMN(Articles!$F$1)-COLUMN(Articles!$A$1)+1,FALSE)</f>
        <v>#N/A</v>
      </c>
      <c r="G20" s="33" t="e">
        <f>IF(Table14681012[[#This Row],[In stock]] &gt;= Table14681012[[#This Row],[Quantity]],"YES","NO")</f>
        <v>#N/A</v>
      </c>
      <c r="H20" s="3" t="e">
        <f>VLOOKUP(Table14681012[[#This Row],[Man. Number]],Articles!A:J,COLUMN(Articles!$J$1)-COLUMN(Articles!$A$1)+1,FALSE)*Table14681012[[#This Row],[Quantity]]</f>
        <v>#N/A</v>
      </c>
      <c r="I20" s="33">
        <f>Table14681012[[#This Row],[Quantity]]*$M$1</f>
        <v>8</v>
      </c>
      <c r="J20" s="33" t="e">
        <f>IF(Table14681012[[#This Row],[In stock]] &gt;= Table14681012[[#This Row],[Total quantity]],"YES","NO")</f>
        <v>#N/A</v>
      </c>
    </row>
    <row r="21" spans="1:10" x14ac:dyDescent="0.25">
      <c r="A21" s="3" t="s">
        <v>233</v>
      </c>
      <c r="B21" s="33" t="e">
        <f>VLOOKUP(Table14681012[[#This Row],[Man. Number]],Articles!A:F,COLUMN(Articles!$D$1)-COLUMN(Articles!$A$1)+1,FALSE)</f>
        <v>#N/A</v>
      </c>
      <c r="C21" s="33" t="e">
        <f>VLOOKUP(Table14681012[[#This Row],[Man. Number]],Articles!A:F,COLUMN(Articles!$C$1)-COLUMN(Articles!$A$1)+1,FALSE)</f>
        <v>#N/A</v>
      </c>
      <c r="D21" s="4" t="s">
        <v>29</v>
      </c>
      <c r="E21" s="4">
        <v>4</v>
      </c>
      <c r="F21" s="4" t="e">
        <f>VLOOKUP(Table14681012[[#This Row],[Man. Number]],Articles!A:F,COLUMN(Articles!$F$1)-COLUMN(Articles!$A$1)+1,FALSE)</f>
        <v>#N/A</v>
      </c>
      <c r="G21" s="33" t="e">
        <f>IF(Table14681012[[#This Row],[In stock]] &gt;= Table14681012[[#This Row],[Quantity]],"YES","NO")</f>
        <v>#N/A</v>
      </c>
      <c r="H21" s="3" t="e">
        <f>VLOOKUP(Table14681012[[#This Row],[Man. Number]],Articles!A:J,COLUMN(Articles!$J$1)-COLUMN(Articles!$A$1)+1,FALSE)*Table14681012[[#This Row],[Quantity]]</f>
        <v>#N/A</v>
      </c>
      <c r="I21" s="33">
        <f>Table14681012[[#This Row],[Quantity]]*$M$1</f>
        <v>8</v>
      </c>
      <c r="J21" s="33" t="e">
        <f>IF(Table14681012[[#This Row],[In stock]] &gt;= Table14681012[[#This Row],[Total quantity]],"YES","NO")</f>
        <v>#N/A</v>
      </c>
    </row>
    <row r="22" spans="1:10" x14ac:dyDescent="0.25">
      <c r="A22" s="3" t="s">
        <v>41</v>
      </c>
      <c r="B22" s="33" t="e">
        <f>VLOOKUP(Table14681012[[#This Row],[Man. Number]],Articles!A:F,COLUMN(Articles!$D$1)-COLUMN(Articles!$A$1)+1,FALSE)</f>
        <v>#N/A</v>
      </c>
      <c r="C22" s="33" t="e">
        <f>VLOOKUP(Table14681012[[#This Row],[Man. Number]],Articles!A:F,COLUMN(Articles!$C$1)-COLUMN(Articles!$A$1)+1,FALSE)</f>
        <v>#N/A</v>
      </c>
      <c r="D22" s="4" t="s">
        <v>154</v>
      </c>
      <c r="E22" s="4">
        <v>1</v>
      </c>
      <c r="F22" s="4" t="e">
        <f>VLOOKUP(Table14681012[[#This Row],[Man. Number]],Articles!A:F,COLUMN(Articles!$F$1)-COLUMN(Articles!$A$1)+1,FALSE)</f>
        <v>#N/A</v>
      </c>
      <c r="G22" s="33" t="e">
        <f>IF(Table14681012[[#This Row],[In stock]] &gt;= Table14681012[[#This Row],[Quantity]],"YES","NO")</f>
        <v>#N/A</v>
      </c>
      <c r="H22" s="3" t="e">
        <f>VLOOKUP(Table14681012[[#This Row],[Man. Number]],Articles!A:J,COLUMN(Articles!$J$1)-COLUMN(Articles!$A$1)+1,FALSE)*Table14681012[[#This Row],[Quantity]]</f>
        <v>#N/A</v>
      </c>
      <c r="I22" s="33">
        <f>Table14681012[[#This Row],[Quantity]]*$M$1</f>
        <v>2</v>
      </c>
      <c r="J22" s="33" t="e">
        <f>IF(Table14681012[[#This Row],[In stock]] &gt;= Table14681012[[#This Row],[Total quantity]],"YES","NO")</f>
        <v>#N/A</v>
      </c>
    </row>
    <row r="23" spans="1:10" x14ac:dyDescent="0.25">
      <c r="A23" s="45" t="s">
        <v>184</v>
      </c>
      <c r="B23" s="43" t="e">
        <f>VLOOKUP(Table14681012[[#This Row],[Man. Number]],Articles!A:F,COLUMN(Articles!$D$1)-COLUMN(Articles!$A$1)+1,FALSE)</f>
        <v>#N/A</v>
      </c>
      <c r="C23" s="43" t="e">
        <f>VLOOKUP(Table14681012[[#This Row],[Man. Number]],Articles!A:F,COLUMN(Articles!$C$1)-COLUMN(Articles!$A$1)+1,FALSE)</f>
        <v>#N/A</v>
      </c>
      <c r="D23" s="44" t="s">
        <v>252</v>
      </c>
      <c r="E23" s="44">
        <v>10</v>
      </c>
      <c r="F23" s="44" t="e">
        <f>VLOOKUP(Table14681012[[#This Row],[Man. Number]],Articles!A:F,COLUMN(Articles!$F$1)-COLUMN(Articles!$A$1)+1,FALSE)</f>
        <v>#N/A</v>
      </c>
      <c r="G23" s="43" t="e">
        <f>IF(Table14681012[[#This Row],[In stock]] &gt;= Table14681012[[#This Row],[Quantity]],"YES","NO")</f>
        <v>#N/A</v>
      </c>
      <c r="H23" s="45" t="e">
        <f>VLOOKUP(Table14681012[[#This Row],[Man. Number]],Articles!A:J,COLUMN(Articles!$J$1)-COLUMN(Articles!$A$1)+1,FALSE)*Table14681012[[#This Row],[Quantity]]</f>
        <v>#N/A</v>
      </c>
      <c r="I23" s="43">
        <f>Table14681012[[#This Row],[Quantity]]*$M$1</f>
        <v>20</v>
      </c>
      <c r="J23" s="43" t="e">
        <f>IF(Table14681012[[#This Row],[In stock]] &gt;= Table14681012[[#This Row],[Total quantity]],"YES","NO")</f>
        <v>#N/A</v>
      </c>
    </row>
    <row r="24" spans="1:10" x14ac:dyDescent="0.25">
      <c r="A24" s="3" t="s">
        <v>59</v>
      </c>
      <c r="B24" s="33" t="e">
        <f>VLOOKUP(Table14681012[[#This Row],[Man. Number]],Articles!A:F,COLUMN(Articles!$D$1)-COLUMN(Articles!$A$1)+1,FALSE)</f>
        <v>#N/A</v>
      </c>
      <c r="C24" s="33" t="e">
        <f>VLOOKUP(Table14681012[[#This Row],[Man. Number]],Articles!A:F,COLUMN(Articles!$C$1)-COLUMN(Articles!$A$1)+1,FALSE)</f>
        <v>#N/A</v>
      </c>
      <c r="D24" s="4" t="s">
        <v>166</v>
      </c>
      <c r="E24" s="4">
        <v>1</v>
      </c>
      <c r="F24" s="33" t="e">
        <f>VLOOKUP(Table14681012[[#This Row],[Man. Number]],Articles!A:F,COLUMN(Articles!$F$1)-COLUMN(Articles!$A$1)+1,FALSE)</f>
        <v>#N/A</v>
      </c>
      <c r="G24" s="33" t="e">
        <f>IF(Table14681012[[#This Row],[In stock]] &gt;= Table14681012[[#This Row],[Quantity]],"YES","NO")</f>
        <v>#N/A</v>
      </c>
      <c r="H24" s="3" t="e">
        <f>VLOOKUP(Table14681012[[#This Row],[Man. Number]],Articles!A:J,COLUMN(Articles!$J$1)-COLUMN(Articles!$A$1)+1,FALSE)*Table14681012[[#This Row],[Quantity]]</f>
        <v>#N/A</v>
      </c>
      <c r="I24" s="33">
        <f>Table14681012[[#This Row],[Quantity]]*$M$1</f>
        <v>2</v>
      </c>
      <c r="J24" s="33" t="e">
        <f>IF(Table14681012[[#This Row],[In stock]] &gt;= Table14681012[[#This Row],[Total quantity]],"YES","NO")</f>
        <v>#N/A</v>
      </c>
    </row>
    <row r="25" spans="1:10" x14ac:dyDescent="0.25">
      <c r="A25" s="3" t="s">
        <v>19</v>
      </c>
      <c r="B25" s="33" t="e">
        <f>VLOOKUP(Table14681012[[#This Row],[Man. Number]],Articles!A:F,COLUMN(Articles!$D$1)-COLUMN(Articles!$A$1)+1,FALSE)</f>
        <v>#N/A</v>
      </c>
      <c r="C25" s="33" t="e">
        <f>VLOOKUP(Table14681012[[#This Row],[Man. Number]],Articles!A:F,COLUMN(Articles!$C$1)-COLUMN(Articles!$A$1)+1,FALSE)</f>
        <v>#N/A</v>
      </c>
      <c r="D25" s="4" t="s">
        <v>242</v>
      </c>
      <c r="E25" s="4">
        <v>4</v>
      </c>
      <c r="F25" s="4" t="e">
        <f>VLOOKUP(Table14681012[[#This Row],[Man. Number]],Articles!A:F,COLUMN(Articles!$F$1)-COLUMN(Articles!$A$1)+1,FALSE)</f>
        <v>#N/A</v>
      </c>
      <c r="G25" s="33" t="e">
        <f>IF(Table14681012[[#This Row],[In stock]] &gt;= Table14681012[[#This Row],[Quantity]],"YES","NO")</f>
        <v>#N/A</v>
      </c>
      <c r="H25" s="3" t="e">
        <f>VLOOKUP(Table14681012[[#This Row],[Man. Number]],Articles!A:J,COLUMN(Articles!$J$1)-COLUMN(Articles!$A$1)+1,FALSE)*Table14681012[[#This Row],[Quantity]]</f>
        <v>#N/A</v>
      </c>
      <c r="I25" s="33">
        <f>Table14681012[[#This Row],[Quantity]]*$M$1</f>
        <v>8</v>
      </c>
      <c r="J25" s="33" t="e">
        <f>IF(Table14681012[[#This Row],[In stock]] &gt;= Table14681012[[#This Row],[Total quantity]],"YES","NO")</f>
        <v>#N/A</v>
      </c>
    </row>
    <row r="26" spans="1:10" x14ac:dyDescent="0.25">
      <c r="A26" s="3" t="s">
        <v>261</v>
      </c>
      <c r="B26" s="33" t="e">
        <f>VLOOKUP(Table14681012[[#This Row],[Man. Number]],Articles!A:F,COLUMN(Articles!$D$1)-COLUMN(Articles!$A$1)+1,FALSE)</f>
        <v>#N/A</v>
      </c>
      <c r="C26" s="33" t="e">
        <f>VLOOKUP(Table14681012[[#This Row],[Man. Number]],Articles!A:F,COLUMN(Articles!$C$1)-COLUMN(Articles!$A$1)+1,FALSE)</f>
        <v>#N/A</v>
      </c>
      <c r="D26" s="4" t="s">
        <v>89</v>
      </c>
      <c r="E26" s="4">
        <v>1</v>
      </c>
      <c r="F26" s="4" t="e">
        <f>VLOOKUP(Table14681012[[#This Row],[Man. Number]],Articles!A:F,COLUMN(Articles!$F$1)-COLUMN(Articles!$A$1)+1,FALSE)</f>
        <v>#N/A</v>
      </c>
      <c r="G26" s="33" t="e">
        <f>IF(Table14681012[[#This Row],[In stock]] &gt;= Table14681012[[#This Row],[Quantity]],"YES","NO")</f>
        <v>#N/A</v>
      </c>
      <c r="H26" s="3" t="e">
        <f>VLOOKUP(Table14681012[[#This Row],[Man. Number]],Articles!A:J,COLUMN(Articles!$J$1)-COLUMN(Articles!$A$1)+1,FALSE)*Table14681012[[#This Row],[Quantity]]</f>
        <v>#N/A</v>
      </c>
      <c r="I26" s="33">
        <f>Table14681012[[#This Row],[Quantity]]*$M$1</f>
        <v>2</v>
      </c>
      <c r="J26" s="33" t="e">
        <f>IF(Table14681012[[#This Row],[In stock]] &gt;= Table14681012[[#This Row],[Total quantity]],"YES","NO")</f>
        <v>#N/A</v>
      </c>
    </row>
    <row r="27" spans="1:10" x14ac:dyDescent="0.25">
      <c r="A27" s="3" t="s">
        <v>232</v>
      </c>
      <c r="B27" s="33" t="e">
        <f>VLOOKUP(Table14681012[[#This Row],[Man. Number]],Articles!A:F,COLUMN(Articles!$D$1)-COLUMN(Articles!$A$1)+1,FALSE)</f>
        <v>#N/A</v>
      </c>
      <c r="C27" s="33" t="e">
        <f>VLOOKUP(Table14681012[[#This Row],[Man. Number]],Articles!A:F,COLUMN(Articles!$C$1)-COLUMN(Articles!$A$1)+1,FALSE)</f>
        <v>#N/A</v>
      </c>
      <c r="D27" s="4" t="s">
        <v>29</v>
      </c>
      <c r="E27" s="4">
        <v>4</v>
      </c>
      <c r="F27" s="4" t="e">
        <f>VLOOKUP(Table14681012[[#This Row],[Man. Number]],Articles!A:F,COLUMN(Articles!$F$1)-COLUMN(Articles!$A$1)+1,FALSE)</f>
        <v>#N/A</v>
      </c>
      <c r="G27" s="33" t="e">
        <f>IF(Table14681012[[#This Row],[In stock]] &gt;= Table14681012[[#This Row],[Quantity]],"YES","NO")</f>
        <v>#N/A</v>
      </c>
      <c r="H27" s="3" t="e">
        <f>VLOOKUP(Table14681012[[#This Row],[Man. Number]],Articles!A:J,COLUMN(Articles!$J$1)-COLUMN(Articles!$A$1)+1,FALSE)*Table14681012[[#This Row],[Quantity]]</f>
        <v>#N/A</v>
      </c>
      <c r="I27" s="33">
        <f>Table14681012[[#This Row],[Quantity]]*$M$1</f>
        <v>8</v>
      </c>
      <c r="J27" s="33" t="e">
        <f>IF(Table14681012[[#This Row],[In stock]] &gt;= Table14681012[[#This Row],[Total quantity]],"YES","NO")</f>
        <v>#N/A</v>
      </c>
    </row>
    <row r="28" spans="1:10" x14ac:dyDescent="0.25">
      <c r="A28" s="3" t="s">
        <v>115</v>
      </c>
      <c r="B28" s="33" t="e">
        <f>VLOOKUP(Table14681012[[#This Row],[Man. Number]],Articles!A:F,COLUMN(Articles!$D$1)-COLUMN(Articles!$A$1)+1,FALSE)</f>
        <v>#N/A</v>
      </c>
      <c r="C28" s="33" t="e">
        <f>VLOOKUP(Table14681012[[#This Row],[Man. Number]],Articles!A:F,COLUMN(Articles!$C$1)-COLUMN(Articles!$A$1)+1,FALSE)</f>
        <v>#N/A</v>
      </c>
      <c r="D28" s="4" t="s">
        <v>251</v>
      </c>
      <c r="E28" s="4">
        <f>(5+2*9)/36</f>
        <v>0.63888888888888884</v>
      </c>
      <c r="F28" s="4" t="e">
        <f>VLOOKUP(Table14681012[[#This Row],[Man. Number]],Articles!A:F,COLUMN(Articles!$F$1)-COLUMN(Articles!$A$1)+1,FALSE)</f>
        <v>#N/A</v>
      </c>
      <c r="G28" s="33" t="e">
        <f>IF(Table14681012[[#This Row],[In stock]] &gt;= Table14681012[[#This Row],[Quantity]],"YES","NO")</f>
        <v>#N/A</v>
      </c>
      <c r="H28" s="3" t="e">
        <f>VLOOKUP(Table14681012[[#This Row],[Man. Number]],Articles!A:J,COLUMN(Articles!$J$1)-COLUMN(Articles!$A$1)+1,FALSE)*Table14681012[[#This Row],[Quantity]]</f>
        <v>#N/A</v>
      </c>
      <c r="I28" s="33">
        <f>Table14681012[[#This Row],[Quantity]]*$M$1</f>
        <v>1.2777777777777777</v>
      </c>
      <c r="J28" s="33" t="e">
        <f>IF(Table14681012[[#This Row],[In stock]] &gt;= Table14681012[[#This Row],[Total quantity]],"YES","NO")</f>
        <v>#N/A</v>
      </c>
    </row>
    <row r="29" spans="1:10" x14ac:dyDescent="0.25">
      <c r="A29" s="3" t="s">
        <v>241</v>
      </c>
      <c r="B29" s="4" t="e">
        <f>VLOOKUP(Table14681012[[#This Row],[Man. Number]],Articles!A:F,COLUMN(Articles!$D$1)-COLUMN(Articles!$A$1)+1,FALSE)</f>
        <v>#N/A</v>
      </c>
      <c r="C29" s="4" t="e">
        <f>VLOOKUP(Table14681012[[#This Row],[Man. Number]],Articles!A:F,COLUMN(Articles!$C$1)-COLUMN(Articles!$A$1)+1,FALSE)</f>
        <v>#N/A</v>
      </c>
      <c r="D29" s="4" t="s">
        <v>73</v>
      </c>
      <c r="E29" s="4">
        <v>1</v>
      </c>
      <c r="F29" s="4" t="e">
        <f>VLOOKUP(Table14681012[[#This Row],[Man. Number]],Articles!A:F,COLUMN(Articles!$F$1)-COLUMN(Articles!$A$1)+1,FALSE)</f>
        <v>#N/A</v>
      </c>
      <c r="G29" s="4" t="e">
        <f>IF(Table14681012[[#This Row],[In stock]] &gt;= Table14681012[[#This Row],[Quantity]],"YES","NO")</f>
        <v>#N/A</v>
      </c>
      <c r="H29" s="3" t="e">
        <f>VLOOKUP(Table14681012[[#This Row],[Man. Number]],Articles!A:J,COLUMN(Articles!$J$1)-COLUMN(Articles!$A$1)+1,FALSE)*Table14681012[[#This Row],[Quantity]]</f>
        <v>#N/A</v>
      </c>
      <c r="I29" s="4">
        <f>Table14681012[[#This Row],[Quantity]]*$M$1</f>
        <v>2</v>
      </c>
      <c r="J29" s="4" t="e">
        <f>IF(Table14681012[[#This Row],[In stock]] &gt;= Table14681012[[#This Row],[Total quantity]],"YES","NO")</f>
        <v>#N/A</v>
      </c>
    </row>
    <row r="30" spans="1:10" x14ac:dyDescent="0.25">
      <c r="A30" s="3" t="s">
        <v>134</v>
      </c>
      <c r="B30" s="33" t="e">
        <f>VLOOKUP(Table14681012[[#This Row],[Man. Number]],Articles!A:F,COLUMN(Articles!$D$1)-COLUMN(Articles!$A$1)+1,FALSE)</f>
        <v>#N/A</v>
      </c>
      <c r="C30" s="33" t="e">
        <f>VLOOKUP(Table14681012[[#This Row],[Man. Number]],Articles!A:F,COLUMN(Articles!$C$1)-COLUMN(Articles!$A$1)+1,FALSE)</f>
        <v>#N/A</v>
      </c>
      <c r="D30" s="4" t="s">
        <v>70</v>
      </c>
      <c r="E30" s="4">
        <v>1</v>
      </c>
      <c r="F30" s="4" t="e">
        <f>VLOOKUP(Table14681012[[#This Row],[Man. Number]],Articles!A:F,COLUMN(Articles!$F$1)-COLUMN(Articles!$A$1)+1,FALSE)</f>
        <v>#N/A</v>
      </c>
      <c r="G30" s="33" t="e">
        <f>IF(Table14681012[[#This Row],[In stock]] &gt;= Table14681012[[#This Row],[Quantity]],"YES","NO")</f>
        <v>#N/A</v>
      </c>
      <c r="H30" s="3" t="e">
        <f>VLOOKUP(Table14681012[[#This Row],[Man. Number]],Articles!A:J,COLUMN(Articles!$J$1)-COLUMN(Articles!$A$1)+1,FALSE)*Table14681012[[#This Row],[Quantity]]</f>
        <v>#N/A</v>
      </c>
      <c r="I30" s="33">
        <f>Table14681012[[#This Row],[Quantity]]*$M$1</f>
        <v>2</v>
      </c>
      <c r="J30" s="33" t="e">
        <f>IF(Table14681012[[#This Row],[In stock]] &gt;= Table14681012[[#This Row],[Total quantity]],"YES","NO")</f>
        <v>#N/A</v>
      </c>
    </row>
    <row r="31" spans="1:10" x14ac:dyDescent="0.25">
      <c r="A31" s="3" t="s">
        <v>121</v>
      </c>
      <c r="G31" s="4"/>
      <c r="H31" s="4" t="e">
        <f>SUBTOTAL(109,Table14681012[Unit Price])</f>
        <v>#N/A</v>
      </c>
      <c r="I31" s="4"/>
      <c r="J31" s="4"/>
    </row>
  </sheetData>
  <conditionalFormatting sqref="G1:H1048576 J1:J1048576">
    <cfRule type="containsText" dxfId="12" priority="4" operator="containsText" text="NO">
      <formula>NOT(ISERROR(SEARCH("NO",G1)))</formula>
    </cfRule>
  </conditionalFormatting>
  <conditionalFormatting sqref="A1:A1048576">
    <cfRule type="duplicateValues" dxfId="11" priority="3"/>
  </conditionalFormatting>
  <conditionalFormatting sqref="N1">
    <cfRule type="cellIs" dxfId="10" priority="1" stopIfTrue="1" operator="equal">
      <formula>"Locked"</formula>
    </cfRule>
    <cfRule type="cellIs" dxfId="9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F5" sqref="F5"/>
    </sheetView>
  </sheetViews>
  <sheetFormatPr defaultColWidth="9.140625" defaultRowHeight="15" x14ac:dyDescent="0.25"/>
  <cols>
    <col min="1" max="1" width="25.7109375" style="3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4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0">
        <v>1</v>
      </c>
      <c r="N1" t="s">
        <v>269</v>
      </c>
    </row>
    <row r="2" spans="1:14" x14ac:dyDescent="0.25">
      <c r="A2" s="33" t="s">
        <v>202</v>
      </c>
      <c r="B2" s="33" t="e">
        <f>VLOOKUP(Table146810[[#This Row],[Man. Number]],Articles!A:F,COLUMN(Articles!$D$1)-COLUMN(Articles!$A$1)+1,FALSE)</f>
        <v>#N/A</v>
      </c>
      <c r="C2" s="33" t="e">
        <f>VLOOKUP(Table146810[[#This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VLOOKUP(Table146810[[#This Row],[Man. Number]],Articles!A:F,COLUMN(Articles!$F$1)-COLUMN(Articles!$A$1)+1,FALSE)</f>
        <v>#N/A</v>
      </c>
      <c r="G2" s="33" t="e">
        <f>IF(Table146810[[#This Row],[In stock]] &gt;= Table146810[[#This Row],[Quantity]],"YES","NO")</f>
        <v>#N/A</v>
      </c>
      <c r="H2" s="3" t="e">
        <f>VLOOKUP(Table146810[[#This Row],[Man. Number]],Articles!A:J,COLUMN(Articles!$J$1)-COLUMN(Articles!$A$1)+1,FALSE)*Table146810[[#This Row],[Quantity]]</f>
        <v>#N/A</v>
      </c>
      <c r="I2" s="33">
        <f>Table146810[[#This Row],[Quantity]]*$M$1</f>
        <v>1</v>
      </c>
      <c r="J2" s="33" t="e">
        <f>IF(Table146810[[#This Row],[In stock]] &gt;= Table146810[[#This Row],[Total quantity]],"YES","NO")</f>
        <v>#N/A</v>
      </c>
    </row>
    <row r="3" spans="1:14" x14ac:dyDescent="0.25">
      <c r="A3" s="33" t="s">
        <v>162</v>
      </c>
      <c r="B3" s="33" t="e">
        <f>VLOOKUP(Table146810[[#This Row],[Man. Number]],Articles!A:F,COLUMN(Articles!$D$1)-COLUMN(Articles!$A$1)+1,FALSE)</f>
        <v>#N/A</v>
      </c>
      <c r="C3" s="33" t="e">
        <f>VLOOKUP(Table146810[[#This Row],[Man. Number]],Articles!A:F,COLUMN(Articles!$C$1)-COLUMN(Articles!$A$1)+1,FALSE)</f>
        <v>#N/A</v>
      </c>
      <c r="D3" s="4" t="s">
        <v>67</v>
      </c>
      <c r="E3" s="4">
        <v>1</v>
      </c>
      <c r="F3" s="4" t="e">
        <f>VLOOKUP(Table146810[[#This Row],[Man. Number]],Articles!A:F,COLUMN(Articles!$F$1)-COLUMN(Articles!$A$1)+1,FALSE)</f>
        <v>#N/A</v>
      </c>
      <c r="G3" s="33" t="e">
        <f>IF(Table146810[[#This Row],[In stock]] &gt;= Table146810[[#This Row],[Quantity]],"YES","NO")</f>
        <v>#N/A</v>
      </c>
      <c r="H3" s="3" t="e">
        <f>VLOOKUP(Table146810[[#This Row],[Man. Number]],Articles!A:J,COLUMN(Articles!$J$1)-COLUMN(Articles!$A$1)+1,FALSE)*Table146810[[#This Row],[Quantity]]</f>
        <v>#N/A</v>
      </c>
      <c r="I3" s="33">
        <f>Table146810[[#This Row],[Quantity]]*$M$1</f>
        <v>1</v>
      </c>
      <c r="J3" s="33" t="e">
        <f>IF(Table146810[[#This Row],[In stock]] &gt;= Table146810[[#This Row],[Total quantity]],"YES","NO")</f>
        <v>#N/A</v>
      </c>
    </row>
    <row r="4" spans="1:14" x14ac:dyDescent="0.25">
      <c r="A4" s="33" t="s">
        <v>10</v>
      </c>
      <c r="B4" s="33" t="e">
        <f>VLOOKUP(Table146810[[#This Row],[Man. Number]],Articles!A:F,COLUMN(Articles!$D$1)-COLUMN(Articles!$A$1)+1,FALSE)</f>
        <v>#N/A</v>
      </c>
      <c r="C4" s="33" t="e">
        <f>VLOOKUP(Table146810[[#This Row],[Man. Number]],Articles!A:F,COLUMN(Articles!$C$1)-COLUMN(Articles!$A$1)+1,FALSE)</f>
        <v>#N/A</v>
      </c>
      <c r="D4" s="4" t="s">
        <v>68</v>
      </c>
      <c r="E4" s="4">
        <v>1</v>
      </c>
      <c r="F4" s="4" t="e">
        <f>VLOOKUP(Table146810[[#This Row],[Man. Number]],Articles!A:F,COLUMN(Articles!$F$1)-COLUMN(Articles!$A$1)+1,FALSE)</f>
        <v>#N/A</v>
      </c>
      <c r="G4" s="33" t="e">
        <f>IF(Table146810[[#This Row],[In stock]] &gt;= Table146810[[#This Row],[Quantity]],"YES","NO")</f>
        <v>#N/A</v>
      </c>
      <c r="H4" s="3" t="e">
        <f>VLOOKUP(Table146810[[#This Row],[Man. Number]],Articles!A:J,COLUMN(Articles!$J$1)-COLUMN(Articles!$A$1)+1,FALSE)*Table146810[[#This Row],[Quantity]]</f>
        <v>#N/A</v>
      </c>
      <c r="I4" s="33">
        <f>Table146810[[#This Row],[Quantity]]*$M$1</f>
        <v>1</v>
      </c>
      <c r="J4" s="33" t="e">
        <f>IF(Table146810[[#This Row],[In stock]] &gt;= Table146810[[#This Row],[Total quantity]],"YES","NO")</f>
        <v>#N/A</v>
      </c>
    </row>
    <row r="5" spans="1:14" x14ac:dyDescent="0.25">
      <c r="A5" s="33" t="s">
        <v>19</v>
      </c>
      <c r="B5" s="33" t="e">
        <f>VLOOKUP(Table146810[[#This Row],[Man. Number]],Articles!A:F,COLUMN(Articles!$D$1)-COLUMN(Articles!$A$1)+1,FALSE)</f>
        <v>#N/A</v>
      </c>
      <c r="C5" s="33" t="e">
        <f>VLOOKUP(Table146810[[#This Row],[Man. Number]],Articles!A:F,COLUMN(Articles!$C$1)-COLUMN(Articles!$A$1)+1,FALSE)</f>
        <v>#N/A</v>
      </c>
      <c r="D5" s="4" t="s">
        <v>205</v>
      </c>
      <c r="E5" s="4">
        <v>3</v>
      </c>
      <c r="F5" s="4" t="e">
        <f>VLOOKUP(Table146810[[#This Row],[Man. Number]],Articles!A:F,COLUMN(Articles!$F$1)-COLUMN(Articles!$A$1)+1,FALSE)</f>
        <v>#N/A</v>
      </c>
      <c r="G5" s="33" t="e">
        <f>IF(Table146810[[#This Row],[In stock]] &gt;= Table146810[[#This Row],[Quantity]],"YES","NO")</f>
        <v>#N/A</v>
      </c>
      <c r="H5" s="3" t="e">
        <f>VLOOKUP(Table146810[[#This Row],[Man. Number]],Articles!A:J,COLUMN(Articles!$J$1)-COLUMN(Articles!$A$1)+1,FALSE)*Table146810[[#This Row],[Quantity]]</f>
        <v>#N/A</v>
      </c>
      <c r="I5" s="33">
        <f>Table146810[[#This Row],[Quantity]]*$M$1</f>
        <v>3</v>
      </c>
      <c r="J5" s="33" t="e">
        <f>IF(Table146810[[#This Row],[In stock]] &gt;= Table146810[[#This Row],[Total quantity]],"YES","NO")</f>
        <v>#N/A</v>
      </c>
    </row>
    <row r="6" spans="1:14" x14ac:dyDescent="0.25">
      <c r="A6" s="33" t="s">
        <v>161</v>
      </c>
      <c r="B6" s="33" t="e">
        <f>VLOOKUP(Table146810[[#This Row],[Man. Number]],Articles!A:F,COLUMN(Articles!$D$1)-COLUMN(Articles!$A$1)+1,FALSE)</f>
        <v>#N/A</v>
      </c>
      <c r="C6" s="33" t="e">
        <f>VLOOKUP(Table146810[[#This Row],[Man. Number]],Articles!A:F,COLUMN(Articles!$C$1)-COLUMN(Articles!$A$1)+1,FALSE)</f>
        <v>#N/A</v>
      </c>
      <c r="D6" s="4" t="s">
        <v>157</v>
      </c>
      <c r="E6" s="4">
        <v>2</v>
      </c>
      <c r="F6" s="4" t="e">
        <f>VLOOKUP(Table146810[[#This Row],[Man. Number]],Articles!A:F,COLUMN(Articles!$F$1)-COLUMN(Articles!$A$1)+1,FALSE)</f>
        <v>#N/A</v>
      </c>
      <c r="G6" s="33" t="e">
        <f>IF(Table146810[[#This Row],[In stock]] &gt;= Table146810[[#This Row],[Quantity]],"YES","NO")</f>
        <v>#N/A</v>
      </c>
      <c r="H6" s="3" t="e">
        <f>VLOOKUP(Table146810[[#This Row],[Man. Number]],Articles!A:J,COLUMN(Articles!$J$1)-COLUMN(Articles!$A$1)+1,FALSE)*Table146810[[#This Row],[Quantity]]</f>
        <v>#N/A</v>
      </c>
      <c r="I6" s="33">
        <f>Table146810[[#This Row],[Quantity]]*$M$1</f>
        <v>2</v>
      </c>
      <c r="J6" s="33" t="e">
        <f>IF(Table146810[[#This Row],[In stock]] &gt;= Table146810[[#This Row],[Total quantity]],"YES","NO")</f>
        <v>#N/A</v>
      </c>
    </row>
    <row r="7" spans="1:14" x14ac:dyDescent="0.25">
      <c r="A7" s="33" t="s">
        <v>159</v>
      </c>
      <c r="B7" s="33" t="e">
        <f>VLOOKUP(Table146810[[#This Row],[Man. Number]],Articles!A:F,COLUMN(Articles!$D$1)-COLUMN(Articles!$A$1)+1,FALSE)</f>
        <v>#N/A</v>
      </c>
      <c r="C7" s="33" t="e">
        <f>VLOOKUP(Table146810[[#This Row],[Man. Number]],Articles!A:F,COLUMN(Articles!$C$1)-COLUMN(Articles!$A$1)+1,FALSE)</f>
        <v>#N/A</v>
      </c>
      <c r="D7" s="4" t="s">
        <v>158</v>
      </c>
      <c r="E7" s="4">
        <v>1</v>
      </c>
      <c r="F7" s="4" t="e">
        <f>VLOOKUP(Table146810[[#This Row],[Man. Number]],Articles!A:F,COLUMN(Articles!$F$1)-COLUMN(Articles!$A$1)+1,FALSE)</f>
        <v>#N/A</v>
      </c>
      <c r="G7" s="33" t="e">
        <f>IF(Table146810[[#This Row],[In stock]] &gt;= Table146810[[#This Row],[Quantity]],"YES","NO")</f>
        <v>#N/A</v>
      </c>
      <c r="H7" s="3" t="e">
        <f>VLOOKUP(Table146810[[#This Row],[Man. Number]],Articles!A:J,COLUMN(Articles!$J$1)-COLUMN(Articles!$A$1)+1,FALSE)*Table146810[[#This Row],[Quantity]]</f>
        <v>#N/A</v>
      </c>
      <c r="I7" s="33">
        <f>Table146810[[#This Row],[Quantity]]*$M$1</f>
        <v>1</v>
      </c>
      <c r="J7" s="33" t="e">
        <f>IF(Table146810[[#This Row],[In stock]] &gt;= Table146810[[#This Row],[Total quantity]],"YES","NO")</f>
        <v>#N/A</v>
      </c>
    </row>
    <row r="8" spans="1:14" x14ac:dyDescent="0.25">
      <c r="A8" s="33" t="s">
        <v>60</v>
      </c>
      <c r="B8" s="33" t="e">
        <f>VLOOKUP(Table146810[[#This Row],[Man. Number]],Articles!A:F,COLUMN(Articles!$D$1)-COLUMN(Articles!$A$1)+1,FALSE)</f>
        <v>#N/A</v>
      </c>
      <c r="C8" s="33" t="e">
        <f>VLOOKUP(Table146810[[#This Row],[Man. Number]],Articles!A:F,COLUMN(Articles!$C$1)-COLUMN(Articles!$A$1)+1,FALSE)</f>
        <v>#N/A</v>
      </c>
      <c r="D8" s="4" t="s">
        <v>153</v>
      </c>
      <c r="E8" s="4">
        <v>1</v>
      </c>
      <c r="F8" s="4" t="e">
        <f>VLOOKUP(Table146810[[#This Row],[Man. Number]],Articles!A:F,COLUMN(Articles!$F$1)-COLUMN(Articles!$A$1)+1,FALSE)</f>
        <v>#N/A</v>
      </c>
      <c r="G8" s="33" t="e">
        <f>IF(Table146810[[#This Row],[In stock]] &gt;= Table146810[[#This Row],[Quantity]],"YES","NO")</f>
        <v>#N/A</v>
      </c>
      <c r="H8" s="3" t="e">
        <f>VLOOKUP(Table146810[[#This Row],[Man. Number]],Articles!A:J,COLUMN(Articles!$J$1)-COLUMN(Articles!$A$1)+1,FALSE)*Table146810[[#This Row],[Quantity]]</f>
        <v>#N/A</v>
      </c>
      <c r="I8" s="33">
        <f>Table146810[[#This Row],[Quantity]]*$M$1</f>
        <v>1</v>
      </c>
      <c r="J8" s="33" t="e">
        <f>IF(Table146810[[#This Row],[In stock]] &gt;= Table146810[[#This Row],[Total quantity]],"YES","NO")</f>
        <v>#N/A</v>
      </c>
    </row>
    <row r="9" spans="1:14" x14ac:dyDescent="0.25">
      <c r="A9" s="33" t="s">
        <v>160</v>
      </c>
      <c r="B9" s="33" t="e">
        <f>VLOOKUP(Table146810[[#This Row],[Man. Number]],Articles!A:F,COLUMN(Articles!$D$1)-COLUMN(Articles!$A$1)+1,FALSE)</f>
        <v>#N/A</v>
      </c>
      <c r="C9" s="33" t="e">
        <f>VLOOKUP(Table146810[[#This Row],[Man. Number]],Articles!A:F,COLUMN(Articles!$C$1)-COLUMN(Articles!$A$1)+1,FALSE)</f>
        <v>#N/A</v>
      </c>
      <c r="D9" s="4" t="s">
        <v>153</v>
      </c>
      <c r="E9" s="4">
        <v>0</v>
      </c>
      <c r="F9" s="4" t="e">
        <f>VLOOKUP(Table146810[[#This Row],[Man. Number]],Articles!A:F,COLUMN(Articles!$F$1)-COLUMN(Articles!$A$1)+1,FALSE)</f>
        <v>#N/A</v>
      </c>
      <c r="G9" s="33" t="e">
        <f>IF(Table146810[[#This Row],[In stock]] &gt;= Table146810[[#This Row],[Quantity]],"YES","NO")</f>
        <v>#N/A</v>
      </c>
      <c r="H9" s="3" t="e">
        <f>VLOOKUP(Table146810[[#This Row],[Man. Number]],Articles!A:J,COLUMN(Articles!$J$1)-COLUMN(Articles!$A$1)+1,FALSE)*Table146810[[#This Row],[Quantity]]</f>
        <v>#N/A</v>
      </c>
      <c r="I9" s="33">
        <f>Table146810[[#This Row],[Quantity]]*$M$1</f>
        <v>0</v>
      </c>
      <c r="J9" s="33" t="e">
        <f>IF(Table146810[[#This Row],[In stock]] &gt;= Table146810[[#This Row],[Total quantity]],"YES","NO")</f>
        <v>#N/A</v>
      </c>
    </row>
    <row r="10" spans="1:14" x14ac:dyDescent="0.25">
      <c r="A10" s="33" t="s">
        <v>136</v>
      </c>
      <c r="B10" s="33" t="e">
        <f>VLOOKUP(Table146810[[#This Row],[Man. Number]],Articles!A:F,COLUMN(Articles!$D$1)-COLUMN(Articles!$A$1)+1,FALSE)</f>
        <v>#N/A</v>
      </c>
      <c r="C10" s="33" t="e">
        <f>VLOOKUP(Table146810[[#This Row],[Man. Number]],Articles!A:F,COLUMN(Articles!$C$1)-COLUMN(Articles!$A$1)+1,FALSE)</f>
        <v>#N/A</v>
      </c>
      <c r="D10" s="4" t="s">
        <v>65</v>
      </c>
      <c r="E10" s="4">
        <v>1</v>
      </c>
      <c r="F10" s="4" t="e">
        <f>VLOOKUP(Table146810[[#This Row],[Man. Number]],Articles!A:F,COLUMN(Articles!$F$1)-COLUMN(Articles!$A$1)+1,FALSE)</f>
        <v>#N/A</v>
      </c>
      <c r="G10" s="33" t="e">
        <f>IF(Table146810[[#This Row],[In stock]] &gt;= Table146810[[#This Row],[Quantity]],"YES","NO")</f>
        <v>#N/A</v>
      </c>
      <c r="H10" s="3" t="e">
        <f>VLOOKUP(Table146810[[#This Row],[Man. Number]],Articles!A:J,COLUMN(Articles!$J$1)-COLUMN(Articles!$A$1)+1,FALSE)*Table146810[[#This Row],[Quantity]]</f>
        <v>#N/A</v>
      </c>
      <c r="I10" s="33">
        <f>Table146810[[#This Row],[Quantity]]*$M$1</f>
        <v>1</v>
      </c>
      <c r="J10" s="33" t="e">
        <f>IF(Table146810[[#This Row],[In stock]] &gt;= Table146810[[#This Row],[Total quantity]],"YES","NO")</f>
        <v>#N/A</v>
      </c>
    </row>
    <row r="11" spans="1:14" x14ac:dyDescent="0.25">
      <c r="A11" s="33" t="s">
        <v>41</v>
      </c>
      <c r="B11" s="33" t="e">
        <f>VLOOKUP(Table146810[[#This Row],[Man. Number]],Articles!A:F,COLUMN(Articles!$D$1)-COLUMN(Articles!$A$1)+1,FALSE)</f>
        <v>#N/A</v>
      </c>
      <c r="C11" s="33" t="e">
        <f>VLOOKUP(Table146810[[#This Row],[Man. Number]],Articles!A:F,COLUMN(Articles!$C$1)-COLUMN(Articles!$A$1)+1,FALSE)</f>
        <v>#N/A</v>
      </c>
      <c r="D11" s="4" t="s">
        <v>154</v>
      </c>
      <c r="E11" s="4">
        <v>1</v>
      </c>
      <c r="F11" s="4" t="e">
        <f>VLOOKUP(Table146810[[#This Row],[Man. Number]],Articles!A:F,COLUMN(Articles!$F$1)-COLUMN(Articles!$A$1)+1,FALSE)</f>
        <v>#N/A</v>
      </c>
      <c r="G11" s="33" t="e">
        <f>IF(Table146810[[#This Row],[In stock]] &gt;= Table146810[[#This Row],[Quantity]],"YES","NO")</f>
        <v>#N/A</v>
      </c>
      <c r="H11" s="3" t="e">
        <f>VLOOKUP(Table146810[[#This Row],[Man. Number]],Articles!A:J,COLUMN(Articles!$J$1)-COLUMN(Articles!$A$1)+1,FALSE)*Table146810[[#This Row],[Quantity]]</f>
        <v>#N/A</v>
      </c>
      <c r="I11" s="33">
        <f>Table146810[[#This Row],[Quantity]]*$M$1</f>
        <v>1</v>
      </c>
      <c r="J11" s="33" t="e">
        <f>IF(Table146810[[#This Row],[In stock]] &gt;= Table146810[[#This Row],[Total quantity]],"YES","NO")</f>
        <v>#N/A</v>
      </c>
    </row>
    <row r="12" spans="1:14" x14ac:dyDescent="0.25">
      <c r="A12" s="33" t="s">
        <v>165</v>
      </c>
      <c r="B12" s="33" t="e">
        <f>VLOOKUP(Table146810[[#This Row],[Man. Number]],Articles!A:F,COLUMN(Articles!$D$1)-COLUMN(Articles!$A$1)+1,FALSE)</f>
        <v>#N/A</v>
      </c>
      <c r="C12" s="33" t="e">
        <f>VLOOKUP(Table146810[[#This Row],[Man. Number]],Articles!A:F,COLUMN(Articles!$C$1)-COLUMN(Articles!$A$1)+1,FALSE)</f>
        <v>#N/A</v>
      </c>
      <c r="D12" s="4" t="s">
        <v>194</v>
      </c>
      <c r="E12" s="4">
        <f>8/40</f>
        <v>0.2</v>
      </c>
      <c r="F12" s="33" t="e">
        <f>VLOOKUP(Table146810[[#This Row],[Man. Number]],Articles!A:F,COLUMN(Articles!$F$1)-COLUMN(Articles!$A$1)+1,FALSE)</f>
        <v>#N/A</v>
      </c>
      <c r="G12" s="33" t="e">
        <f>IF(Table146810[[#This Row],[In stock]] &gt;= Table146810[[#This Row],[Quantity]],"YES","NO")</f>
        <v>#N/A</v>
      </c>
      <c r="H12" s="3" t="e">
        <f>VLOOKUP(Table146810[[#This Row],[Man. Number]],Articles!A:J,COLUMN(Articles!$J$1)-COLUMN(Articles!$A$1)+1,FALSE)*Table146810[[#This Row],[Quantity]]</f>
        <v>#N/A</v>
      </c>
      <c r="I12" s="33">
        <f>Table146810[[#This Row],[Quantity]]*$M$1</f>
        <v>0.2</v>
      </c>
      <c r="J12" s="33" t="e">
        <f>IF(Table146810[[#This Row],[In stock]] &gt;= Table146810[[#This Row],[Total quantity]],"YES","NO")</f>
        <v>#N/A</v>
      </c>
    </row>
    <row r="13" spans="1:14" x14ac:dyDescent="0.25">
      <c r="A13" s="33" t="s">
        <v>58</v>
      </c>
      <c r="B13" s="33" t="e">
        <f>VLOOKUP(Table146810[[#This Row],[Man. Number]],Articles!A:F,COLUMN(Articles!$D$1)-COLUMN(Articles!$A$1)+1,FALSE)</f>
        <v>#N/A</v>
      </c>
      <c r="C13" s="33" t="e">
        <f>VLOOKUP(Table146810[[#This Row],[Man. Number]],Articles!A:F,COLUMN(Articles!$C$1)-COLUMN(Articles!$A$1)+1,FALSE)</f>
        <v>#N/A</v>
      </c>
      <c r="D13" s="4" t="s">
        <v>71</v>
      </c>
      <c r="E13" s="4">
        <v>1</v>
      </c>
      <c r="F13" s="33" t="e">
        <f>VLOOKUP(Table146810[[#This Row],[Man. Number]],Articles!A:F,COLUMN(Articles!$F$1)-COLUMN(Articles!$A$1)+1,FALSE)</f>
        <v>#N/A</v>
      </c>
      <c r="G13" s="33" t="e">
        <f>IF(Table146810[[#This Row],[In stock]] &gt;= Table146810[[#This Row],[Quantity]],"YES","NO")</f>
        <v>#N/A</v>
      </c>
      <c r="H13" s="3" t="e">
        <f>VLOOKUP(Table146810[[#This Row],[Man. Number]],Articles!A:J,COLUMN(Articles!$J$1)-COLUMN(Articles!$A$1)+1,FALSE)*Table146810[[#This Row],[Quantity]]</f>
        <v>#N/A</v>
      </c>
      <c r="I13" s="33">
        <f>Table146810[[#This Row],[Quantity]]*$M$1</f>
        <v>1</v>
      </c>
      <c r="J13" s="33" t="e">
        <f>IF(Table146810[[#This Row],[In stock]] &gt;= Table146810[[#This Row],[Total quantity]],"YES","NO")</f>
        <v>#N/A</v>
      </c>
    </row>
    <row r="14" spans="1:14" x14ac:dyDescent="0.25">
      <c r="A14" s="33" t="s">
        <v>39</v>
      </c>
      <c r="B14" s="33" t="e">
        <f>VLOOKUP(Table146810[[#This Row],[Man. Number]],Articles!A:F,COLUMN(Articles!$D$1)-COLUMN(Articles!$A$1)+1,FALSE)</f>
        <v>#N/A</v>
      </c>
      <c r="C14" s="33" t="e">
        <f>VLOOKUP(Table146810[[#This Row],[Man. Number]],Articles!A:F,COLUMN(Articles!$C$1)-COLUMN(Articles!$A$1)+1,FALSE)</f>
        <v>#N/A</v>
      </c>
      <c r="D14" s="4" t="s">
        <v>167</v>
      </c>
      <c r="E14" s="4">
        <v>1</v>
      </c>
      <c r="F14" s="33" t="e">
        <f>VLOOKUP(Table146810[[#This Row],[Man. Number]],Articles!A:F,COLUMN(Articles!$F$1)-COLUMN(Articles!$A$1)+1,FALSE)</f>
        <v>#N/A</v>
      </c>
      <c r="G14" s="33" t="e">
        <f>IF(Table146810[[#This Row],[In stock]] &gt;= Table146810[[#This Row],[Quantity]],"YES","NO")</f>
        <v>#N/A</v>
      </c>
      <c r="H14" s="3" t="e">
        <f>VLOOKUP(Table146810[[#This Row],[Man. Number]],Articles!A:J,COLUMN(Articles!$J$1)-COLUMN(Articles!$A$1)+1,FALSE)*Table146810[[#This Row],[Quantity]]</f>
        <v>#N/A</v>
      </c>
      <c r="I14" s="33">
        <f>Table146810[[#This Row],[Quantity]]*$M$1</f>
        <v>1</v>
      </c>
      <c r="J14" s="33" t="e">
        <f>IF(Table146810[[#This Row],[In stock]] &gt;= Table146810[[#This Row],[Total quantity]],"YES","NO")</f>
        <v>#N/A</v>
      </c>
    </row>
    <row r="15" spans="1:14" x14ac:dyDescent="0.25">
      <c r="A15" s="33" t="s">
        <v>189</v>
      </c>
      <c r="B15" s="33" t="e">
        <f>VLOOKUP(Table146810[[#This Row],[Man. Number]],Articles!A:F,COLUMN(Articles!$D$1)-COLUMN(Articles!$A$1)+1,FALSE)</f>
        <v>#N/A</v>
      </c>
      <c r="C15" s="33" t="e">
        <f>VLOOKUP(Table146810[[#This Row],[Man. Number]],Articles!A:F,COLUMN(Articles!$C$1)-COLUMN(Articles!$A$1)+1,FALSE)</f>
        <v>#N/A</v>
      </c>
      <c r="D15" s="4" t="s">
        <v>90</v>
      </c>
      <c r="E15" s="4">
        <v>1</v>
      </c>
      <c r="F15" s="4" t="e">
        <f>VLOOKUP(Table146810[[#This Row],[Man. Number]],Articles!A:F,COLUMN(Articles!$F$1)-COLUMN(Articles!$A$1)+1,FALSE)</f>
        <v>#N/A</v>
      </c>
      <c r="G15" s="33" t="e">
        <f>IF(Table146810[[#This Row],[In stock]] &gt;= Table146810[[#This Row],[Quantity]],"YES","NO")</f>
        <v>#N/A</v>
      </c>
      <c r="H15" s="3" t="e">
        <f>VLOOKUP(Table146810[[#This Row],[Man. Number]],Articles!A:J,COLUMN(Articles!$J$1)-COLUMN(Articles!$A$1)+1,FALSE)*Table146810[[#This Row],[Quantity]]</f>
        <v>#N/A</v>
      </c>
      <c r="I15" s="33">
        <f>Table146810[[#This Row],[Quantity]]*$M$1</f>
        <v>1</v>
      </c>
      <c r="J15" s="33" t="e">
        <f>IF(Table146810[[#This Row],[In stock]] &gt;= Table146810[[#This Row],[Total quantity]],"YES","NO")</f>
        <v>#N/A</v>
      </c>
    </row>
    <row r="16" spans="1:14" x14ac:dyDescent="0.25">
      <c r="A16" s="33" t="s">
        <v>186</v>
      </c>
      <c r="B16" s="33" t="e">
        <f>VLOOKUP(Table146810[[#This Row],[Man. Number]],Articles!A:F,COLUMN(Articles!$D$1)-COLUMN(Articles!$A$1)+1,FALSE)</f>
        <v>#N/A</v>
      </c>
      <c r="C16" s="33" t="e">
        <f>VLOOKUP(Table146810[[#This Row],[Man. Number]],Articles!A:F,COLUMN(Articles!$C$1)-COLUMN(Articles!$A$1)+1,FALSE)</f>
        <v>#N/A</v>
      </c>
      <c r="D16" s="4" t="s">
        <v>82</v>
      </c>
      <c r="E16" s="4">
        <v>1</v>
      </c>
      <c r="F16" s="4" t="e">
        <f>VLOOKUP(Table146810[[#This Row],[Man. Number]],Articles!A:F,COLUMN(Articles!$F$1)-COLUMN(Articles!$A$1)+1,FALSE)</f>
        <v>#N/A</v>
      </c>
      <c r="G16" s="33" t="e">
        <f>IF(Table146810[[#This Row],[In stock]] &gt;= Table146810[[#This Row],[Quantity]],"YES","NO")</f>
        <v>#N/A</v>
      </c>
      <c r="H16" s="3" t="e">
        <f>VLOOKUP(Table146810[[#This Row],[Man. Number]],Articles!A:J,COLUMN(Articles!$J$1)-COLUMN(Articles!$A$1)+1,FALSE)*Table146810[[#This Row],[Quantity]]</f>
        <v>#N/A</v>
      </c>
      <c r="I16" s="33">
        <f>Table146810[[#This Row],[Quantity]]*$M$1</f>
        <v>1</v>
      </c>
      <c r="J16" s="33" t="e">
        <f>IF(Table146810[[#This Row],[In stock]] &gt;= Table146810[[#This Row],[Total quantity]],"YES","NO")</f>
        <v>#N/A</v>
      </c>
    </row>
    <row r="17" spans="1:10" x14ac:dyDescent="0.25">
      <c r="A17" s="33" t="s">
        <v>188</v>
      </c>
      <c r="B17" s="33" t="e">
        <f>VLOOKUP(Table146810[[#This Row],[Man. Number]],Articles!A:F,COLUMN(Articles!$D$1)-COLUMN(Articles!$A$1)+1,FALSE)</f>
        <v>#N/A</v>
      </c>
      <c r="C17" s="33" t="e">
        <f>VLOOKUP(Table146810[[#This Row],[Man. Number]],Articles!A:F,COLUMN(Articles!$C$1)-COLUMN(Articles!$A$1)+1,FALSE)</f>
        <v>#N/A</v>
      </c>
      <c r="D17" s="4" t="s">
        <v>169</v>
      </c>
      <c r="E17" s="4">
        <v>3</v>
      </c>
      <c r="F17" s="4" t="e">
        <f>VLOOKUP(Table146810[[#This Row],[Man. Number]],Articles!A:F,COLUMN(Articles!$F$1)-COLUMN(Articles!$A$1)+1,FALSE)</f>
        <v>#N/A</v>
      </c>
      <c r="G17" s="33" t="e">
        <f>IF(Table146810[[#This Row],[In stock]] &gt;= Table146810[[#This Row],[Quantity]],"YES","NO")</f>
        <v>#N/A</v>
      </c>
      <c r="H17" s="3" t="e">
        <f>VLOOKUP(Table146810[[#This Row],[Man. Number]],Articles!A:J,COLUMN(Articles!$J$1)-COLUMN(Articles!$A$1)+1,FALSE)*Table146810[[#This Row],[Quantity]]</f>
        <v>#N/A</v>
      </c>
      <c r="I17" s="33">
        <f>Table146810[[#This Row],[Quantity]]*$M$1</f>
        <v>3</v>
      </c>
      <c r="J17" s="33" t="e">
        <f>IF(Table146810[[#This Row],[In stock]] &gt;= Table146810[[#This Row],[Total quantity]],"YES","NO")</f>
        <v>#N/A</v>
      </c>
    </row>
    <row r="18" spans="1:10" x14ac:dyDescent="0.25">
      <c r="A18" s="33" t="s">
        <v>176</v>
      </c>
      <c r="B18" s="33" t="e">
        <f>VLOOKUP(Table146810[[#This Row],[Man. Number]],Articles!A:F,COLUMN(Articles!$D$1)-COLUMN(Articles!$A$1)+1,FALSE)</f>
        <v>#N/A</v>
      </c>
      <c r="C18" s="33" t="e">
        <f>VLOOKUP(Table146810[[#This Row],[Man. Number]],Articles!A:F,COLUMN(Articles!$C$1)-COLUMN(Articles!$A$1)+1,FALSE)</f>
        <v>#N/A</v>
      </c>
      <c r="D18" s="4" t="s">
        <v>156</v>
      </c>
      <c r="E18" s="4">
        <v>5</v>
      </c>
      <c r="F18" s="4" t="e">
        <f>VLOOKUP(Table146810[[#This Row],[Man. Number]],Articles!A:F,COLUMN(Articles!$F$1)-COLUMN(Articles!$A$1)+1,FALSE)</f>
        <v>#N/A</v>
      </c>
      <c r="G18" s="33" t="e">
        <f>IF(Table146810[[#This Row],[In stock]] &gt;= Table146810[[#This Row],[Quantity]],"YES","NO")</f>
        <v>#N/A</v>
      </c>
      <c r="H18" s="3" t="e">
        <f>VLOOKUP(Table146810[[#This Row],[Man. Number]],Articles!A:J,COLUMN(Articles!$J$1)-COLUMN(Articles!$A$1)+1,FALSE)*Table146810[[#This Row],[Quantity]]</f>
        <v>#N/A</v>
      </c>
      <c r="I18" s="33">
        <f>Table146810[[#This Row],[Quantity]]*$M$1</f>
        <v>5</v>
      </c>
      <c r="J18" s="33" t="e">
        <f>IF(Table146810[[#This Row],[In stock]] &gt;= Table146810[[#This Row],[Total quantity]],"YES","NO")</f>
        <v>#N/A</v>
      </c>
    </row>
    <row r="19" spans="1:10" x14ac:dyDescent="0.25">
      <c r="A19" s="33" t="s">
        <v>187</v>
      </c>
      <c r="B19" s="33" t="e">
        <f>VLOOKUP(Table146810[[#This Row],[Man. Number]],Articles!A:F,COLUMN(Articles!$D$1)-COLUMN(Articles!$A$1)+1,FALSE)</f>
        <v>#N/A</v>
      </c>
      <c r="C19" s="33" t="e">
        <f>VLOOKUP(Table146810[[#This Row],[Man. Number]],Articles!A:F,COLUMN(Articles!$C$1)-COLUMN(Articles!$A$1)+1,FALSE)</f>
        <v>#N/A</v>
      </c>
      <c r="D19" s="4" t="s">
        <v>175</v>
      </c>
      <c r="E19" s="4">
        <v>1</v>
      </c>
      <c r="F19" s="33" t="e">
        <f>VLOOKUP(Table146810[[#This Row],[Man. Number]],Articles!A:F,COLUMN(Articles!$F$1)-COLUMN(Articles!$A$1)+1,FALSE)</f>
        <v>#N/A</v>
      </c>
      <c r="G19" s="33" t="e">
        <f>IF(Table146810[[#This Row],[In stock]] &gt;= Table146810[[#This Row],[Quantity]],"YES","NO")</f>
        <v>#N/A</v>
      </c>
      <c r="H19" s="3" t="e">
        <f>VLOOKUP(Table146810[[#This Row],[Man. Number]],Articles!A:J,COLUMN(Articles!$J$1)-COLUMN(Articles!$A$1)+1,FALSE)*Table146810[[#This Row],[Quantity]]</f>
        <v>#N/A</v>
      </c>
      <c r="I19" s="33">
        <f>Table146810[[#This Row],[Quantity]]*$M$1</f>
        <v>1</v>
      </c>
      <c r="J19" s="33" t="e">
        <f>IF(Table146810[[#This Row],[In stock]] &gt;= Table146810[[#This Row],[Total quantity]],"YES","NO")</f>
        <v>#N/A</v>
      </c>
    </row>
    <row r="20" spans="1:10" x14ac:dyDescent="0.25">
      <c r="A20" s="33" t="s">
        <v>59</v>
      </c>
      <c r="B20" s="33" t="e">
        <f>VLOOKUP(Table146810[[#This Row],[Man. Number]],Articles!A:F,COLUMN(Articles!$D$1)-COLUMN(Articles!$A$1)+1,FALSE)</f>
        <v>#N/A</v>
      </c>
      <c r="C20" s="33" t="e">
        <f>VLOOKUP(Table146810[[#This Row],[Man. Number]],Articles!A:F,COLUMN(Articles!$C$1)-COLUMN(Articles!$A$1)+1,FALSE)</f>
        <v>#N/A</v>
      </c>
      <c r="D20" s="4" t="s">
        <v>166</v>
      </c>
      <c r="E20" s="4">
        <v>1</v>
      </c>
      <c r="F20" s="33" t="e">
        <f>VLOOKUP(Table146810[[#This Row],[Man. Number]],Articles!A:F,COLUMN(Articles!$F$1)-COLUMN(Articles!$A$1)+1,FALSE)</f>
        <v>#N/A</v>
      </c>
      <c r="G20" s="33" t="e">
        <f>IF(Table146810[[#This Row],[In stock]] &gt;= Table146810[[#This Row],[Quantity]],"YES","NO")</f>
        <v>#N/A</v>
      </c>
      <c r="H20" s="3" t="e">
        <f>VLOOKUP(Table146810[[#This Row],[Man. Number]],Articles!A:J,COLUMN(Articles!$J$1)-COLUMN(Articles!$A$1)+1,FALSE)*Table146810[[#This Row],[Quantity]]</f>
        <v>#N/A</v>
      </c>
      <c r="I20" s="33">
        <f>Table146810[[#This Row],[Quantity]]*$M$1</f>
        <v>1</v>
      </c>
      <c r="J20" s="33" t="e">
        <f>IF(Table146810[[#This Row],[In stock]] &gt;= Table146810[[#This Row],[Total quantity]],"YES","NO")</f>
        <v>#N/A</v>
      </c>
    </row>
    <row r="21" spans="1:10" x14ac:dyDescent="0.25">
      <c r="A21" s="33" t="s">
        <v>134</v>
      </c>
      <c r="B21" s="33" t="e">
        <f>VLOOKUP(Table146810[[#This Row],[Man. Number]],Articles!A:F,COLUMN(Articles!$D$1)-COLUMN(Articles!$A$1)+1,FALSE)</f>
        <v>#N/A</v>
      </c>
      <c r="C21" s="33" t="e">
        <f>VLOOKUP(Table146810[[#This Row],[Man. Number]],Articles!A:F,COLUMN(Articles!$C$1)-COLUMN(Articles!$A$1)+1,FALSE)</f>
        <v>#N/A</v>
      </c>
      <c r="D21" s="4" t="s">
        <v>70</v>
      </c>
      <c r="E21" s="4">
        <v>1</v>
      </c>
      <c r="F21" s="4" t="e">
        <f>VLOOKUP(Table146810[[#This Row],[Man. Number]],Articles!A:F,COLUMN(Articles!$F$1)-COLUMN(Articles!$A$1)+1,FALSE)</f>
        <v>#N/A</v>
      </c>
      <c r="G21" s="33" t="e">
        <f>IF(Table146810[[#This Row],[In stock]] &gt;= Table146810[[#This Row],[Quantity]],"YES","NO")</f>
        <v>#N/A</v>
      </c>
      <c r="H21" s="3" t="e">
        <f>VLOOKUP(Table146810[[#This Row],[Man. Number]],Articles!A:J,COLUMN(Articles!$J$1)-COLUMN(Articles!$A$1)+1,FALSE)*Table146810[[#This Row],[Quantity]]</f>
        <v>#N/A</v>
      </c>
      <c r="I21" s="33">
        <f>Table146810[[#This Row],[Quantity]]*$M$1</f>
        <v>1</v>
      </c>
      <c r="J21" s="33" t="e">
        <f>IF(Table146810[[#This Row],[In stock]] &gt;= Table146810[[#This Row],[Total quantity]],"YES","NO")</f>
        <v>#N/A</v>
      </c>
    </row>
    <row r="22" spans="1:10" x14ac:dyDescent="0.25">
      <c r="A22" s="33" t="s">
        <v>16</v>
      </c>
      <c r="B22" s="33" t="e">
        <f>VLOOKUP(Table146810[[#This Row],[Man. Number]],Articles!A:F,COLUMN(Articles!$D$1)-COLUMN(Articles!$A$1)+1,FALSE)</f>
        <v>#N/A</v>
      </c>
      <c r="C22" s="33" t="e">
        <f>VLOOKUP(Table146810[[#This Row],[Man. Number]],Articles!A:F,COLUMN(Articles!$C$1)-COLUMN(Articles!$A$1)+1,FALSE)</f>
        <v>#N/A</v>
      </c>
      <c r="D22" s="4" t="s">
        <v>72</v>
      </c>
      <c r="E22" s="4">
        <v>1</v>
      </c>
      <c r="F22" s="4" t="e">
        <f>VLOOKUP(Table146810[[#This Row],[Man. Number]],Articles!A:F,COLUMN(Articles!$F$1)-COLUMN(Articles!$A$1)+1,FALSE)</f>
        <v>#N/A</v>
      </c>
      <c r="G22" s="33" t="e">
        <f>IF(Table146810[[#This Row],[In stock]] &gt;= Table146810[[#This Row],[Quantity]],"YES","NO")</f>
        <v>#N/A</v>
      </c>
      <c r="H22" s="3" t="e">
        <f>VLOOKUP(Table146810[[#This Row],[Man. Number]],Articles!A:J,COLUMN(Articles!$J$1)-COLUMN(Articles!$A$1)+1,FALSE)*Table146810[[#This Row],[Quantity]]</f>
        <v>#N/A</v>
      </c>
      <c r="I22" s="33">
        <f>Table146810[[#This Row],[Quantity]]*$M$1</f>
        <v>1</v>
      </c>
      <c r="J22" s="33" t="e">
        <f>IF(Table146810[[#This Row],[In stock]] &gt;= Table146810[[#This Row],[Total quantity]],"YES","NO")</f>
        <v>#N/A</v>
      </c>
    </row>
    <row r="23" spans="1:10" x14ac:dyDescent="0.25">
      <c r="A23" s="33" t="s">
        <v>132</v>
      </c>
      <c r="B23" s="4" t="e">
        <f>VLOOKUP(Table146810[[#This Row],[Man. Number]],Articles!A:F,COLUMN(Articles!$D$1)-COLUMN(Articles!$A$1)+1,FALSE)</f>
        <v>#N/A</v>
      </c>
      <c r="C23" s="4" t="e">
        <f>VLOOKUP(Table146810[[#This Row],[Man. Number]],Articles!A:F,COLUMN(Articles!$C$1)-COLUMN(Articles!$A$1)+1,FALSE)</f>
        <v>#N/A</v>
      </c>
      <c r="D23" s="4" t="s">
        <v>73</v>
      </c>
      <c r="E23" s="4">
        <v>1</v>
      </c>
      <c r="F23" s="4" t="e">
        <f>VLOOKUP(Table146810[[#This Row],[Man. Number]],Articles!A:F,COLUMN(Articles!$F$1)-COLUMN(Articles!$A$1)+1,FALSE)</f>
        <v>#N/A</v>
      </c>
      <c r="G23" s="4" t="e">
        <f>IF(Table146810[[#This Row],[In stock]] &gt;= Table146810[[#This Row],[Quantity]],"YES","NO")</f>
        <v>#N/A</v>
      </c>
      <c r="H23" s="3" t="e">
        <f>VLOOKUP(Table146810[[#This Row],[Man. Number]],Articles!A:J,COLUMN(Articles!$J$1)-COLUMN(Articles!$A$1)+1,FALSE)*Table146810[[#This Row],[Quantity]]</f>
        <v>#N/A</v>
      </c>
      <c r="I23" s="4">
        <f>Table146810[[#This Row],[Quantity]]*$M$1</f>
        <v>1</v>
      </c>
      <c r="J23" s="4" t="e">
        <f>IF(Table146810[[#This Row],[In stock]] &gt;= Table146810[[#This Row],[Total quantity]],"YES","NO")</f>
        <v>#N/A</v>
      </c>
    </row>
    <row r="24" spans="1:10" x14ac:dyDescent="0.25">
      <c r="A24" s="33" t="s">
        <v>135</v>
      </c>
      <c r="B24" s="33" t="e">
        <f>VLOOKUP(Table146810[[#This Row],[Man. Number]],Articles!A:F,COLUMN(Articles!$D$1)-COLUMN(Articles!$A$1)+1,FALSE)</f>
        <v>#N/A</v>
      </c>
      <c r="C24" s="33" t="e">
        <f>VLOOKUP(Table146810[[#This Row],[Man. Number]],Articles!A:F,COLUMN(Articles!$C$1)-COLUMN(Articles!$A$1)+1,FALSE)</f>
        <v>#N/A</v>
      </c>
      <c r="D24" s="4" t="s">
        <v>89</v>
      </c>
      <c r="E24" s="4">
        <v>1</v>
      </c>
      <c r="F24" s="4" t="e">
        <f>VLOOKUP(Table146810[[#This Row],[Man. Number]],Articles!A:F,COLUMN(Articles!$F$1)-COLUMN(Articles!$A$1)+1,FALSE)</f>
        <v>#N/A</v>
      </c>
      <c r="G24" s="33" t="e">
        <f>IF(Table146810[[#This Row],[In stock]] &gt;= Table146810[[#This Row],[Quantity]],"YES","NO")</f>
        <v>#N/A</v>
      </c>
      <c r="H24" s="3" t="e">
        <f>VLOOKUP(Table146810[[#This Row],[Man. Number]],Articles!A:J,COLUMN(Articles!$J$1)-COLUMN(Articles!$A$1)+1,FALSE)*Table146810[[#This Row],[Quantity]]</f>
        <v>#N/A</v>
      </c>
      <c r="I24" s="33">
        <f>Table146810[[#This Row],[Quantity]]*$M$1</f>
        <v>1</v>
      </c>
      <c r="J24" s="33" t="e">
        <f>IF(Table146810[[#This Row],[In stock]] &gt;= Table146810[[#This Row],[Total quantity]],"YES","NO")</f>
        <v>#N/A</v>
      </c>
    </row>
    <row r="25" spans="1:10" x14ac:dyDescent="0.25">
      <c r="A25" s="33" t="s">
        <v>36</v>
      </c>
      <c r="B25" s="33" t="e">
        <f>VLOOKUP(Table146810[[#This Row],[Man. Number]],Articles!A:F,COLUMN(Articles!$D$1)-COLUMN(Articles!$A$1)+1,FALSE)</f>
        <v>#N/A</v>
      </c>
      <c r="C25" s="33" t="e">
        <f>VLOOKUP(Table146810[[#This Row],[Man. Number]],Articles!A:F,COLUMN(Articles!$C$1)-COLUMN(Articles!$A$1)+1,FALSE)</f>
        <v>#N/A</v>
      </c>
      <c r="D25" s="4" t="s">
        <v>86</v>
      </c>
      <c r="E25" s="4">
        <v>1</v>
      </c>
      <c r="F25" s="33" t="e">
        <f>VLOOKUP(Table146810[[#This Row],[Man. Number]],Articles!A:F,COLUMN(Articles!$F$1)-COLUMN(Articles!$A$1)+1,FALSE)</f>
        <v>#N/A</v>
      </c>
      <c r="G25" s="33" t="e">
        <f>IF(Table146810[[#This Row],[In stock]] &gt;= Table146810[[#This Row],[Quantity]],"YES","NO")</f>
        <v>#N/A</v>
      </c>
      <c r="H25" s="3" t="e">
        <f>VLOOKUP(Table146810[[#This Row],[Man. Number]],Articles!A:J,COLUMN(Articles!$J$1)-COLUMN(Articles!$A$1)+1,FALSE)*Table146810[[#This Row],[Quantity]]</f>
        <v>#N/A</v>
      </c>
      <c r="I25" s="33">
        <f>Table146810[[#This Row],[Quantity]]*$M$1</f>
        <v>1</v>
      </c>
      <c r="J25" s="33" t="e">
        <f>IF(Table146810[[#This Row],[In stock]] &gt;= Table146810[[#This Row],[Total quantity]],"YES","NO")</f>
        <v>#N/A</v>
      </c>
    </row>
    <row r="26" spans="1:10" x14ac:dyDescent="0.25">
      <c r="A26" s="33" t="s">
        <v>133</v>
      </c>
      <c r="B26" s="33" t="e">
        <f>VLOOKUP(Table146810[[#This Row],[Man. Number]],Articles!A:F,COLUMN(Articles!$D$1)-COLUMN(Articles!$A$1)+1,FALSE)</f>
        <v>#N/A</v>
      </c>
      <c r="C26" s="33" t="e">
        <f>VLOOKUP(Table146810[[#This Row],[Man. Number]],Articles!A:F,COLUMN(Articles!$C$1)-COLUMN(Articles!$A$1)+1,FALSE)</f>
        <v>#N/A</v>
      </c>
      <c r="D26" s="4" t="s">
        <v>155</v>
      </c>
      <c r="E26" s="4">
        <v>1</v>
      </c>
      <c r="F26" s="4" t="e">
        <f>VLOOKUP(Table146810[[#This Row],[Man. Number]],Articles!A:F,COLUMN(Articles!$F$1)-COLUMN(Articles!$A$1)+1,FALSE)</f>
        <v>#N/A</v>
      </c>
      <c r="G26" s="33" t="e">
        <f>IF(Table146810[[#This Row],[In stock]] &gt;= Table146810[[#This Row],[Quantity]],"YES","NO")</f>
        <v>#N/A</v>
      </c>
      <c r="H26" s="3" t="e">
        <f>VLOOKUP(Table146810[[#This Row],[Man. Number]],Articles!A:J,COLUMN(Articles!$J$1)-COLUMN(Articles!$A$1)+1,FALSE)*Table146810[[#This Row],[Quantity]]</f>
        <v>#N/A</v>
      </c>
      <c r="I26" s="33">
        <f>Table146810[[#This Row],[Quantity]]*$M$1</f>
        <v>1</v>
      </c>
      <c r="J26" s="33" t="e">
        <f>IF(Table146810[[#This Row],[In stock]] &gt;= Table146810[[#This Row],[Total quantity]],"YES","NO")</f>
        <v>#N/A</v>
      </c>
    </row>
    <row r="27" spans="1:10" x14ac:dyDescent="0.25">
      <c r="A27" s="33" t="s">
        <v>121</v>
      </c>
      <c r="G27" s="4"/>
      <c r="H27" s="4" t="e">
        <f>SUBTOTAL(109,Table146810[Unit Price])</f>
        <v>#N/A</v>
      </c>
      <c r="I27" s="4"/>
      <c r="J27" s="4"/>
    </row>
  </sheetData>
  <sheetProtection sheet="1" objects="1" scenarios="1"/>
  <conditionalFormatting sqref="G1:H1048576 J1:J1048576">
    <cfRule type="containsText" dxfId="8" priority="7" operator="containsText" text="NO">
      <formula>NOT(ISERROR(SEARCH("NO",G1)))</formula>
    </cfRule>
  </conditionalFormatting>
  <conditionalFormatting sqref="A1:A1048576">
    <cfRule type="duplicateValues" dxfId="7" priority="5"/>
  </conditionalFormatting>
  <conditionalFormatting sqref="N1">
    <cfRule type="cellIs" dxfId="6" priority="2" stopIfTrue="1" operator="equal">
      <formula>"Locked"</formula>
    </cfRule>
    <cfRule type="cellIs" dxfId="5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>
    <tabColor rgb="FF92D050"/>
  </sheetPr>
  <dimension ref="A1:N3"/>
  <sheetViews>
    <sheetView zoomScaleNormal="100" workbookViewId="0">
      <pane ySplit="1" topLeftCell="A2" activePane="bottomLeft" state="frozen"/>
      <selection pane="bottomLeft" activeCell="I2" sqref="I2"/>
    </sheetView>
  </sheetViews>
  <sheetFormatPr defaultColWidth="9.140625" defaultRowHeight="15" x14ac:dyDescent="0.25"/>
  <cols>
    <col min="1" max="1" width="25.7109375" style="3" customWidth="1"/>
    <col min="2" max="2" width="80.85546875" style="4" bestFit="1" customWidth="1"/>
    <col min="3" max="3" width="11.42578125" style="4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">
        <v>1</v>
      </c>
      <c r="N1" t="s">
        <v>222</v>
      </c>
    </row>
    <row r="2" spans="1:14" x14ac:dyDescent="0.25">
      <c r="A2" s="3" t="s">
        <v>100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101</v>
      </c>
      <c r="E2" s="4" t="s">
        <v>99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121</v>
      </c>
      <c r="G3" s="4"/>
      <c r="H3" s="33" t="e">
        <f>SUBTOTAL(109,Table1468[Unit Price])</f>
        <v>#N/A</v>
      </c>
      <c r="I3" s="4"/>
      <c r="J3" s="4"/>
    </row>
  </sheetData>
  <conditionalFormatting sqref="G1:H1048576 J1:J1048576">
    <cfRule type="containsText" dxfId="4" priority="5" operator="containsText" text="NO">
      <formula>NOT(ISERROR(SEARCH("NO",G1)))</formula>
    </cfRule>
  </conditionalFormatting>
  <conditionalFormatting sqref="A1:A1048576">
    <cfRule type="duplicateValues" dxfId="3" priority="3"/>
  </conditionalFormatting>
  <conditionalFormatting sqref="N1">
    <cfRule type="cellIs" dxfId="2" priority="1" stopIfTrue="1" operator="equal">
      <formula>"Locked"</formula>
    </cfRule>
    <cfRule type="cellIs" dxfId="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428625</xdr:colOff>
                    <xdr:row>2</xdr:row>
                    <xdr:rowOff>0</xdr:rowOff>
                  </from>
                  <to>
                    <xdr:col>13</xdr:col>
                    <xdr:colOff>381000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428625</xdr:colOff>
                    <xdr:row>5</xdr:row>
                    <xdr:rowOff>0</xdr:rowOff>
                  </from>
                  <to>
                    <xdr:col>13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3:C7"/>
  <sheetViews>
    <sheetView workbookViewId="0">
      <selection activeCell="C3" sqref="C3"/>
    </sheetView>
  </sheetViews>
  <sheetFormatPr defaultColWidth="9.140625" defaultRowHeight="15" x14ac:dyDescent="0.25"/>
  <cols>
    <col min="1" max="1" width="8.28515625" bestFit="1" customWidth="1"/>
    <col min="2" max="2" width="24.5703125" bestFit="1" customWidth="1"/>
    <col min="3" max="3" width="25.85546875" bestFit="1" customWidth="1"/>
  </cols>
  <sheetData>
    <row r="3" spans="1:3" s="32" customFormat="1" ht="15" customHeight="1" x14ac:dyDescent="0.35"/>
    <row r="6" spans="1:3" x14ac:dyDescent="0.25">
      <c r="A6" t="s">
        <v>54</v>
      </c>
      <c r="B6" t="s">
        <v>55</v>
      </c>
      <c r="C6" t="s">
        <v>56</v>
      </c>
    </row>
    <row r="7" spans="1:3" x14ac:dyDescent="0.25">
      <c r="A7" s="41">
        <v>100</v>
      </c>
      <c r="B7" t="s">
        <v>296</v>
      </c>
      <c r="C7" t="s">
        <v>297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5"/>
  <sheetViews>
    <sheetView workbookViewId="0">
      <selection activeCell="I23" sqref="I23"/>
    </sheetView>
  </sheetViews>
  <sheetFormatPr defaultColWidth="9.140625"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7" t="s">
        <v>98</v>
      </c>
      <c r="B2" s="67"/>
      <c r="C2" s="67"/>
      <c r="D2" s="67"/>
      <c r="F2" s="68" t="str">
        <f>IF(ISNUMBER(C5),"","Man. Number must be set")</f>
        <v/>
      </c>
      <c r="G2" s="68"/>
      <c r="H2" s="68"/>
      <c r="O2" s="67" t="s">
        <v>298</v>
      </c>
      <c r="P2" s="67"/>
      <c r="Q2" s="67"/>
      <c r="R2" s="67"/>
    </row>
    <row r="4" spans="1:23" x14ac:dyDescent="0.25">
      <c r="A4" s="14" t="s">
        <v>37</v>
      </c>
      <c r="B4" s="14" t="s">
        <v>63</v>
      </c>
      <c r="C4" s="14" t="s">
        <v>172</v>
      </c>
      <c r="D4" s="14" t="s">
        <v>6</v>
      </c>
      <c r="E4" s="14" t="s">
        <v>4</v>
      </c>
      <c r="F4" s="14" t="s">
        <v>2</v>
      </c>
      <c r="G4" s="14" t="s">
        <v>7</v>
      </c>
      <c r="H4" s="14" t="s">
        <v>62</v>
      </c>
      <c r="O4" s="13" t="s">
        <v>95</v>
      </c>
      <c r="P4" t="s">
        <v>37</v>
      </c>
      <c r="Q4" t="s">
        <v>63</v>
      </c>
      <c r="R4" t="s">
        <v>0</v>
      </c>
      <c r="S4" t="s">
        <v>6</v>
      </c>
      <c r="T4" t="s">
        <v>4</v>
      </c>
      <c r="U4" t="s">
        <v>2</v>
      </c>
      <c r="V4" t="s">
        <v>7</v>
      </c>
      <c r="W4" t="s">
        <v>62</v>
      </c>
    </row>
    <row r="5" spans="1:23" x14ac:dyDescent="0.25">
      <c r="A5" s="12">
        <v>2</v>
      </c>
      <c r="B5" s="12">
        <v>4</v>
      </c>
      <c r="C5" s="12">
        <v>3</v>
      </c>
      <c r="D5" s="12" t="s">
        <v>61</v>
      </c>
      <c r="E5" s="12" t="s">
        <v>32</v>
      </c>
      <c r="F5" s="12">
        <v>5</v>
      </c>
      <c r="G5" s="12">
        <v>8</v>
      </c>
      <c r="H5" s="12">
        <v>2</v>
      </c>
      <c r="O5" s="7"/>
      <c r="P5" s="7">
        <v>2</v>
      </c>
      <c r="Q5" s="7">
        <v>4</v>
      </c>
      <c r="R5" s="7">
        <v>3</v>
      </c>
      <c r="S5" s="7" t="s">
        <v>61</v>
      </c>
      <c r="T5" s="7" t="s">
        <v>32</v>
      </c>
      <c r="U5" s="7">
        <v>5</v>
      </c>
      <c r="V5" s="7">
        <v>8</v>
      </c>
      <c r="W5" s="7">
        <v>2</v>
      </c>
    </row>
    <row r="8" spans="1:23" x14ac:dyDescent="0.25">
      <c r="O8" s="13" t="s">
        <v>116</v>
      </c>
      <c r="P8" t="s">
        <v>37</v>
      </c>
      <c r="Q8" t="s">
        <v>63</v>
      </c>
      <c r="R8" t="s">
        <v>0</v>
      </c>
      <c r="S8" t="s">
        <v>6</v>
      </c>
      <c r="T8" t="s">
        <v>4</v>
      </c>
      <c r="U8" t="s">
        <v>2</v>
      </c>
      <c r="V8" t="s">
        <v>7</v>
      </c>
      <c r="W8" t="s">
        <v>62</v>
      </c>
    </row>
    <row r="9" spans="1:23" x14ac:dyDescent="0.25">
      <c r="O9" s="19"/>
      <c r="P9" s="19">
        <v>8</v>
      </c>
      <c r="Q9" s="19">
        <v>3</v>
      </c>
      <c r="R9" s="19">
        <v>1</v>
      </c>
      <c r="S9" s="19">
        <v>2</v>
      </c>
      <c r="T9" s="19" t="s">
        <v>32</v>
      </c>
      <c r="U9" s="19">
        <v>13</v>
      </c>
      <c r="V9" s="19">
        <v>9</v>
      </c>
      <c r="W9" s="19">
        <v>2</v>
      </c>
    </row>
    <row r="11" spans="1:23" x14ac:dyDescent="0.25">
      <c r="O11" s="13" t="s">
        <v>174</v>
      </c>
      <c r="P11" s="37" t="s">
        <v>37</v>
      </c>
      <c r="Q11" s="37" t="s">
        <v>63</v>
      </c>
      <c r="R11" s="37" t="s">
        <v>0</v>
      </c>
      <c r="S11" s="37" t="s">
        <v>6</v>
      </c>
      <c r="T11" s="37" t="s">
        <v>4</v>
      </c>
      <c r="U11" s="37" t="s">
        <v>2</v>
      </c>
      <c r="V11" s="37" t="s">
        <v>7</v>
      </c>
      <c r="W11" s="37" t="s">
        <v>62</v>
      </c>
    </row>
    <row r="12" spans="1:23" x14ac:dyDescent="0.25">
      <c r="P12" s="37" t="s">
        <v>173</v>
      </c>
      <c r="Q12" s="37">
        <v>4</v>
      </c>
      <c r="R12" s="37">
        <v>3</v>
      </c>
      <c r="S12" s="37">
        <v>5</v>
      </c>
      <c r="T12" s="37" t="s">
        <v>32</v>
      </c>
      <c r="U12" s="37">
        <v>6</v>
      </c>
      <c r="V12" s="37">
        <v>9</v>
      </c>
      <c r="W12" s="37">
        <v>2</v>
      </c>
    </row>
    <row r="14" spans="1:23" x14ac:dyDescent="0.25">
      <c r="O14" s="13" t="s">
        <v>265</v>
      </c>
      <c r="P14" s="46" t="s">
        <v>37</v>
      </c>
      <c r="Q14" s="46" t="s">
        <v>63</v>
      </c>
      <c r="R14" s="46" t="s">
        <v>0</v>
      </c>
      <c r="S14" s="46" t="s">
        <v>6</v>
      </c>
      <c r="T14" s="46" t="s">
        <v>4</v>
      </c>
      <c r="U14" s="46" t="s">
        <v>2</v>
      </c>
      <c r="V14" s="46" t="s">
        <v>7</v>
      </c>
      <c r="W14" s="46" t="s">
        <v>62</v>
      </c>
    </row>
    <row r="15" spans="1:23" x14ac:dyDescent="0.25">
      <c r="P15" s="46" t="s">
        <v>173</v>
      </c>
      <c r="Q15" s="46">
        <v>4</v>
      </c>
      <c r="R15" s="46">
        <v>3</v>
      </c>
      <c r="S15" s="46">
        <v>5</v>
      </c>
      <c r="T15" s="46" t="s">
        <v>32</v>
      </c>
      <c r="U15" s="46">
        <v>6</v>
      </c>
      <c r="V15" s="46">
        <v>9</v>
      </c>
      <c r="W15" s="46">
        <v>2</v>
      </c>
    </row>
  </sheetData>
  <mergeCells count="3">
    <mergeCell ref="A2:D2"/>
    <mergeCell ref="F2:H2"/>
    <mergeCell ref="O2:R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G26" sqref="G26"/>
    </sheetView>
  </sheetViews>
  <sheetFormatPr defaultColWidth="20.7109375" defaultRowHeight="15" x14ac:dyDescent="0.25"/>
  <cols>
    <col min="2" max="4" width="20.7109375" style="15"/>
    <col min="5" max="5" width="35.42578125" style="15" bestFit="1" customWidth="1"/>
    <col min="6" max="12" width="20.7109375" style="15"/>
    <col min="14" max="16384" width="20.7109375" style="15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USB_Tool_v4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2020-10-26T15:10:02Z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