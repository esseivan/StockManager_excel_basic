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pps\StockManager_excel\"/>
    </mc:Choice>
  </mc:AlternateContent>
  <xr:revisionPtr revIDLastSave="0" documentId="13_ncr:1_{7B1EFA23-D164-49F3-BDBA-12CDE8908925}" xr6:coauthVersionLast="45" xr6:coauthVersionMax="45" xr10:uidLastSave="{00000000-0000-0000-0000-000000000000}"/>
  <bookViews>
    <workbookView xWindow="28680" yWindow="-120" windowWidth="29040" windowHeight="15840" firstSheet="2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1" sheetId="16" state="hidden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8" hidden="1">ProductTemplate!$A$1:$F$2</definedName>
    <definedName name="_xlnm._FilterDatabase" localSheetId="7" hidden="1">USB_Tool_v1!$A$1:$F$26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2" i="19" l="1"/>
  <c r="AI2" i="19"/>
  <c r="AF2" i="19"/>
  <c r="AC2" i="19"/>
  <c r="K3" i="15"/>
  <c r="J3" i="15"/>
  <c r="K2" i="15"/>
  <c r="J2" i="15"/>
  <c r="W2" i="19" l="1"/>
  <c r="T2" i="19"/>
  <c r="Q2" i="19"/>
  <c r="N2" i="19" l="1"/>
  <c r="K2" i="19" l="1"/>
  <c r="AS2" i="19" l="1"/>
  <c r="AQ2" i="19"/>
  <c r="X2" i="19" l="1"/>
  <c r="Z2" i="19" s="1"/>
  <c r="AM2" i="19" l="1"/>
  <c r="L3" i="15" l="1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C19" i="20"/>
  <c r="C11" i="20"/>
  <c r="C3" i="20"/>
  <c r="C26" i="3"/>
  <c r="C18" i="3"/>
  <c r="C10" i="3"/>
  <c r="C25" i="16"/>
  <c r="C17" i="16"/>
  <c r="F2" i="16"/>
  <c r="G2" i="16" s="1"/>
  <c r="C29" i="20"/>
  <c r="C27" i="20"/>
  <c r="C26" i="20"/>
  <c r="C18" i="20"/>
  <c r="C10" i="20"/>
  <c r="C33" i="3"/>
  <c r="C25" i="3"/>
  <c r="C17" i="3"/>
  <c r="C9" i="3"/>
  <c r="C24" i="16"/>
  <c r="C16" i="16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J2" i="16" l="1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E33" i="21" l="1"/>
  <c r="B12" i="21" l="1"/>
  <c r="F12" i="21"/>
  <c r="G12" i="21" s="1"/>
  <c r="I12" i="21"/>
  <c r="J12" i="21" l="1"/>
  <c r="B15" i="21" l="1"/>
  <c r="B14" i="21"/>
  <c r="F14" i="21"/>
  <c r="G14" i="21" s="1"/>
  <c r="I14" i="21"/>
  <c r="J14" i="21" l="1"/>
  <c r="B5" i="21" l="1"/>
  <c r="F5" i="21"/>
  <c r="G5" i="21" s="1"/>
  <c r="I5" i="21"/>
  <c r="H5" i="21" l="1"/>
  <c r="J5" i="21"/>
  <c r="E31" i="21" l="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I2" i="19"/>
  <c r="J2" i="19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14" i="21" l="1"/>
  <c r="H19" i="16"/>
  <c r="H16" i="16"/>
  <c r="H7" i="16"/>
  <c r="H6" i="16"/>
  <c r="H18" i="16"/>
  <c r="H15" i="16"/>
  <c r="H9" i="16"/>
  <c r="H3" i="16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12" i="21"/>
  <c r="H27" i="3"/>
  <c r="H16" i="3"/>
  <c r="H15" i="21"/>
  <c r="H26" i="16"/>
  <c r="H10" i="21"/>
  <c r="H25" i="16"/>
  <c r="H12" i="16"/>
  <c r="H26" i="21"/>
  <c r="H24" i="16"/>
  <c r="H10" i="16"/>
  <c r="H27" i="21"/>
  <c r="H11" i="16"/>
  <c r="H23" i="16"/>
  <c r="H8" i="21"/>
  <c r="H14" i="16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5" i="21" l="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sharedStrings.xml><?xml version="1.0" encoding="utf-8"?>
<sst xmlns="http://schemas.openxmlformats.org/spreadsheetml/2006/main" count="491" uniqueCount="256">
  <si>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</si>
  <si>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</si>
  <si>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</si>
  <si>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</si>
  <si>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</si>
  <si>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</si>
  <si>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</si>
  <si>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</si>
  <si>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</si>
  <si>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</si>
  <si>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</si>
  <si>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</si>
  <si>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</si>
  <si>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</si>
  <si>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</si>
  <si>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</si>
  <si>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</si>
  <si>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</si>
  <si>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</si>
  <si>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</si>
  <si>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</si>
  <si>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</si>
  <si>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</si>
  <si>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</si>
  <si>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</si>
  <si>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</si>
  <si>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</si>
  <si>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</si>
  <si>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</si>
  <si>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</si>
  <si>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</si>
  <si>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</si>
  <si>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</si>
  <si>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</si>
  <si>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</si>
  <si>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</si>
  <si>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</si>
  <si>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</si>
  <si>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</si>
  <si>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</si>
  <si>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</si>
  <si>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</si>
  <si>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</si>
  <si>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</si>
  <si>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</si>
  <si>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</si>
  <si>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</si>
  <si>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</si>
  <si>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</si>
  <si>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</si>
  <si>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</si>
  <si>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</si>
  <si>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</si>
  <si>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</si>
  <si>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</si>
  <si>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</si>
  <si>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</si>
  <si>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</si>
  <si>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</si>
  <si>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</si>
  <si>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</si>
  <si>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</si>
  <si>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</si>
  <si>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</si>
  <si>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</si>
  <si>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</si>
  <si>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</si>
  <si>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</si>
  <si>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</si>
  <si>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</si>
  <si>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</si>
  <si>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</si>
  <si>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</si>
  <si>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</si>
  <si>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</si>
  <si>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</si>
  <si>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</si>
  <si>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</si>
  <si>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</si>
  <si>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</si>
  <si>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</si>
  <si>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</si>
  <si>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</si>
  <si>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</si>
  <si>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</si>
  <si>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</si>
  <si>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</si>
  <si>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</si>
  <si>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</si>
  <si>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</si>
  <si>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</si>
  <si>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</si>
  <si>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</si>
  <si>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</si>
  <si>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</si>
  <si>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</si>
  <si>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</si>
  <si>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</si>
  <si>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</si>
  <si>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</si>
  <si>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</si>
  <si>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</si>
  <si>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</si>
  <si>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E-PCB-000</t>
  </si>
  <si>
    <t>E-PCB-001</t>
  </si>
  <si>
    <t>E-PCB-002</t>
  </si>
  <si>
    <t>E-PCB-003</t>
  </si>
  <si>
    <t>E-PCB-004</t>
  </si>
  <si>
    <t>Min in stock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</si>
  <si>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</si>
  <si>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</si>
  <si>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</si>
  <si>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</si>
  <si>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</si>
  <si>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</si>
  <si>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</si>
  <si>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</si>
  <si>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</si>
  <si>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</si>
  <si>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</si>
  <si>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</si>
  <si>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</si>
  <si>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</si>
  <si>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</si>
  <si>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</si>
  <si>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</si>
  <si>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</si>
  <si>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</si>
  <si>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</si>
  <si>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</si>
  <si>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</si>
  <si>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</si>
  <si>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</si>
  <si>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</si>
  <si>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</si>
  <si>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</si>
  <si>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</si>
  <si>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</si>
  <si>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</si>
  <si>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</si>
  <si>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</si>
  <si>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</si>
  <si>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</si>
  <si>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</si>
  <si>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</si>
  <si>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</si>
  <si>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</si>
  <si>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</si>
  <si>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</si>
  <si>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</si>
  <si>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</si>
  <si>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</si>
  <si>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</si>
  <si>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</si>
  <si>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</si>
  <si>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</si>
  <si>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</si>
  <si>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</si>
  <si>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</si>
  <si>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</si>
  <si>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</si>
  <si>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</si>
  <si>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</si>
  <si>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</si>
  <si>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</si>
  <si>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</si>
  <si>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</si>
  <si>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</si>
  <si>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</si>
  <si>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</si>
  <si>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</si>
  <si>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</si>
  <si>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</si>
  <si>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</si>
  <si>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</si>
  <si>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</si>
  <si>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</si>
  <si>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</si>
  <si>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</si>
  <si>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</si>
  <si>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</si>
  <si>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</si>
  <si>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</si>
  <si>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</si>
  <si>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</si>
  <si>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</si>
  <si>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</si>
  <si>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</si>
  <si>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</si>
  <si>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</si>
  <si>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</si>
  <si>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</si>
  <si>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</si>
  <si>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</si>
  <si>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</si>
  <si>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</si>
  <si>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</si>
  <si>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</si>
  <si>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</si>
  <si>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</si>
  <si>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</si>
  <si>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</si>
  <si>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</si>
  <si>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</si>
  <si>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</si>
  <si>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</si>
  <si>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</si>
  <si>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</si>
  <si>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</si>
  <si>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</si>
  <si>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</si>
  <si>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</si>
  <si>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</si>
  <si>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</si>
  <si>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</si>
  <si>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</si>
  <si>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</si>
  <si>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</si>
  <si>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</si>
  <si>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</si>
  <si>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50M040070D008</t>
  </si>
  <si>
    <t>R3,R8,R9,R12</t>
  </si>
  <si>
    <t>R4,R5</t>
  </si>
  <si>
    <t>R7</t>
  </si>
  <si>
    <t>R10</t>
  </si>
  <si>
    <t>W3..5,X2</t>
  </si>
  <si>
    <t>C1,C7,C9,C10</t>
  </si>
  <si>
    <t>C3..6,C8,C11,C12</t>
  </si>
  <si>
    <t>D200-XXXX</t>
  </si>
  <si>
    <t>D500-XXXX</t>
  </si>
  <si>
    <t>D501-XXXX</t>
  </si>
  <si>
    <t>D0XX-XXXX</t>
  </si>
  <si>
    <t>D1XX-XXXX</t>
  </si>
  <si>
    <t>E-PCB-000-005</t>
  </si>
  <si>
    <t>ESR10EZPJ332</t>
  </si>
  <si>
    <t>Dgikey Table 2</t>
  </si>
  <si>
    <t>Obsolete</t>
  </si>
  <si>
    <t>Obsolete_Hidden</t>
  </si>
  <si>
    <t>Locked</t>
  </si>
  <si>
    <t>ProductTemplate</t>
  </si>
  <si>
    <t>Product Template</t>
  </si>
  <si>
    <t>BricoEtLoisirs</t>
  </si>
  <si>
    <t>Bauhaus</t>
  </si>
  <si>
    <t>Unit Price - Bauhaus</t>
  </si>
  <si>
    <t>Unit price - BricoEtLoisirs2</t>
  </si>
  <si>
    <t>Link - Bauhaus</t>
  </si>
  <si>
    <t>Link - BricoEtLoisirs</t>
  </si>
  <si>
    <t>Link  - Aliexpress</t>
  </si>
  <si>
    <t>Link - Banggood</t>
  </si>
  <si>
    <t>Link - Other</t>
  </si>
  <si>
    <t>Link - Distrelec</t>
  </si>
  <si>
    <t>Link - Farnell</t>
  </si>
  <si>
    <t>Link - Digikey</t>
  </si>
  <si>
    <t>Link - Conrad</t>
  </si>
  <si>
    <t>Link - Mouser</t>
  </si>
  <si>
    <t>Default Retailer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</si>
</sst>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0" xfId="0" applyFont="1" applyFill="1" applyAlignment="1">
      <alignment horizontal="left"/>
    </xf>
    <xf numFmtId="2" fontId="6" fillId="0" borderId="4" xfId="2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applyNumberFormat="1" applyFont="1" applyFill="1" applyAlignment="1">
      <alignment vertical="center" wrapText="1"/>
    </xf>
    <xf numFmtId="0" fontId="0" fillId="0" borderId="0" xfId="0" applyNumberForma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7" borderId="0" xfId="0" applyNumberFormat="1" applyFont="1" applyFill="1" applyBorder="1" applyAlignment="1">
      <alignment vertical="center" wrapText="1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2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267"/>
      <tableStyleElement type="headerRow" dxfId="266"/>
    </tableStyle>
  </tableStyles>
  <colors>
    <mruColors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" totalsRowShown="0" headerRowDxfId="265">
  <autoFilter ref="A1:F2" xr:uid="{BDAE12D6-129D-4B55-B01B-D1493E590308}"/>
  <tableColumns count="6">
    <tableColumn id="1" xr3:uid="{F20AB9A4-F1CA-4493-AFCA-1ECFD6C72926}" name="Date" dataDxfId="264"/>
    <tableColumn id="2" xr3:uid="{9E5C5770-C960-45BB-8115-75DB62A3B16C}" name="Article Number" dataDxfId="263"/>
    <tableColumn id="5" xr3:uid="{16BFD56B-B56A-4848-9201-68C2F28CFA64}" name="Modification" dataDxfId="262"/>
    <tableColumn id="3" xr3:uid="{10BA92E7-A8AC-46B9-9939-48EDBF630513}" name="Stock Before" dataDxfId="261"/>
    <tableColumn id="4" xr3:uid="{89A58CF5-EDCB-4EF1-963E-E9EB1A0CCFEF}" name="Stock After" dataDxfId="260"/>
    <tableColumn id="6" xr3:uid="{FF179CF1-10A5-4445-94E5-D3770F8EB2DA}" name="INFO" dataDxfId="259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58" dataDxfId="256" headerRowBorderDxfId="257" tableBorderDxfId="255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54" totalsRowDxfId="98"/>
    <tableColumn id="1" xr3:uid="{B10D53AF-03D1-4287-B98C-B2EBD99019D4}" name="Ret. Art. Number" dataDxfId="253" totalsRowDxfId="97"/>
    <tableColumn id="3" xr3:uid="{4C487402-2AAB-4AF3-BE67-7394C36C842C}" name="Manufacturer" dataDxfId="252" totalsRowDxfId="96"/>
    <tableColumn id="4" xr3:uid="{8EC0DC8E-76AD-4B9F-83B7-1A0DD14BB27F}" name="Retailer" dataDxfId="251" totalsRowDxfId="95"/>
    <tableColumn id="5" xr3:uid="{F034F88F-58E3-461F-AA98-A329A317450C}" name="Place" dataDxfId="250" totalsRowDxfId="94"/>
    <tableColumn id="6" xr3:uid="{270626A5-5AC9-4B4B-BFA1-CB61FB278FF7}" name="Description" dataDxfId="249" totalsRowDxfId="93"/>
    <tableColumn id="7" xr3:uid="{6AED47F2-55E6-446F-831B-A118A7B0B1ED}" name="In stock" dataDxfId="248" totalsRowDxfId="92"/>
    <tableColumn id="8" xr3:uid="{AC92F839-E54E-493C-ABE5-5E0757E61859}" name="Min Stock" dataDxfId="247" totalsRowDxfId="91"/>
    <tableColumn id="11" xr3:uid="{FA19872E-A366-497E-9D69-828A97ECF042}" name="Unit price" dataDxfId="246" totalsRowDxfId="90"/>
    <tableColumn id="13" xr3:uid="{EA825846-8448-46C3-B6A4-847B2F364E4E}" name="Quantity" dataDxfId="245" totalsRowDxfId="8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44" totalsRowDxfId="88">
      <calculatedColumnFormula>Table8[[#This Row],[Quantity]]*Table8[[#This Row],[Unit price]]</calculatedColumnFormula>
    </tableColumn>
    <tableColumn id="9" xr3:uid="{CF148814-A309-4554-8503-283AD3C9BC12}" name="Bulk Add" dataDxfId="243" totalsRowDxfId="87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S2" totalsRowShown="0" headerRowDxfId="86" dataDxfId="85" tableBorderDxfId="84">
  <autoFilter ref="A1:AS2" xr:uid="{D4CB05D4-73DA-43F1-913F-071595400883}"/>
  <tableColumns count="45">
    <tableColumn id="1" xr3:uid="{435165AF-465B-418C-8DDE-9CFA2D278BBE}" name="Art. Number" dataDxfId="82" totalsRowDxfId="83"/>
    <tableColumn id="2" xr3:uid="{FBC6B9C9-57F8-45DA-AF22-C249E2B185F4}" name="Manufacturer" dataDxfId="80" totalsRowDxfId="81"/>
    <tableColumn id="3" xr3:uid="{288AF9C9-A6A1-4913-A84A-1B41F0951CD7}" name="Place" dataDxfId="78" totalsRowDxfId="79"/>
    <tableColumn id="4" xr3:uid="{991CB349-C1A2-4024-AD86-41FE070F01AA}" name="Description" dataDxfId="76" totalsRowDxfId="77"/>
    <tableColumn id="28" xr3:uid="{2D19DEDD-0807-4720-910B-711676B70DD0}" name="Category" dataDxfId="75"/>
    <tableColumn id="5" xr3:uid="{AF531B20-C2C7-43E4-88F6-C002EAFA6EF0}" name="In stock" dataDxfId="73" totalsRowDxfId="74"/>
    <tableColumn id="6" xr3:uid="{4AE22FEC-1D74-4166-880B-DE3C3B0F48C3}" name="Min in stock" dataDxfId="71" totalsRowDxfId="72"/>
    <tableColumn id="7" xr3:uid="{DDF25EC9-10A6-4A51-A3FF-5F173DC0429C}" name="Auto Order" dataDxfId="69" totalsRowDxfId="70"/>
    <tableColumn id="8" xr3:uid="{8FB77B6F-1796-445F-A628-6683E80A406B}" name="Default Art. Number" dataDxfId="67" totalsRowDxfId="68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65" totalsRowDxfId="66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63" totalsRowDxfId="64">
      <calculatedColumnFormula>TRIM(IF(Table1[[#This Row],[Digikey]] &lt;&gt; "", Table1[[#Headers],[Digikey]],
IF(Table1[[#This Row],[Farnell]] &lt;&gt; "", " " &amp; Table1[[#Headers],[Farnell]],
IF(Table1[[#This Row],[Distrelec]] &lt;&gt; "",  " " &amp; Table1[[#Headers],[Distrelec]],
IF(Table1[[#This Row],[Conrad]] &lt;&gt; "", " " &amp; Table1[[#Headers],[Conrad]],
IF(Table1[[#This Row],[Mouser]] &lt;&gt; "", " " &amp; Table1[[#Headers],[Mouser]],
IF(Table1[[#This Row],[Aliexpress]] &lt;&gt; "", " " &amp; Table1[[#Headers],[Aliexpress]],
IF(Table1[[#This Row],[Banggood]] &lt;&gt; "", " " &amp; Table1[[#Headers],[Banggood]],
IF(Table1[[#This Row],[Other - Name]] &lt;&gt; "", " " &amp; Table1[[#This Row],[Other - Name]],"")))))))))</calculatedColumnFormula>
    </tableColumn>
    <tableColumn id="10" xr3:uid="{7E60C342-9987-408E-8654-849687FC9CF5}" name="Digikey" dataDxfId="61" totalsRowDxfId="62"/>
    <tableColumn id="11" xr3:uid="{904ACEAE-3EBB-4B5A-B40F-F27BEC67197D}" name="Unit price - Digikey" dataDxfId="59" totalsRowDxfId="60"/>
    <tableColumn id="32" xr3:uid="{45FA2355-0EA6-47F8-9FAD-B42EBD381C73}" name="Link - Digikey" dataDxfId="58">
      <calculatedColumnFormula>IF(Table1[[#This Row],[Digikey]]="","", HYPERLINK(_xlfn.CONCAT("https://www.digikey.ch/products/en?keywords=",Table1[[#This Row],[Digikey]]),_xlfn.CONCAT("Link (",Table1[[#This Row],[Digikey]],")")))</calculatedColumnFormula>
    </tableColumn>
    <tableColumn id="12" xr3:uid="{1C8E6FC8-F976-4331-BE85-AE9F5CCE5385}" name="Farnell" dataDxfId="56" totalsRowDxfId="57"/>
    <tableColumn id="13" xr3:uid="{9CEB0B0D-E776-4EE1-BA17-F20F36573DF1}" name="Unit price - Farnell" dataDxfId="54" totalsRowDxfId="55"/>
    <tableColumn id="33" xr3:uid="{6F96AC2E-56BF-46DC-AEE2-BDAD1EA4958C}" name="Link - Farnell" dataDxfId="52" totalsRowDxfId="53" dataCellStyle="Hyperlink">
      <calculatedColumnFormula>IF(Table1[[#This Row],[Farnell]]="","", HYPERLINK(_xlfn.CONCAT("https://ch.farnell.com/fr-CH/",Table1[[#This Row],[Farnell]]),_xlfn.CONCAT("Link (",Table1[[#This Row],[Farnell]],")")))</calculatedColumnFormula>
    </tableColumn>
    <tableColumn id="14" xr3:uid="{4835AE8C-6AA4-4E3D-AA3C-47D081785B10}" name="Distrelec" dataDxfId="50" totalsRowDxfId="51"/>
    <tableColumn id="15" xr3:uid="{CFC19F72-EB6A-4DA4-8140-6E03AC8C87E2}" name="Unit price - Distrelec" dataDxfId="48" totalsRowDxfId="49"/>
    <tableColumn id="34" xr3:uid="{F8DCF171-019A-452C-80C5-7F11F4E76CFD}" name="Link - Distrelec" dataDxfId="46" totalsRowDxfId="47">
      <calculatedColumnFormula>IF(Table1[[#This Row],[Distrelec]]="","", HYPERLINK(_xlfn.CONCAT("https://www.distrelec.ch/search?q=",Table1[[#This Row],[Distrelec]]),_xlfn.CONCAT("Link (",Table1[[#This Row],[Distrelec]],")")))</calculatedColumnFormula>
    </tableColumn>
    <tableColumn id="16" xr3:uid="{440F2FEC-A527-4DB9-8F02-E02C455DD168}" name="Conrad" dataDxfId="44" totalsRowDxfId="45"/>
    <tableColumn id="17" xr3:uid="{C15F9ED7-FCDD-4ED8-8193-766AD4AACE12}" name="Unit price - Conrad" dataDxfId="43"/>
    <tableColumn id="35" xr3:uid="{5DAB5EC4-A32D-4E8E-B16C-0255051FE31B}" name="Link - Conrad" dataDxfId="41" totalsRowDxfId="42" dataCellStyle="Hyperlink">
      <calculatedColumnFormula>IF(Table1[[#This Row],[Conrad]]="","", HYPERLINK(_xlfn.CONCAT("https://www.conrad.ch/fr/p/",Table1[[#This Row],[Conrad]]),_xlfn.CONCAT("Link (",Table1[[#This Row],[Conrad]],")")))</calculatedColumnFormula>
    </tableColumn>
    <tableColumn id="18" xr3:uid="{E8BE4F49-80E3-4D58-8712-2588048DD5B2}" name="Mouser" dataDxfId="39" totalsRowDxfId="40"/>
    <tableColumn id="19" xr3:uid="{71B82CF1-AA7C-485A-B22F-DFCA002E3E0B}" name="Unit price - Mouser" dataDxfId="37" totalsRowDxfId="38"/>
    <tableColumn id="36" xr3:uid="{303C132D-F5C3-4AA3-B1D4-5BA3491DC888}" name="Link - Mouser" dataDxfId="35" totalsRowDxfId="36" dataCellStyle="Hyperlink">
      <calculatedColumnFormula>IF(Table1[[#This Row],[Mouser]]="","", HYPERLINK(_xlfn.CONCAT("https://www.mouser.ch/ProductDetail/",Table1[[#This Row],[Mouser]]),_xlfn.CONCAT("Link (",Table1[[#This Row],[Mouser]],")")))</calculatedColumnFormula>
    </tableColumn>
    <tableColumn id="40" xr3:uid="{1437B1A9-7DDB-4ADB-8CA1-00D3011DE7D3}" name="Bauhaus" dataDxfId="33" totalsRowDxfId="34"/>
    <tableColumn id="41" xr3:uid="{E69EA7A4-6B6C-4E1A-BC6F-E7396280C003}" name="Unit Price - Bauhaus" dataDxfId="31" totalsRowDxfId="32"/>
    <tableColumn id="42" xr3:uid="{FBC76F4B-D7A0-48DE-9A08-4237CE901573}" name="Link - Bauhaus" dataDxfId="29" totalsRowDxfId="30" dataCellStyle="Hyperlink">
      <calculatedColumnFormula>IF(Table1[[#This Row],[Bauhaus]]="","", HYPERLINK(_xlfn.CONCAT("https://www.bauhaus.ch/fr/search?query=",Table1[[#This Row],[Bauhaus]]),_xlfn.CONCAT("Link (",Table1[[#This Row],[Bauhaus]],")")))</calculatedColumnFormula>
    </tableColumn>
    <tableColumn id="37" xr3:uid="{3E83570C-37D8-4A16-A4ED-096DE1D5251E}" name="BricoEtLoisirs" dataDxfId="27" totalsRowDxfId="28"/>
    <tableColumn id="39" xr3:uid="{6002185F-7854-4700-B7D4-99CFE61B283B}" name="Unit price - BricoEtLoisirs2" dataDxfId="25" totalsRowDxfId="26"/>
    <tableColumn id="38" xr3:uid="{C4051B9A-57CC-4E7E-A8AD-98EEA4033C09}" name="Link - BricoEtLoisirs" dataDxfId="23" totalsRowDxfId="24" dataCellStyle="Hyperlink">
      <calculatedColumnFormula>IF(Table1[[#This Row],[BricoEtLoisirs]]="","", HYPERLINK(_xlfn.CONCAT("https://bricoetloisirs.ch/p/",Table1[[#This Row],[BricoEtLoisirs]]),_xlfn.CONCAT("Link (",Table1[[#This Row],[BricoEtLoisirs]],")")))</calculatedColumnFormula>
    </tableColumn>
    <tableColumn id="20" xr3:uid="{B372D927-D0BD-4305-A32A-0C014ACEEBAB}" name="Aliexpress" dataDxfId="21" totalsRowDxfId="22"/>
    <tableColumn id="21" xr3:uid="{56A9B167-940C-4D6B-8B5D-F91623F90BD6}" name="Unit price - Aliexpress" dataDxfId="19" totalsRowDxfId="20"/>
    <tableColumn id="43" xr3:uid="{F92037CC-1897-449E-95DC-18487FF2DD6B}" name="Link  - Aliexpress" dataDxfId="17" totalsRowDxfId="18" dataCellStyle="Hyperlink">
      <calculatedColumnFormula>IF(Table1[[#This Row],[Aliexpress]]="","", HYPERLINK(_xlfn.CONCAT("https://www.aliexpress.com/item/",Table1[[#This Row],[Aliexpress]],".html"),_xlfn.CONCAT("Link (",Table1[[#This Row],[Aliexpress]],")")))</calculatedColumnFormula>
    </tableColumn>
    <tableColumn id="22" xr3:uid="{2E67C835-F42C-4886-A3E6-A86A66CF03DE}" name="Banggood" dataDxfId="15" totalsRowDxfId="16"/>
    <tableColumn id="23" xr3:uid="{96EE1B48-7059-4798-A1ED-B830DB9D7D70}" name="Unit price - Banggood" dataDxfId="13" totalsRowDxfId="14"/>
    <tableColumn id="44" xr3:uid="{CAE83CD6-D748-4C7E-9724-CF20900CC087}" name="Link - Banggood" dataDxfId="11" totalsRowDxfId="12" dataCellStyle="Hyperlink">
      <calculatedColumnFormula>IF(Table1[[#This Row],[Banggood]]="","", HYPERLINK(_xlfn.CONCAT("https://www.banggood.com/search/",Table1[[#This Row],[Banggood]],".html"),_xlfn.CONCAT("Link (",Table1[[#This Row],[Banggood]],")")))</calculatedColumnFormula>
    </tableColumn>
    <tableColumn id="29" xr3:uid="{D6F9B11D-16CF-4797-AFD2-F208CE8FD675}" name="Other - Name" dataDxfId="9" totalsRowDxfId="10">
      <calculatedColumnFormula>IF(Table1[[#This Row],[Other]]&lt;&gt;"","Other","")</calculatedColumnFormula>
    </tableColumn>
    <tableColumn id="24" xr3:uid="{DFC2A0A6-4951-479C-8775-526D9FDB26B4}" name="Other" dataDxfId="8"/>
    <tableColumn id="25" xr3:uid="{09619815-DA2C-43CD-A998-2BAAC30ACE14}" name="Unit price - Other" dataDxfId="6" totalsRowDxfId="7"/>
    <tableColumn id="45" xr3:uid="{C2F3B07E-2F07-4FA2-A8A2-F30F560C174E}" name="Link - Other" dataDxfId="4" totalsRowDxfId="5"/>
    <tableColumn id="26" xr3:uid="{CBAAFE5B-29D9-4E86-8241-3FA6E46052BB}" name="In next order" dataDxfId="2" totalsRowDxfId="3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"/>
    <tableColumn id="31" xr3:uid="{B4CAC373-EB11-41F7-9729-45AFB304C070}" name="Obsolete_Hidden" dataDxfId="0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42" dataDxfId="240" headerRowBorderDxfId="241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239" totalsRowDxfId="238"/>
    <tableColumn id="5" xr3:uid="{E0A4C7BE-9780-40B2-9139-D4958FD92F57}" name="Description" dataDxfId="237" totalsRowDxfId="236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35" totalsRowDxfId="234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33" totalsRowDxfId="232"/>
    <tableColumn id="8" xr3:uid="{DE9DE279-0ECD-46C6-B40F-146EE0CF2811}" name="Quantity" dataDxfId="231" totalsRowDxfId="230"/>
    <tableColumn id="6" xr3:uid="{9281657B-B3CE-4A4B-90BB-A2508C24B80E}" name="In stock" dataDxfId="229" totalsRowDxfId="228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27" totalsRowDxfId="226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25" totalsRowDxfId="224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23" totalsRowDxfId="222">
      <calculatedColumnFormula>Table14113[[#This Row],[Quantity]]*$M$1</calculatedColumnFormula>
    </tableColumn>
    <tableColumn id="4" xr3:uid="{21625822-F558-4C24-A1DF-CA1415AF72CC}" name="Total available" dataDxfId="221" totalsRowDxfId="220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219" dataDxfId="217" headerRowBorderDxfId="218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216" totalsRowDxfId="215"/>
    <tableColumn id="5" xr3:uid="{0807D2E3-C08E-4A05-95EC-685278834536}" name="Description" dataDxfId="214" totalsRowDxfId="213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212" totalsRowDxfId="211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210" totalsRowDxfId="209"/>
    <tableColumn id="8" xr3:uid="{27D63D9B-1923-4857-A374-5FF3D8D6B64C}" name="Quantity" dataDxfId="208" totalsRowDxfId="207"/>
    <tableColumn id="6" xr3:uid="{39724770-BCF0-4F8C-A311-212B97612672}" name="In stock" dataDxfId="206" totalsRowDxfId="205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204" totalsRowDxfId="203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202" totalsRowDxfId="201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200" totalsRowDxfId="199">
      <calculatedColumnFormula>Table1411[[#This Row],[Quantity]]*$M$1</calculatedColumnFormula>
    </tableColumn>
    <tableColumn id="4" xr3:uid="{CEA2F06F-2F21-492E-B2A3-DF977A078F50}" name="Total available" dataDxfId="198" totalsRowDxfId="197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96" dataDxfId="194" headerRowBorderDxfId="195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193" totalsRowDxfId="192"/>
    <tableColumn id="5" xr3:uid="{B1418FC9-8422-4A82-9D50-1C20CEF4A1DB}" name="Description" dataDxfId="191" totalsRowDxfId="190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89" totalsRowDxfId="188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87" totalsRowDxfId="186"/>
    <tableColumn id="8" xr3:uid="{D163A9E2-18FC-4EE8-99AB-60D6C92BBDB6}" name="Quantity" dataDxfId="185" totalsRowDxfId="184"/>
    <tableColumn id="6" xr3:uid="{1583B055-BD93-4929-B8EC-DA75D23B688F}" name="In stock" dataDxfId="183" totalsRowDxfId="18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81" totalsRowDxfId="180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79" totalsRowDxfId="178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77" totalsRowDxfId="176">
      <calculatedColumnFormula>Table14[[#This Row],[Quantity]]*$M$1</calculatedColumnFormula>
    </tableColumn>
    <tableColumn id="4" xr3:uid="{3C7D2E86-E417-47F0-B642-14D96896F255}" name="Total available" dataDxfId="175" totalsRowDxfId="174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173" dataDxfId="171" headerRowBorderDxfId="172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170" totalsRowDxfId="169"/>
    <tableColumn id="5" xr3:uid="{EE74CBB7-B4AE-4E4F-A276-4111D2262064}" name="Description" dataDxfId="168" totalsRowDxfId="167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166" totalsRowDxfId="165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164" totalsRowDxfId="163"/>
    <tableColumn id="8" xr3:uid="{C50EC552-0304-4799-AAF5-38B8D35A381E}" name="Quantity" dataDxfId="162" totalsRowDxfId="161"/>
    <tableColumn id="6" xr3:uid="{F740468C-0E09-4D56-BD5D-693ECC8337EF}" name="In stock" dataDxfId="160" totalsRowDxfId="159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58" totalsRowDxfId="157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156" totalsRowDxfId="155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154" totalsRowDxfId="153">
      <calculatedColumnFormula>Table146810[[#This Row],[Quantity]]*$M$1</calculatedColumnFormula>
    </tableColumn>
    <tableColumn id="4" xr3:uid="{562176AD-2473-43BF-B998-A5B71A21527C}" name="Total available" dataDxfId="152" totalsRowDxfId="151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150" dataDxfId="148" headerRowBorderDxfId="149">
  <autoFilter ref="A1:J2" xr:uid="{06E2CB8E-61AB-472E-BCF2-E6E1E6F7BC5B}"/>
  <tableColumns count="10">
    <tableColumn id="2" xr3:uid="{82F37E31-D1D4-4FFD-A09E-64F3B03018B7}" name="Man. Number" totalsRowLabel="Total" dataDxfId="147" totalsRowDxfId="146"/>
    <tableColumn id="5" xr3:uid="{524F6B01-486E-4166-AE6A-BDBA58BD1A60}" name="Description" dataDxfId="145" totalsRowDxfId="144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43" totalsRowDxfId="142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41" totalsRowDxfId="140"/>
    <tableColumn id="8" xr3:uid="{A834D686-252C-4BF4-9FDE-28A4A6AFDD1F}" name="Quantity" dataDxfId="139" totalsRowDxfId="138"/>
    <tableColumn id="6" xr3:uid="{66DB620F-4FDE-44EB-BF35-96CAEBE4C1C6}" name="In stock" dataDxfId="137" totalsRowDxfId="136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135" totalsRowDxfId="134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133" totalsRowDxfId="132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131" totalsRowDxfId="130">
      <calculatedColumnFormula>Table1468[[#This Row],[Quantity]]*$M$1</calculatedColumnFormula>
    </tableColumn>
    <tableColumn id="4" xr3:uid="{56337732-A0D6-4CED-A2E1-0A9BD957CBCA}" name="Total available" dataDxfId="129" totalsRowDxfId="128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127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8" style="32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1" t="s">
        <v>46</v>
      </c>
      <c r="B1" s="3" t="s">
        <v>111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2" t="s">
        <v>29</v>
      </c>
      <c r="B2" s="11"/>
      <c r="C2" s="9"/>
      <c r="D2" s="9"/>
      <c r="E2" s="9"/>
      <c r="F2" s="3" t="s">
        <v>47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J15" sqref="J15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</cols>
  <sheetData>
    <row r="2" spans="1:11" x14ac:dyDescent="0.25">
      <c r="B2" s="57" t="s">
        <v>117</v>
      </c>
      <c r="G2" s="17" t="s">
        <v>125</v>
      </c>
      <c r="J2" s="17" t="s">
        <v>124</v>
      </c>
    </row>
    <row r="3" spans="1:11" x14ac:dyDescent="0.25">
      <c r="B3" s="57"/>
      <c r="G3" s="18" t="s">
        <v>102</v>
      </c>
      <c r="H3" s="18" t="s">
        <v>2</v>
      </c>
      <c r="J3" s="18" t="s">
        <v>102</v>
      </c>
      <c r="K3" s="18" t="s">
        <v>2</v>
      </c>
    </row>
    <row r="4" spans="1:11" x14ac:dyDescent="0.25">
      <c r="G4" t="s">
        <v>231</v>
      </c>
      <c r="H4" t="s">
        <v>29</v>
      </c>
      <c r="J4" t="s">
        <v>103</v>
      </c>
      <c r="K4" t="s">
        <v>29</v>
      </c>
    </row>
    <row r="5" spans="1:11" x14ac:dyDescent="0.25">
      <c r="B5" s="57" t="s">
        <v>118</v>
      </c>
      <c r="G5" t="s">
        <v>232</v>
      </c>
      <c r="H5" t="s">
        <v>29</v>
      </c>
      <c r="J5" t="s">
        <v>104</v>
      </c>
      <c r="K5" t="s">
        <v>29</v>
      </c>
    </row>
    <row r="6" spans="1:11" x14ac:dyDescent="0.25">
      <c r="B6" s="57"/>
      <c r="G6" t="s">
        <v>228</v>
      </c>
      <c r="H6" t="s">
        <v>29</v>
      </c>
      <c r="J6" t="s">
        <v>105</v>
      </c>
      <c r="K6" t="s">
        <v>29</v>
      </c>
    </row>
    <row r="7" spans="1:11" x14ac:dyDescent="0.25">
      <c r="G7" t="s">
        <v>229</v>
      </c>
      <c r="H7" t="s">
        <v>29</v>
      </c>
      <c r="J7" t="s">
        <v>106</v>
      </c>
      <c r="K7" t="s">
        <v>29</v>
      </c>
    </row>
    <row r="8" spans="1:11" x14ac:dyDescent="0.25">
      <c r="B8" s="57" t="s">
        <v>119</v>
      </c>
      <c r="G8" t="s">
        <v>230</v>
      </c>
      <c r="H8" t="s">
        <v>29</v>
      </c>
      <c r="J8" t="s">
        <v>107</v>
      </c>
      <c r="K8" t="s">
        <v>29</v>
      </c>
    </row>
    <row r="9" spans="1:11" x14ac:dyDescent="0.25">
      <c r="B9" s="57"/>
    </row>
    <row r="11" spans="1:11" x14ac:dyDescent="0.25">
      <c r="A11" s="30"/>
      <c r="B11" s="57" t="s">
        <v>120</v>
      </c>
    </row>
    <row r="12" spans="1:11" x14ac:dyDescent="0.25">
      <c r="A12" s="30"/>
      <c r="B12" s="57"/>
    </row>
    <row r="14" spans="1:11" x14ac:dyDescent="0.25">
      <c r="B14" s="57" t="s">
        <v>146</v>
      </c>
    </row>
    <row r="15" spans="1:11" x14ac:dyDescent="0.25">
      <c r="B15" s="57"/>
    </row>
    <row r="17" spans="2:2" x14ac:dyDescent="0.25">
      <c r="B17" s="57" t="s">
        <v>209</v>
      </c>
    </row>
    <row r="18" spans="2:2" x14ac:dyDescent="0.25">
      <c r="B18" s="57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C22" sqref="C22"/>
    </sheetView>
  </sheetViews>
  <sheetFormatPr defaultRowHeight="15" x14ac:dyDescent="0.25"/>
  <cols>
    <col min="1" max="1" width="26.85546875" style="1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3" bestFit="1" customWidth="1"/>
    <col min="11" max="11" width="12.5703125" style="23" bestFit="1" customWidth="1"/>
    <col min="12" max="12" width="29" style="17" bestFit="1" customWidth="1"/>
    <col min="13" max="13" width="18.85546875" style="21" customWidth="1"/>
    <col min="14" max="14" width="16.5703125" style="21" customWidth="1"/>
  </cols>
  <sheetData>
    <row r="1" spans="1:14" ht="15.75" thickBot="1" x14ac:dyDescent="0.3">
      <c r="A1" s="1" t="s">
        <v>1</v>
      </c>
      <c r="B1" s="2" t="s">
        <v>116</v>
      </c>
      <c r="C1" s="2" t="s">
        <v>6</v>
      </c>
      <c r="D1" s="2" t="s">
        <v>4</v>
      </c>
      <c r="E1" s="2" t="s">
        <v>96</v>
      </c>
      <c r="F1" s="53" t="s">
        <v>2</v>
      </c>
      <c r="G1" s="2" t="s">
        <v>3</v>
      </c>
      <c r="H1" s="28" t="s">
        <v>113</v>
      </c>
      <c r="I1" s="16" t="s">
        <v>7</v>
      </c>
      <c r="J1" s="28" t="s">
        <v>37</v>
      </c>
      <c r="K1" s="25" t="s">
        <v>114</v>
      </c>
      <c r="L1" s="25" t="s">
        <v>192</v>
      </c>
      <c r="M1" s="20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2">
        <f>ROUNDUP(Table8[[#This Row],[Min Stock]]-Table8[[#This Row],[In stock]],0)</f>
        <v>0</v>
      </c>
      <c r="K2" s="24">
        <f>Table8[[#This Row],[Quantity]]*Table8[[#This Row],[Unit price]]</f>
        <v>0</v>
      </c>
      <c r="L2" s="26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2">
        <f>ROUNDUP(Table8[[#This Row],[Min Stock]]-Table8[[#This Row],[In stock]],0)</f>
        <v>0</v>
      </c>
      <c r="K3" s="24">
        <f>Table8[[#This Row],[Quantity]]*Table8[[#This Row],[Unit price]]</f>
        <v>0</v>
      </c>
      <c r="L3" s="26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115</v>
      </c>
      <c r="B4" s="4"/>
      <c r="C4" s="4"/>
      <c r="D4" s="4"/>
      <c r="E4" s="4"/>
      <c r="F4" s="4"/>
      <c r="G4" s="4"/>
      <c r="H4" s="4"/>
      <c r="I4" s="4"/>
      <c r="J4" s="24"/>
      <c r="K4" s="22">
        <f>SUBTOTAL(109,Table8[Total price])</f>
        <v>0</v>
      </c>
      <c r="L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S2"/>
  <sheetViews>
    <sheetView tabSelected="1" zoomScale="85" zoomScaleNormal="85" workbookViewId="0">
      <pane ySplit="1" topLeftCell="A2" activePane="bottomLeft" state="frozen"/>
      <selection activeCell="B186" sqref="B186"/>
      <selection pane="bottomLeft" activeCell="D9" sqref="D9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57.140625" style="3" customWidth="1"/>
    <col min="5" max="5" width="16.7109375" style="3" bestFit="1" customWidth="1"/>
    <col min="6" max="6" width="10" style="40" bestFit="1" customWidth="1"/>
    <col min="7" max="7" width="9" style="40" bestFit="1" customWidth="1"/>
    <col min="8" max="8" width="8.42578125" style="40" bestFit="1" customWidth="1"/>
    <col min="9" max="9" width="24.28515625" style="15" customWidth="1"/>
    <col min="10" max="10" width="12" style="38" bestFit="1" customWidth="1"/>
    <col min="11" max="11" width="17.42578125" style="15" bestFit="1" customWidth="1"/>
    <col min="12" max="12" width="24.28515625" style="15" customWidth="1"/>
    <col min="13" max="13" width="20.42578125" style="36" customWidth="1"/>
    <col min="14" max="14" width="38.28515625" style="36" customWidth="1"/>
    <col min="15" max="15" width="9.42578125" style="15" customWidth="1"/>
    <col min="16" max="16" width="20" style="36" bestFit="1" customWidth="1"/>
    <col min="17" max="17" width="23.85546875" style="36" bestFit="1" customWidth="1"/>
    <col min="18" max="18" width="27.28515625" style="15" bestFit="1" customWidth="1"/>
    <col min="19" max="19" width="21.7109375" style="36" bestFit="1" customWidth="1"/>
    <col min="20" max="20" width="21.7109375" style="36" customWidth="1"/>
    <col min="21" max="21" width="11.85546875" style="15" bestFit="1" customWidth="1"/>
    <col min="22" max="22" width="20.140625" style="36" bestFit="1" customWidth="1"/>
    <col min="23" max="23" width="20.140625" style="36" customWidth="1"/>
    <col min="24" max="24" width="21.85546875" style="15" bestFit="1" customWidth="1"/>
    <col min="25" max="25" width="20.7109375" style="36" bestFit="1" customWidth="1"/>
    <col min="26" max="30" width="20.7109375" style="36" customWidth="1"/>
    <col min="31" max="31" width="26.7109375" style="36" bestFit="1" customWidth="1"/>
    <col min="32" max="32" width="20.7109375" style="36" customWidth="1"/>
    <col min="33" max="33" width="12.5703125" style="15" bestFit="1" customWidth="1"/>
    <col min="34" max="34" width="23.140625" style="36" bestFit="1" customWidth="1"/>
    <col min="35" max="35" width="23.140625" style="36" customWidth="1"/>
    <col min="36" max="36" width="12" style="15" bestFit="1" customWidth="1"/>
    <col min="37" max="37" width="22.5703125" style="36" bestFit="1" customWidth="1"/>
    <col min="38" max="38" width="22.5703125" style="36" customWidth="1"/>
    <col min="39" max="39" width="15.42578125" style="36" bestFit="1" customWidth="1"/>
    <col min="40" max="40" width="13.7109375" style="15" bestFit="1" customWidth="1"/>
    <col min="41" max="41" width="18.85546875" style="38" bestFit="1" customWidth="1"/>
    <col min="42" max="42" width="18.85546875" style="38" customWidth="1"/>
    <col min="43" max="43" width="14.7109375" bestFit="1" customWidth="1"/>
    <col min="44" max="44" width="11.42578125" bestFit="1" customWidth="1"/>
    <col min="45" max="45" width="10.28515625" hidden="1" customWidth="1"/>
    <col min="50" max="50" width="10" bestFit="1" customWidth="1"/>
    <col min="51" max="51" width="12" bestFit="1" customWidth="1"/>
    <col min="52" max="52" width="14" bestFit="1" customWidth="1"/>
    <col min="53" max="53" width="17.140625" bestFit="1" customWidth="1"/>
  </cols>
  <sheetData>
    <row r="1" spans="1:45" s="56" customFormat="1" ht="30" x14ac:dyDescent="0.25">
      <c r="A1" s="54" t="s">
        <v>1</v>
      </c>
      <c r="B1" s="54" t="s">
        <v>6</v>
      </c>
      <c r="C1" s="54" t="s">
        <v>96</v>
      </c>
      <c r="D1" s="54" t="s">
        <v>2</v>
      </c>
      <c r="E1" s="54" t="s">
        <v>144</v>
      </c>
      <c r="F1" s="54" t="s">
        <v>3</v>
      </c>
      <c r="G1" s="54" t="s">
        <v>108</v>
      </c>
      <c r="H1" s="54" t="s">
        <v>123</v>
      </c>
      <c r="I1" s="60" t="s">
        <v>121</v>
      </c>
      <c r="J1" s="60" t="s">
        <v>122</v>
      </c>
      <c r="K1" s="60" t="s">
        <v>255</v>
      </c>
      <c r="L1" s="54" t="s">
        <v>32</v>
      </c>
      <c r="M1" s="54" t="s">
        <v>136</v>
      </c>
      <c r="N1" s="60" t="s">
        <v>252</v>
      </c>
      <c r="O1" s="54" t="s">
        <v>5</v>
      </c>
      <c r="P1" s="54" t="s">
        <v>137</v>
      </c>
      <c r="Q1" s="60" t="s">
        <v>251</v>
      </c>
      <c r="R1" s="54" t="s">
        <v>132</v>
      </c>
      <c r="S1" s="54" t="s">
        <v>138</v>
      </c>
      <c r="T1" s="60" t="s">
        <v>250</v>
      </c>
      <c r="U1" s="54" t="s">
        <v>131</v>
      </c>
      <c r="V1" s="54" t="s">
        <v>139</v>
      </c>
      <c r="W1" s="60" t="s">
        <v>253</v>
      </c>
      <c r="X1" s="54" t="s">
        <v>133</v>
      </c>
      <c r="Y1" s="54" t="s">
        <v>140</v>
      </c>
      <c r="Z1" s="60" t="s">
        <v>254</v>
      </c>
      <c r="AA1" s="54" t="s">
        <v>242</v>
      </c>
      <c r="AB1" s="54" t="s">
        <v>243</v>
      </c>
      <c r="AC1" s="60" t="s">
        <v>245</v>
      </c>
      <c r="AD1" s="54" t="s">
        <v>241</v>
      </c>
      <c r="AE1" s="54" t="s">
        <v>244</v>
      </c>
      <c r="AF1" s="60" t="s">
        <v>246</v>
      </c>
      <c r="AG1" s="54" t="s">
        <v>134</v>
      </c>
      <c r="AH1" s="54" t="s">
        <v>141</v>
      </c>
      <c r="AI1" s="60" t="s">
        <v>247</v>
      </c>
      <c r="AJ1" s="54" t="s">
        <v>33</v>
      </c>
      <c r="AK1" s="54" t="s">
        <v>142</v>
      </c>
      <c r="AL1" s="60" t="s">
        <v>248</v>
      </c>
      <c r="AM1" s="54" t="s">
        <v>191</v>
      </c>
      <c r="AN1" s="54" t="s">
        <v>135</v>
      </c>
      <c r="AO1" s="54" t="s">
        <v>143</v>
      </c>
      <c r="AP1" s="54" t="s">
        <v>249</v>
      </c>
      <c r="AQ1" s="60" t="s">
        <v>112</v>
      </c>
      <c r="AR1" s="55" t="s">
        <v>236</v>
      </c>
      <c r="AS1" s="55" t="s">
        <v>237</v>
      </c>
    </row>
    <row r="2" spans="1:45" x14ac:dyDescent="0.25">
      <c r="A2" s="48" t="s">
        <v>172</v>
      </c>
      <c r="B2" s="29" t="s">
        <v>162</v>
      </c>
      <c r="C2" s="29" t="s">
        <v>97</v>
      </c>
      <c r="D2" s="29" t="s">
        <v>173</v>
      </c>
      <c r="E2" s="29" t="s">
        <v>145</v>
      </c>
      <c r="F2" s="39">
        <v>0</v>
      </c>
      <c r="G2" s="39"/>
      <c r="H2" s="39"/>
      <c r="I2" s="29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" s="37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" s="41" t="str">
        <f>TRIM(IF(Table1[[#This Row],[Digikey]] &lt;&gt; "", Table1[[#Headers],[Digikey]],
IF(Table1[[#This Row],[Farnell]] &lt;&gt; "", " " &amp; Table1[[#Headers],[Farnell]],
IF(Table1[[#This Row],[Distrelec]] &lt;&gt; "",  " " &amp; Table1[[#Headers],[Distrelec]],
IF(Table1[[#This Row],[Conrad]] &lt;&gt; "", " " &amp; Table1[[#Headers],[Conrad]],
IF(Table1[[#This Row],[Mouser]] &lt;&gt; "", " " &amp; Table1[[#Headers],[Mouser]],
IF(Table1[[#This Row],[Aliexpress]] &lt;&gt; "", " " &amp; Table1[[#Headers],[Aliexpress]],
IF(Table1[[#This Row],[Banggood]] &lt;&gt; "", " " &amp; Table1[[#Headers],[Banggood]],
IF(Table1[[#This Row],[Other - Name]] &lt;&gt; "", " " &amp; Table1[[#This Row],[Other - Name]],"")))))))))</f>
        <v>Digikey</v>
      </c>
      <c r="L2" s="29" t="s">
        <v>171</v>
      </c>
      <c r="M2" s="35">
        <v>0.13</v>
      </c>
      <c r="N2" s="52" t="str">
        <f>IF(Table1[[#This Row],[Digikey]]="","", HYPERLINK(_xlfn.CONCAT("https://www.digikey.ch/products/en?keywords=",Table1[[#This Row],[Digikey]]),_xlfn.CONCAT("Link (",Table1[[#This Row],[Digikey]],")")))</f>
        <v>Link (RHM1.00KADCT-ND)</v>
      </c>
      <c r="O2" s="29"/>
      <c r="P2" s="35"/>
      <c r="Q2" s="52" t="str">
        <f>IF(Table1[[#This Row],[Farnell]]="","", HYPERLINK(_xlfn.CONCAT("https://ch.farnell.com/fr-CH/",Table1[[#This Row],[Farnell]]),_xlfn.CONCAT("Link (",Table1[[#This Row],[Farnell]],")")))</f>
        <v/>
      </c>
      <c r="R2" s="29"/>
      <c r="S2" s="35"/>
      <c r="T2" s="35" t="str">
        <f>IF(Table1[[#This Row],[Distrelec]]="","", HYPERLINK(_xlfn.CONCAT("https://www.distrelec.ch/search?q=",Table1[[#This Row],[Distrelec]]),_xlfn.CONCAT("Link (",Table1[[#This Row],[Distrelec]],")")))</f>
        <v/>
      </c>
      <c r="U2" s="29"/>
      <c r="V2" s="35"/>
      <c r="W2" s="52" t="str">
        <f>IF(Table1[[#This Row],[Conrad]]="","", HYPERLINK(_xlfn.CONCAT("https://www.conrad.ch/fr/p/",Table1[[#This Row],[Conrad]]),_xlfn.CONCAT("Link (",Table1[[#This Row],[Conrad]],")")))</f>
        <v/>
      </c>
      <c r="X2" s="41" t="str">
        <f>CONCATENATE("755-",Table1[[#This Row],[Art. Number]])</f>
        <v>755-ESR03EZPF1001</v>
      </c>
      <c r="Y2" s="35">
        <v>0.11700000000000001</v>
      </c>
      <c r="Z2" s="52" t="str">
        <f>IF(Table1[[#This Row],[Mouser]]="","", HYPERLINK(_xlfn.CONCAT("https://www.mouser.ch/ProductDetail/",Table1[[#This Row],[Mouser]]),_xlfn.CONCAT("Link (",Table1[[#This Row],[Mouser]],")")))</f>
        <v>Link (755-ESR03EZPF1001)</v>
      </c>
      <c r="AA2" s="35"/>
      <c r="AB2" s="35"/>
      <c r="AC2" s="52" t="str">
        <f>IF(Table1[[#This Row],[Bauhaus]]="","", HYPERLINK(_xlfn.CONCAT("https://www.bauhaus.ch/fr/search?query=",Table1[[#This Row],[Bauhaus]]),_xlfn.CONCAT("Link (",Table1[[#This Row],[Bauhaus]],")")))</f>
        <v/>
      </c>
      <c r="AD2" s="35"/>
      <c r="AE2" s="35"/>
      <c r="AF2" s="52" t="str">
        <f>IF(Table1[[#This Row],[BricoEtLoisirs]]="","", HYPERLINK(_xlfn.CONCAT("https://bricoetloisirs.ch/p/",Table1[[#This Row],[BricoEtLoisirs]]),_xlfn.CONCAT("Link (",Table1[[#This Row],[BricoEtLoisirs]],")")))</f>
        <v/>
      </c>
      <c r="AG2" s="29"/>
      <c r="AH2" s="35"/>
      <c r="AI2" s="52" t="str">
        <f>IF(Table1[[#This Row],[Aliexpress]]="","", HYPERLINK(_xlfn.CONCAT("https://www.aliexpress.com/item/",Table1[[#This Row],[Aliexpress]],".html"),_xlfn.CONCAT("Link (",Table1[[#This Row],[Aliexpress]],")")))</f>
        <v/>
      </c>
      <c r="AJ2" s="29"/>
      <c r="AK2" s="35"/>
      <c r="AL2" s="52" t="str">
        <f>IF(Table1[[#This Row],[Banggood]]="","", HYPERLINK(_xlfn.CONCAT("https://www.banggood.com/search/",Table1[[#This Row],[Banggood]],".html"),_xlfn.CONCAT("Link (",Table1[[#This Row],[Banggood]],")")))</f>
        <v/>
      </c>
      <c r="AM2" s="35" t="str">
        <f>IF(Table1[[#This Row],[Other]]&lt;&gt;"","Other","")</f>
        <v/>
      </c>
      <c r="AN2" s="29"/>
      <c r="AO2" s="37"/>
      <c r="AP2" s="37"/>
      <c r="AQ2" s="41" t="str">
        <f>IF(AND( Table1[[#This Row],[Auto Order]]=1,Table1[[#This Row],[Obsolete]]=""),IF(Table1[[#This Row],[In stock]]&lt;Table1[[#This Row],[Min in stock]],1,""),"")</f>
        <v/>
      </c>
      <c r="AR2" s="51"/>
      <c r="AS2" s="51" t="str">
        <f>IF(Table1[[#This Row],[Obsolete]],Table1[[#This Row],[Art. Number]],"")</f>
        <v/>
      </c>
    </row>
  </sheetData>
  <dataConsolidate/>
  <phoneticPr fontId="5" type="noConversion"/>
  <conditionalFormatting sqref="AQ1:AQ1048576">
    <cfRule type="cellIs" dxfId="126" priority="70" operator="equal">
      <formula>1</formula>
    </cfRule>
  </conditionalFormatting>
  <conditionalFormatting sqref="E1:E1048576">
    <cfRule type="containsText" dxfId="125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124" priority="19" stopIfTrue="1" operator="lessThan">
      <formula>0</formula>
    </cfRule>
  </conditionalFormatting>
  <conditionalFormatting sqref="F2:F999591">
    <cfRule type="cellIs" dxfId="123" priority="30" operator="lessThan">
      <formula>$G2</formula>
    </cfRule>
  </conditionalFormatting>
  <conditionalFormatting sqref="A1:A1048576">
    <cfRule type="containsBlanks" priority="79" stopIfTrue="1">
      <formula>LEN(TRIM(A1))=0</formula>
    </cfRule>
    <cfRule type="cellIs" dxfId="122" priority="80" operator="equal">
      <formula>$AS1</formula>
    </cfRule>
    <cfRule type="duplicateValues" dxfId="121" priority="8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47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5">
        <v>2</v>
      </c>
      <c r="N1" t="s">
        <v>238</v>
      </c>
    </row>
    <row r="2" spans="1:14" x14ac:dyDescent="0.25">
      <c r="A2" s="3" t="s">
        <v>233</v>
      </c>
      <c r="B2" s="4" t="e">
        <f>VLOOKUP(Table14113[[#This Row],[Man. Number]],Articles!A:F,COLUMN(Articles!$D$1)-COLUMN(Articles!$A$1)+1,FALSE)</f>
        <v>#N/A</v>
      </c>
      <c r="C2" s="4" t="e">
        <f>VLOOKUP(Table14113[[#This Row],[Man. Number]],Articles!A:F,COLUMN(Articles!$C$1)-COLUMN(Articles!$A$1)+1,FALSE)</f>
        <v>#N/A</v>
      </c>
      <c r="D2" s="4" t="s">
        <v>29</v>
      </c>
      <c r="E2" s="34">
        <v>1</v>
      </c>
      <c r="F2" s="4" t="e">
        <f>VLOOKUP(Table14113[[#This Row],[Man. Number]],Articles!A:F,COLUMN(Articles!$F$1)-COLUMN(Articles!$A$1)+1,FALSE)</f>
        <v>#N/A</v>
      </c>
      <c r="G2" s="4" t="e">
        <f>IF(Table14113[[#This Row],[In stock]] &gt;= Table14113[[#This Row],[Quantity]],"YES","NO")</f>
        <v>#N/A</v>
      </c>
      <c r="H2" s="4" t="e">
        <f>VLOOKUP(Table14113[[#This Row],[Man. Number]],Articles!A:J,COLUMN(Articles!$J$1)-COLUMN(Articles!$A$1)+1,FALSE)*Table14113[[#This Row],[Quantity]]</f>
        <v>#N/A</v>
      </c>
      <c r="I2" s="4">
        <f>Table14113[[#This Row],[Quantity]]*$M$1</f>
        <v>2</v>
      </c>
      <c r="J2" s="4" t="e">
        <f>IF(Table14113[[#This Row],[In stock]] &gt;= Table14113[[#This Row],[Total quantity]],"YES","NO")</f>
        <v>#N/A</v>
      </c>
    </row>
    <row r="3" spans="1:14" x14ac:dyDescent="0.25">
      <c r="A3" s="3" t="s">
        <v>212</v>
      </c>
      <c r="B3" s="4" t="e">
        <f>VLOOKUP(Table14113[[#This Row],[Man. Number]],Articles!A:F,COLUMN(Articles!$D$1)-COLUMN(Articles!$A$1)+1,FALSE)</f>
        <v>#N/A</v>
      </c>
      <c r="C3" s="4" t="e">
        <f>VLOOKUP(Table14113[[#This Row],[Man. Number]],Articles!A:F,COLUMN(Articles!$C$1)-COLUMN(Articles!$A$1)+1,FALSE)</f>
        <v>#N/A</v>
      </c>
      <c r="D3" s="4" t="s">
        <v>29</v>
      </c>
      <c r="E3" s="34">
        <v>19</v>
      </c>
      <c r="F3" s="4" t="e">
        <f>VLOOKUP(Table14113[[#This Row],[Man. Number]],Articles!A:F,COLUMN(Articles!$F$1)-COLUMN(Articles!$A$1)+1,FALSE)</f>
        <v>#N/A</v>
      </c>
      <c r="G3" s="4" t="e">
        <f>IF(Table14113[[#This Row],[In stock]] &gt;= Table14113[[#This Row],[Quantity]],"YES","NO")</f>
        <v>#N/A</v>
      </c>
      <c r="H3" s="4" t="e">
        <f>VLOOKUP(Table14113[[#This Row],[Man. Number]],Articles!A:J,COLUMN(Articles!$J$1)-COLUMN(Articles!$A$1)+1,FALSE)*Table14113[[#This Row],[Quantity]]</f>
        <v>#N/A</v>
      </c>
      <c r="I3" s="4">
        <f>Table14113[[#This Row],[Quantity]]*$M$1</f>
        <v>38</v>
      </c>
      <c r="J3" s="4" t="e">
        <f>IF(Table14113[[#This Row],[In stock]] &gt;= Table14113[[#This Row],[Total quantity]],"YES","NO")</f>
        <v>#N/A</v>
      </c>
    </row>
    <row r="4" spans="1:14" x14ac:dyDescent="0.25">
      <c r="A4" s="4" t="s">
        <v>42</v>
      </c>
      <c r="B4" s="4" t="e">
        <f>VLOOKUP(Table14113[[#This Row],[Man. Number]],Articles!A:F,COLUMN(Articles!$D$1)-COLUMN(Articles!$A$1)+1,FALSE)</f>
        <v>#N/A</v>
      </c>
      <c r="C4" s="4" t="e">
        <f>VLOOKUP(Table14113[[#This Row],[Man. Number]],Articles!A:F,COLUMN(Articles!$C$1)-COLUMN(Articles!$A$1)+1,FALSE)</f>
        <v>#N/A</v>
      </c>
      <c r="D4" s="4" t="s">
        <v>29</v>
      </c>
      <c r="E4" s="34">
        <v>1</v>
      </c>
      <c r="F4" s="4" t="e">
        <f>VLOOKUP(Table14113[[#This Row],[Man. Number]],Articles!A:F,COLUMN(Articles!$F$1)-COLUMN(Articles!$A$1)+1,FALSE)</f>
        <v>#N/A</v>
      </c>
      <c r="G4" s="4" t="e">
        <f>IF(Table14113[[#This Row],[In stock]] &gt;= Table14113[[#This Row],[Quantity]],"YES","NO")</f>
        <v>#N/A</v>
      </c>
      <c r="H4" s="4" t="e">
        <f>VLOOKUP(Table14113[[#This Row],[Man. Number]],Articles!A:J,COLUMN(Articles!$J$1)-COLUMN(Articles!$A$1)+1,FALSE)*Table14113[[#This Row],[Quantity]]</f>
        <v>#N/A</v>
      </c>
      <c r="I4" s="4">
        <f>Table14113[[#This Row],[Quantity]]*$M$1</f>
        <v>2</v>
      </c>
      <c r="J4" s="4" t="e">
        <f>IF(Table14113[[#This Row],[In stock]] &gt;= Table14113[[#This Row],[Total quantity]],"YES","NO")</f>
        <v>#N/A</v>
      </c>
    </row>
    <row r="5" spans="1:14" x14ac:dyDescent="0.25">
      <c r="A5" s="43" t="s">
        <v>220</v>
      </c>
      <c r="B5" s="34" t="e">
        <f>VLOOKUP(Table14113[[#This Row],[Man. Number]],Articles!A:F,COLUMN(Articles!$D$1)-COLUMN(Articles!$A$1)+1,FALSE)</f>
        <v>#N/A</v>
      </c>
      <c r="C5" s="34" t="e">
        <f>VLOOKUP(Table14113[[#This Row],[Man. Number]],Articles!A:F,COLUMN(Articles!$C$1)-COLUMN(Articles!$A$1)+1,FALSE)</f>
        <v>#N/A</v>
      </c>
      <c r="D5" s="4" t="s">
        <v>29</v>
      </c>
      <c r="E5" s="34">
        <v>2</v>
      </c>
      <c r="F5" s="34" t="e">
        <f>VLOOKUP(Table14113[[#This Row],[Man. Number]],Articles!A:F,COLUMN(Articles!$F$1)-COLUMN(Articles!$A$1)+1,FALSE)</f>
        <v>#N/A</v>
      </c>
      <c r="G5" s="34" t="e">
        <f>IF(Table14113[[#This Row],[In stock]] &gt;= Table14113[[#This Row],[Quantity]],"YES","NO")</f>
        <v>#N/A</v>
      </c>
      <c r="H5" s="34" t="e">
        <f>VLOOKUP(Table14113[[#This Row],[Man. Number]],Articles!A:J,COLUMN(Articles!$J$1)-COLUMN(Articles!$A$1)+1,FALSE)*Table14113[[#This Row],[Quantity]]</f>
        <v>#N/A</v>
      </c>
      <c r="I5" s="34">
        <f>Table14113[[#This Row],[Quantity]]*$M$1</f>
        <v>4</v>
      </c>
      <c r="J5" s="34" t="e">
        <f>IF(Table14113[[#This Row],[In stock]] &gt;= Table14113[[#This Row],[Total quantity]],"YES","NO")</f>
        <v>#N/A</v>
      </c>
    </row>
    <row r="6" spans="1:14" x14ac:dyDescent="0.25">
      <c r="A6" s="3" t="s">
        <v>154</v>
      </c>
      <c r="B6" s="4" t="e">
        <f>VLOOKUP(Table14113[[#This Row],[Man. Number]],Articles!A:F,COLUMN(Articles!$D$1)-COLUMN(Articles!$A$1)+1,FALSE)</f>
        <v>#N/A</v>
      </c>
      <c r="C6" s="4" t="e">
        <f>VLOOKUP(Table14113[[#This Row],[Man. Number]],Articles!A:F,COLUMN(Articles!$C$1)-COLUMN(Articles!$A$1)+1,FALSE)</f>
        <v>#N/A</v>
      </c>
      <c r="D6" s="4" t="s">
        <v>226</v>
      </c>
      <c r="E6" s="34">
        <v>4</v>
      </c>
      <c r="F6" s="4" t="e">
        <f>VLOOKUP(Table14113[[#This Row],[Man. Number]],Articles!A:F,COLUMN(Articles!$F$1)-COLUMN(Articles!$A$1)+1,FALSE)</f>
        <v>#N/A</v>
      </c>
      <c r="G6" s="4" t="e">
        <f>IF(Table14113[[#This Row],[In stock]] &gt;= Table14113[[#This Row],[Quantity]],"YES","NO")</f>
        <v>#N/A</v>
      </c>
      <c r="H6" s="4" t="e">
        <f>VLOOKUP(Table14113[[#This Row],[Man. Number]],Articles!A:J,COLUMN(Articles!$J$1)-COLUMN(Articles!$A$1)+1,FALSE)*Table14113[[#This Row],[Quantity]]</f>
        <v>#N/A</v>
      </c>
      <c r="I6" s="4">
        <f>Table14113[[#This Row],[Quantity]]*$M$1</f>
        <v>8</v>
      </c>
      <c r="J6" s="4" t="e">
        <f>IF(Table14113[[#This Row],[In stock]] &gt;= Table14113[[#This Row],[Total quantity]],"YES","NO")</f>
        <v>#N/A</v>
      </c>
    </row>
    <row r="7" spans="1:14" x14ac:dyDescent="0.25">
      <c r="A7" s="34" t="s">
        <v>219</v>
      </c>
      <c r="B7" s="4" t="e">
        <f>VLOOKUP(Table14113[[#This Row],[Man. Number]],Articles!A:F,COLUMN(Articles!$D$1)-COLUMN(Articles!$A$1)+1,FALSE)</f>
        <v>#N/A</v>
      </c>
      <c r="C7" s="4" t="e">
        <f>VLOOKUP(Table14113[[#This Row],[Man. Number]],Articles!A:F,COLUMN(Articles!$C$1)-COLUMN(Articles!$A$1)+1,FALSE)</f>
        <v>#N/A</v>
      </c>
      <c r="D7" s="4" t="s">
        <v>68</v>
      </c>
      <c r="E7" s="34">
        <v>1</v>
      </c>
      <c r="F7" s="4" t="e">
        <f>VLOOKUP(Table14113[[#This Row],[Man. Number]],Articles!A:F,COLUMN(Articles!$F$1)-COLUMN(Articles!$A$1)+1,FALSE)</f>
        <v>#N/A</v>
      </c>
      <c r="G7" s="4" t="e">
        <f>IF(Table14113[[#This Row],[In stock]] &gt;= Table14113[[#This Row],[Quantity]],"YES","NO")</f>
        <v>#N/A</v>
      </c>
      <c r="H7" s="4" t="e">
        <f>VLOOKUP(Table14113[[#This Row],[Man. Number]],Articles!A:J,COLUMN(Articles!$J$1)-COLUMN(Articles!$A$1)+1,FALSE)*Table14113[[#This Row],[Quantity]]</f>
        <v>#N/A</v>
      </c>
      <c r="I7" s="4">
        <f>Table14113[[#This Row],[Quantity]]*$M$1</f>
        <v>2</v>
      </c>
      <c r="J7" s="4" t="e">
        <f>IF(Table14113[[#This Row],[In stock]] &gt;= Table14113[[#This Row],[Total quantity]],"YES","NO")</f>
        <v>#N/A</v>
      </c>
    </row>
    <row r="8" spans="1:14" x14ac:dyDescent="0.25">
      <c r="A8" s="3" t="s">
        <v>194</v>
      </c>
      <c r="B8" s="4" t="e">
        <f>VLOOKUP(Table14113[[#This Row],[Man. Number]],Articles!A:F,COLUMN(Articles!$D$1)-COLUMN(Articles!$A$1)+1,FALSE)</f>
        <v>#N/A</v>
      </c>
      <c r="C8" s="4" t="e">
        <f>VLOOKUP(Table14113[[#This Row],[Man. Number]],Articles!A:F,COLUMN(Articles!$C$1)-COLUMN(Articles!$A$1)+1,FALSE)</f>
        <v>#N/A</v>
      </c>
      <c r="D8" s="4" t="s">
        <v>227</v>
      </c>
      <c r="E8" s="34">
        <v>7</v>
      </c>
      <c r="F8" s="4" t="e">
        <f>VLOOKUP(Table14113[[#This Row],[Man. Number]],Articles!A:F,COLUMN(Articles!$F$1)-COLUMN(Articles!$A$1)+1,FALSE)</f>
        <v>#N/A</v>
      </c>
      <c r="G8" s="4" t="e">
        <f>IF(Table14113[[#This Row],[In stock]] &gt;= Table14113[[#This Row],[Quantity]],"YES","NO")</f>
        <v>#N/A</v>
      </c>
      <c r="H8" s="4" t="e">
        <f>VLOOKUP(Table14113[[#This Row],[Man. Number]],Articles!A:J,COLUMN(Articles!$J$1)-COLUMN(Articles!$A$1)+1,FALSE)*Table14113[[#This Row],[Quantity]]</f>
        <v>#N/A</v>
      </c>
      <c r="I8" s="4">
        <f>Table14113[[#This Row],[Quantity]]*$M$1</f>
        <v>14</v>
      </c>
      <c r="J8" s="4" t="e">
        <f>IF(Table14113[[#This Row],[In stock]] &gt;= Table14113[[#This Row],[Total quantity]],"YES","NO")</f>
        <v>#N/A</v>
      </c>
    </row>
    <row r="9" spans="1:14" x14ac:dyDescent="0.25">
      <c r="A9" s="3" t="s">
        <v>64</v>
      </c>
      <c r="B9" s="4" t="e">
        <f>VLOOKUP(Table14113[[#This Row],[Man. Number]],Articles!A:F,COLUMN(Articles!$D$1)-COLUMN(Articles!$A$1)+1,FALSE)</f>
        <v>#N/A</v>
      </c>
      <c r="C9" s="4" t="e">
        <f>VLOOKUP(Table14113[[#This Row],[Man. Number]],Articles!A:F,COLUMN(Articles!$C$1)-COLUMN(Articles!$A$1)+1,FALSE)</f>
        <v>#N/A</v>
      </c>
      <c r="D9" s="4" t="s">
        <v>65</v>
      </c>
      <c r="E9" s="34">
        <v>1</v>
      </c>
      <c r="F9" s="4" t="e">
        <f>VLOOKUP(Table14113[[#This Row],[Man. Number]],Articles!A:F,COLUMN(Articles!$F$1)-COLUMN(Articles!$A$1)+1,FALSE)</f>
        <v>#N/A</v>
      </c>
      <c r="G9" s="4" t="e">
        <f>IF(Table14113[[#This Row],[In stock]] &gt;= Table14113[[#This Row],[Quantity]],"YES","NO")</f>
        <v>#N/A</v>
      </c>
      <c r="H9" s="4" t="e">
        <f>VLOOKUP(Table14113[[#This Row],[Man. Number]],Articles!A:J,COLUMN(Articles!$J$1)-COLUMN(Articles!$A$1)+1,FALSE)*Table14113[[#This Row],[Quantity]]</f>
        <v>#N/A</v>
      </c>
      <c r="I9" s="4">
        <f>Table14113[[#This Row],[Quantity]]*$M$1</f>
        <v>2</v>
      </c>
      <c r="J9" s="4" t="e">
        <f>IF(Table14113[[#This Row],[In stock]] &gt;= Table14113[[#This Row],[Total quantity]],"YES","NO")</f>
        <v>#N/A</v>
      </c>
    </row>
    <row r="10" spans="1:14" x14ac:dyDescent="0.25">
      <c r="A10" s="43" t="s">
        <v>58</v>
      </c>
      <c r="B10" s="34" t="e">
        <f>VLOOKUP(Table14113[[#This Row],[Man. Number]],Articles!A:F,COLUMN(Articles!$D$1)-COLUMN(Articles!$A$1)+1,FALSE)</f>
        <v>#N/A</v>
      </c>
      <c r="C10" s="34" t="e">
        <f>VLOOKUP(Table14113[[#This Row],[Man. Number]],Articles!A:F,COLUMN(Articles!$C$1)-COLUMN(Articles!$A$1)+1,FALSE)</f>
        <v>#N/A</v>
      </c>
      <c r="D10" s="4" t="s">
        <v>71</v>
      </c>
      <c r="E10" s="34">
        <v>1</v>
      </c>
      <c r="F10" s="34" t="e">
        <f>VLOOKUP(Table14113[[#This Row],[Man. Number]],Articles!A:F,COLUMN(Articles!$F$1)-COLUMN(Articles!$A$1)+1,FALSE)</f>
        <v>#N/A</v>
      </c>
      <c r="G10" s="34" t="e">
        <f>IF(Table14113[[#This Row],[In stock]] &gt;= Table14113[[#This Row],[Quantity]],"YES","NO")</f>
        <v>#N/A</v>
      </c>
      <c r="H10" s="34" t="e">
        <f>VLOOKUP(Table14113[[#This Row],[Man. Number]],Articles!A:J,COLUMN(Articles!$J$1)-COLUMN(Articles!$A$1)+1,FALSE)*Table14113[[#This Row],[Quantity]]</f>
        <v>#N/A</v>
      </c>
      <c r="I10" s="34">
        <f>Table14113[[#This Row],[Quantity]]*$M$1</f>
        <v>2</v>
      </c>
      <c r="J10" s="34" t="e">
        <f>IF(Table14113[[#This Row],[In stock]] &gt;= Table14113[[#This Row],[Total quantity]],"YES","NO")</f>
        <v>#N/A</v>
      </c>
    </row>
    <row r="11" spans="1:14" x14ac:dyDescent="0.25">
      <c r="A11" s="3" t="s">
        <v>93</v>
      </c>
      <c r="B11" s="4" t="e">
        <f>VLOOKUP(Table14113[[#This Row],[Man. Number]],Articles!A:F,COLUMN(Articles!$D$1)-COLUMN(Articles!$A$1)+1,FALSE)</f>
        <v>#N/A</v>
      </c>
      <c r="C11" s="4" t="e">
        <f>VLOOKUP(Table14113[[#This Row],[Man. Number]],Articles!A:F,COLUMN(Articles!$C$1)-COLUMN(Articles!$A$1)+1,FALSE)</f>
        <v>#N/A</v>
      </c>
      <c r="D11" s="4" t="s">
        <v>74</v>
      </c>
      <c r="E11" s="34">
        <v>1</v>
      </c>
      <c r="F11" s="4" t="e">
        <f>VLOOKUP(Table14113[[#This Row],[Man. Number]],Articles!A:F,COLUMN(Articles!$F$1)-COLUMN(Articles!$A$1)+1,FALSE)</f>
        <v>#N/A</v>
      </c>
      <c r="G11" s="4" t="e">
        <f>IF(Table14113[[#This Row],[In stock]] &gt;= Table14113[[#This Row],[Quantity]],"YES","NO")</f>
        <v>#N/A</v>
      </c>
      <c r="H11" s="4" t="e">
        <f>VLOOKUP(Table14113[[#This Row],[Man. Number]],Articles!A:J,COLUMN(Articles!$J$1)-COLUMN(Articles!$A$1)+1,FALSE)*Table14113[[#This Row],[Quantity]]</f>
        <v>#N/A</v>
      </c>
      <c r="I11" s="4">
        <f>Table14113[[#This Row],[Quantity]]*$M$1</f>
        <v>2</v>
      </c>
      <c r="J11" s="4" t="e">
        <f>IF(Table14113[[#This Row],[In stock]] &gt;= Table14113[[#This Row],[Total quantity]],"YES","NO")</f>
        <v>#N/A</v>
      </c>
    </row>
    <row r="12" spans="1:14" x14ac:dyDescent="0.25">
      <c r="A12" s="34" t="s">
        <v>57</v>
      </c>
      <c r="B12" s="34" t="e">
        <f>VLOOKUP(Table14113[[#This Row],[Man. Number]],Articles!A:F,COLUMN(Articles!$D$1)-COLUMN(Articles!$A$1)+1,FALSE)</f>
        <v>#N/A</v>
      </c>
      <c r="C12" s="34" t="e">
        <f>VLOOKUP(Table14113[[#This Row],[Man. Number]],Articles!A:F,COLUMN(Articles!$C$1)-COLUMN(Articles!$A$1)+1,FALSE)</f>
        <v>#N/A</v>
      </c>
      <c r="D12" s="4" t="s">
        <v>200</v>
      </c>
      <c r="E12" s="34">
        <v>1</v>
      </c>
      <c r="F12" s="34" t="e">
        <f>VLOOKUP(Table14113[[#This Row],[Man. Number]],Articles!A:F,COLUMN(Articles!$F$1)-COLUMN(Articles!$A$1)+1,FALSE)</f>
        <v>#N/A</v>
      </c>
      <c r="G12" s="34" t="e">
        <f>IF(Table14113[[#This Row],[In stock]] &gt;= Table14113[[#This Row],[Quantity]],"YES","NO")</f>
        <v>#N/A</v>
      </c>
      <c r="H12" s="34" t="e">
        <f>VLOOKUP(Table14113[[#This Row],[Man. Number]],Articles!A:J,COLUMN(Articles!$J$1)-COLUMN(Articles!$A$1)+1,FALSE)*Table14113[[#This Row],[Quantity]]</f>
        <v>#N/A</v>
      </c>
      <c r="I12" s="34">
        <f>Table14113[[#This Row],[Quantity]]*$M$1</f>
        <v>2</v>
      </c>
      <c r="J12" s="34" t="e">
        <f>IF(Table14113[[#This Row],[In stock]] &gt;= Table14113[[#This Row],[Total quantity]],"YES","NO")</f>
        <v>#N/A</v>
      </c>
    </row>
    <row r="13" spans="1:14" x14ac:dyDescent="0.25">
      <c r="A13" s="50" t="s">
        <v>234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90</v>
      </c>
      <c r="E13" s="34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43" t="s">
        <v>157</v>
      </c>
      <c r="B14" s="34" t="e">
        <f>VLOOKUP(Table14113[[#This Row],[Man. Number]],Articles!A:F,COLUMN(Articles!$D$1)-COLUMN(Articles!$A$1)+1,FALSE)</f>
        <v>#N/A</v>
      </c>
      <c r="C14" s="34" t="e">
        <f>VLOOKUP(Table14113[[#This Row],[Man. Number]],Articles!A:F,COLUMN(Articles!$C$1)-COLUMN(Articles!$A$1)+1,FALSE)</f>
        <v>#N/A</v>
      </c>
      <c r="D14" s="4" t="s">
        <v>224</v>
      </c>
      <c r="E14" s="34">
        <v>1</v>
      </c>
      <c r="F14" s="34" t="e">
        <f>VLOOKUP(Table14113[[#This Row],[Man. Number]],Articles!A:F,COLUMN(Articles!$F$1)-COLUMN(Articles!$A$1)+1,FALSE)</f>
        <v>#N/A</v>
      </c>
      <c r="G14" s="34" t="e">
        <f>IF(Table14113[[#This Row],[In stock]] &gt;= Table14113[[#This Row],[Quantity]],"YES","NO")</f>
        <v>#N/A</v>
      </c>
      <c r="H14" s="34" t="e">
        <f>VLOOKUP(Table14113[[#This Row],[Man. Number]],Articles!A:J,COLUMN(Articles!$J$1)-COLUMN(Articles!$A$1)+1,FALSE)*Table14113[[#This Row],[Quantity]]</f>
        <v>#N/A</v>
      </c>
      <c r="I14" s="34">
        <f>Table14113[[#This Row],[Quantity]]*$M$1</f>
        <v>2</v>
      </c>
      <c r="J14" s="34" t="e">
        <f>IF(Table14113[[#This Row],[In stock]] &gt;= Table14113[[#This Row],[Total quantity]],"YES","NO")</f>
        <v>#N/A</v>
      </c>
    </row>
    <row r="15" spans="1:14" x14ac:dyDescent="0.25">
      <c r="A15" s="44" t="s">
        <v>20</v>
      </c>
      <c r="B15" s="4" t="e">
        <f>VLOOKUP(Table14113[[#This Row],[Man. Number]],Articles!A:F,COLUMN(Articles!$D$1)-COLUMN(Articles!$A$1)+1,FALSE)</f>
        <v>#N/A</v>
      </c>
      <c r="C15" s="4" t="e">
        <f>VLOOKUP(Table14113[[#This Row],[Man. Number]],Articles!A:F,COLUMN(Articles!$C$1)-COLUMN(Articles!$A$1)+1,FALSE)</f>
        <v>#N/A</v>
      </c>
      <c r="D15" s="4" t="s">
        <v>216</v>
      </c>
      <c r="E15" s="34">
        <v>2</v>
      </c>
      <c r="F15" s="4" t="e">
        <f>VLOOKUP(Table14113[[#This Row],[Man. Number]],Articles!A:F,COLUMN(Articles!$F$1)-COLUMN(Articles!$A$1)+1,FALSE)</f>
        <v>#N/A</v>
      </c>
      <c r="G15" s="4" t="e">
        <f>IF(Table14113[[#This Row],[In stock]] &gt;= Table14113[[#This Row],[Quantity]],"YES","NO")</f>
        <v>#N/A</v>
      </c>
      <c r="H15" s="4" t="e">
        <f>VLOOKUP(Table14113[[#This Row],[Man. Number]],Articles!A:J,COLUMN(Articles!$J$1)-COLUMN(Articles!$A$1)+1,FALSE)*Table14113[[#This Row],[Quantity]]</f>
        <v>#N/A</v>
      </c>
      <c r="I15" s="4">
        <f>Table14113[[#This Row],[Quantity]]*$M$1</f>
        <v>4</v>
      </c>
      <c r="J15" s="4" t="e">
        <f>IF(Table14113[[#This Row],[In stock]] &gt;= Table14113[[#This Row],[Total quantity]],"YES","NO")</f>
        <v>#N/A</v>
      </c>
    </row>
    <row r="16" spans="1:14" x14ac:dyDescent="0.25">
      <c r="A16" s="43" t="s">
        <v>179</v>
      </c>
      <c r="B16" s="4" t="e">
        <f>VLOOKUP(Table14113[[#This Row],[Man. Number]],Articles!A:F,COLUMN(Articles!$D$1)-COLUMN(Articles!$A$1)+1,FALSE)</f>
        <v>#N/A</v>
      </c>
      <c r="C16" s="4" t="e">
        <f>VLOOKUP(Table14113[[#This Row],[Man. Number]],Articles!A:F,COLUMN(Articles!$C$1)-COLUMN(Articles!$A$1)+1,FALSE)</f>
        <v>#N/A</v>
      </c>
      <c r="D16" s="4" t="s">
        <v>78</v>
      </c>
      <c r="E16" s="34">
        <v>1</v>
      </c>
      <c r="F16" s="4" t="e">
        <f>VLOOKUP(Table14113[[#This Row],[Man. Number]],Articles!A:F,COLUMN(Articles!$F$1)-COLUMN(Articles!$A$1)+1,FALSE)</f>
        <v>#N/A</v>
      </c>
      <c r="G16" s="4" t="e">
        <f>IF(Table14113[[#This Row],[In stock]] &gt;= Table14113[[#This Row],[Quantity]],"YES","NO")</f>
        <v>#N/A</v>
      </c>
      <c r="H16" s="4" t="e">
        <f>VLOOKUP(Table14113[[#This Row],[Man. Number]],Articles!A:J,COLUMN(Articles!$J$1)-COLUMN(Articles!$A$1)+1,FALSE)*Table14113[[#This Row],[Quantity]]</f>
        <v>#N/A</v>
      </c>
      <c r="I16" s="4">
        <f>Table14113[[#This Row],[Quantity]]*$M$1</f>
        <v>2</v>
      </c>
      <c r="J16" s="4" t="e">
        <f>IF(Table14113[[#This Row],[In stock]] &gt;= Table14113[[#This Row],[Total quantity]],"YES","NO")</f>
        <v>#N/A</v>
      </c>
    </row>
    <row r="17" spans="1:10" x14ac:dyDescent="0.25">
      <c r="A17" s="3" t="s">
        <v>53</v>
      </c>
      <c r="B17" s="4" t="e">
        <f>VLOOKUP(Table14113[[#This Row],[Man. Number]],Articles!A:F,COLUMN(Articles!$D$1)-COLUMN(Articles!$A$1)+1,FALSE)</f>
        <v>#N/A</v>
      </c>
      <c r="C17" s="4" t="e">
        <f>VLOOKUP(Table14113[[#This Row],[Man. Number]],Articles!A:F,COLUMN(Articles!$C$1)-COLUMN(Articles!$A$1)+1,FALSE)</f>
        <v>#N/A</v>
      </c>
      <c r="D17" s="4" t="s">
        <v>221</v>
      </c>
      <c r="E17" s="34">
        <v>4</v>
      </c>
      <c r="F17" s="4" t="e">
        <f>VLOOKUP(Table14113[[#This Row],[Man. Number]],Articles!A:F,COLUMN(Articles!$F$1)-COLUMN(Articles!$A$1)+1,FALSE)</f>
        <v>#N/A</v>
      </c>
      <c r="G17" s="4" t="e">
        <f>IF(Table14113[[#This Row],[In stock]] &gt;= Table14113[[#This Row],[Quantity]],"YES","NO")</f>
        <v>#N/A</v>
      </c>
      <c r="H17" s="4" t="e">
        <f>VLOOKUP(Table14113[[#This Row],[Man. Number]],Articles!A:J,COLUMN(Articles!$J$1)-COLUMN(Articles!$A$1)+1,FALSE)*Table14113[[#This Row],[Quantity]]</f>
        <v>#N/A</v>
      </c>
      <c r="I17" s="4">
        <f>Table14113[[#This Row],[Quantity]]*$M$1</f>
        <v>8</v>
      </c>
      <c r="J17" s="4" t="e">
        <f>IF(Table14113[[#This Row],[In stock]] &gt;= Table14113[[#This Row],[Total quantity]],"YES","NO")</f>
        <v>#N/A</v>
      </c>
    </row>
    <row r="18" spans="1:10" x14ac:dyDescent="0.25">
      <c r="A18" s="43" t="s">
        <v>181</v>
      </c>
      <c r="B18" s="34" t="e">
        <f>VLOOKUP(Table14113[[#This Row],[Man. Number]],Articles!A:F,COLUMN(Articles!$D$1)-COLUMN(Articles!$A$1)+1,FALSE)</f>
        <v>#N/A</v>
      </c>
      <c r="C18" s="34" t="e">
        <f>VLOOKUP(Table14113[[#This Row],[Man. Number]],Articles!A:F,COLUMN(Articles!$C$1)-COLUMN(Articles!$A$1)+1,FALSE)</f>
        <v>#N/A</v>
      </c>
      <c r="D18" s="4" t="s">
        <v>222</v>
      </c>
      <c r="E18" s="34">
        <v>2</v>
      </c>
      <c r="F18" s="34" t="e">
        <f>VLOOKUP(Table14113[[#This Row],[Man. Number]],Articles!A:F,COLUMN(Articles!$F$1)-COLUMN(Articles!$A$1)+1,FALSE)</f>
        <v>#N/A</v>
      </c>
      <c r="G18" s="34" t="e">
        <f>IF(Table14113[[#This Row],[In stock]] &gt;= Table14113[[#This Row],[Quantity]],"YES","NO")</f>
        <v>#N/A</v>
      </c>
      <c r="H18" s="34" t="e">
        <f>VLOOKUP(Table14113[[#This Row],[Man. Number]],Articles!A:J,COLUMN(Articles!$J$1)-COLUMN(Articles!$A$1)+1,FALSE)*Table14113[[#This Row],[Quantity]]</f>
        <v>#N/A</v>
      </c>
      <c r="I18" s="34">
        <f>Table14113[[#This Row],[Quantity]]*$M$1</f>
        <v>4</v>
      </c>
      <c r="J18" s="34" t="e">
        <f>IF(Table14113[[#This Row],[In stock]] &gt;= Table14113[[#This Row],[Total quantity]],"YES","NO")</f>
        <v>#N/A</v>
      </c>
    </row>
    <row r="19" spans="1:10" x14ac:dyDescent="0.25">
      <c r="A19" s="43" t="s">
        <v>180</v>
      </c>
      <c r="B19" s="34" t="e">
        <f>VLOOKUP(Table14113[[#This Row],[Man. Number]],Articles!A:F,COLUMN(Articles!$D$1)-COLUMN(Articles!$A$1)+1,FALSE)</f>
        <v>#N/A</v>
      </c>
      <c r="C19" s="34" t="e">
        <f>VLOOKUP(Table14113[[#This Row],[Man. Number]],Articles!A:F,COLUMN(Articles!$C$1)-COLUMN(Articles!$A$1)+1,FALSE)</f>
        <v>#N/A</v>
      </c>
      <c r="D19" s="4" t="s">
        <v>203</v>
      </c>
      <c r="E19" s="34">
        <v>1</v>
      </c>
      <c r="F19" s="34" t="e">
        <f>VLOOKUP(Table14113[[#This Row],[Man. Number]],Articles!A:F,COLUMN(Articles!$F$1)-COLUMN(Articles!$A$1)+1,FALSE)</f>
        <v>#N/A</v>
      </c>
      <c r="G19" s="34" t="e">
        <f>IF(Table14113[[#This Row],[In stock]] &gt;= Table14113[[#This Row],[Quantity]],"YES","NO")</f>
        <v>#N/A</v>
      </c>
      <c r="H19" s="34" t="e">
        <f>VLOOKUP(Table14113[[#This Row],[Man. Number]],Articles!A:J,COLUMN(Articles!$J$1)-COLUMN(Articles!$A$1)+1,FALSE)*Table14113[[#This Row],[Quantity]]</f>
        <v>#N/A</v>
      </c>
      <c r="I19" s="34">
        <f>Table14113[[#This Row],[Quantity]]*$M$1</f>
        <v>2</v>
      </c>
      <c r="J19" s="34" t="e">
        <f>IF(Table14113[[#This Row],[In stock]] &gt;= Table14113[[#This Row],[Total quantity]],"YES","NO")</f>
        <v>#N/A</v>
      </c>
    </row>
    <row r="20" spans="1:10" x14ac:dyDescent="0.25">
      <c r="A20" s="43" t="s">
        <v>165</v>
      </c>
      <c r="B20" s="4" t="e">
        <f>VLOOKUP(Table14113[[#This Row],[Man. Number]],Articles!A:F,COLUMN(Articles!$D$1)-COLUMN(Articles!$A$1)+1,FALSE)</f>
        <v>#N/A</v>
      </c>
      <c r="C20" s="4" t="e">
        <f>VLOOKUP(Table14113[[#This Row],[Man. Number]],Articles!A:F,COLUMN(Articles!$C$1)-COLUMN(Articles!$A$1)+1,FALSE)</f>
        <v>#N/A</v>
      </c>
      <c r="D20" s="4" t="s">
        <v>223</v>
      </c>
      <c r="E20" s="34">
        <v>1</v>
      </c>
      <c r="F20" s="4" t="e">
        <f>VLOOKUP(Table14113[[#This Row],[Man. Number]],Articles!A:F,COLUMN(Articles!$F$1)-COLUMN(Articles!$A$1)+1,FALSE)</f>
        <v>#N/A</v>
      </c>
      <c r="G20" s="4" t="e">
        <f>IF(Table14113[[#This Row],[In stock]] &gt;= Table14113[[#This Row],[Quantity]],"YES","NO")</f>
        <v>#N/A</v>
      </c>
      <c r="H20" s="4" t="e">
        <f>VLOOKUP(Table14113[[#This Row],[Man. Number]],Articles!A:J,COLUMN(Articles!$J$1)-COLUMN(Articles!$A$1)+1,FALSE)*Table14113[[#This Row],[Quantity]]</f>
        <v>#N/A</v>
      </c>
      <c r="I20" s="4">
        <f>Table14113[[#This Row],[Quantity]]*$M$1</f>
        <v>2</v>
      </c>
      <c r="J20" s="4" t="e">
        <f>IF(Table14113[[#This Row],[In stock]] &gt;= Table14113[[#This Row],[Total quantity]],"YES","NO")</f>
        <v>#N/A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4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e">
        <f>VLOOKUP(Table14113[[#This Row],[Man. Number]],Articles!A:F,COLUMN(Articles!$D$1)-COLUMN(Articles!$A$1)+1,FALSE)</f>
        <v>#N/A</v>
      </c>
      <c r="C22" s="4" t="e">
        <f>VLOOKUP(Table14113[[#This Row],[Man. Number]],Articles!A:F,COLUMN(Articles!$C$1)-COLUMN(Articles!$A$1)+1,FALSE)</f>
        <v>#N/A</v>
      </c>
      <c r="D22" s="4" t="s">
        <v>76</v>
      </c>
      <c r="E22" s="34">
        <v>2</v>
      </c>
      <c r="F22" s="4" t="e">
        <f>VLOOKUP(Table14113[[#This Row],[Man. Number]],Articles!A:F,COLUMN(Articles!$F$1)-COLUMN(Articles!$A$1)+1,FALSE)</f>
        <v>#N/A</v>
      </c>
      <c r="G22" s="4" t="e">
        <f>IF(Table14113[[#This Row],[In stock]] &gt;= Table14113[[#This Row],[Quantity]],"YES","NO")</f>
        <v>#N/A</v>
      </c>
      <c r="H22" s="4" t="e">
        <f>VLOOKUP(Table14113[[#This Row],[Man. Number]],Articles!A:J,COLUMN(Articles!$J$1)-COLUMN(Articles!$A$1)+1,FALSE)*Table14113[[#This Row],[Quantity]]</f>
        <v>#N/A</v>
      </c>
      <c r="I22" s="4">
        <f>Table14113[[#This Row],[Quantity]]*$M$1</f>
        <v>4</v>
      </c>
      <c r="J22" s="4" t="e">
        <f>IF(Table14113[[#This Row],[In stock]] &gt;= Table14113[[#This Row],[Total quantity]],"YES","NO")</f>
        <v>#N/A</v>
      </c>
    </row>
    <row r="23" spans="1:10" x14ac:dyDescent="0.25">
      <c r="A23" s="3" t="s">
        <v>22</v>
      </c>
      <c r="B23" s="4" t="e">
        <f>VLOOKUP(Table14113[[#This Row],[Man. Number]],Articles!A:F,COLUMN(Articles!$D$1)-COLUMN(Articles!$A$1)+1,FALSE)</f>
        <v>#N/A</v>
      </c>
      <c r="C23" s="4" t="e">
        <f>VLOOKUP(Table14113[[#This Row],[Man. Number]],Articles!A:F,COLUMN(Articles!$C$1)-COLUMN(Articles!$A$1)+1,FALSE)</f>
        <v>#N/A</v>
      </c>
      <c r="D23" s="4" t="s">
        <v>217</v>
      </c>
      <c r="E23" s="34">
        <v>1</v>
      </c>
      <c r="F23" s="4" t="e">
        <f>VLOOKUP(Table14113[[#This Row],[Man. Number]],Articles!A:F,COLUMN(Articles!$F$1)-COLUMN(Articles!$A$1)+1,FALSE)</f>
        <v>#N/A</v>
      </c>
      <c r="G23" s="4" t="e">
        <f>IF(Table14113[[#This Row],[In stock]] &gt;= Table14113[[#This Row],[Quantity]],"YES","NO")</f>
        <v>#N/A</v>
      </c>
      <c r="H23" s="4" t="e">
        <f>VLOOKUP(Table14113[[#This Row],[Man. Number]],Articles!A:J,COLUMN(Articles!$J$1)-COLUMN(Articles!$A$1)+1,FALSE)*Table14113[[#This Row],[Quantity]]</f>
        <v>#N/A</v>
      </c>
      <c r="I23" s="4">
        <f>Table14113[[#This Row],[Quantity]]*$M$1</f>
        <v>2</v>
      </c>
      <c r="J23" s="4" t="e">
        <f>IF(Table14113[[#This Row],[In stock]] &gt;= Table14113[[#This Row],[Total quantity]],"YES","NO")</f>
        <v>#N/A</v>
      </c>
    </row>
    <row r="24" spans="1:10" x14ac:dyDescent="0.25">
      <c r="A24" s="3" t="s">
        <v>14</v>
      </c>
      <c r="B24" s="4" t="e">
        <f>VLOOKUP(Table14113[[#This Row],[Man. Number]],Articles!A:F,COLUMN(Articles!$D$1)-COLUMN(Articles!$A$1)+1,FALSE)</f>
        <v>#N/A</v>
      </c>
      <c r="C24" s="4" t="e">
        <f>VLOOKUP(Table14113[[#This Row],[Man. Number]],Articles!A:F,COLUMN(Articles!$C$1)-COLUMN(Articles!$A$1)+1,FALSE)</f>
        <v>#N/A</v>
      </c>
      <c r="D24" s="4" t="s">
        <v>70</v>
      </c>
      <c r="E24" s="34">
        <v>1</v>
      </c>
      <c r="F24" s="4" t="e">
        <f>VLOOKUP(Table14113[[#This Row],[Man. Number]],Articles!A:F,COLUMN(Articles!$F$1)-COLUMN(Articles!$A$1)+1,FALSE)</f>
        <v>#N/A</v>
      </c>
      <c r="G24" s="4" t="e">
        <f>IF(Table14113[[#This Row],[In stock]] &gt;= Table14113[[#This Row],[Quantity]],"YES","NO")</f>
        <v>#N/A</v>
      </c>
      <c r="H24" s="4" t="e">
        <f>VLOOKUP(Table14113[[#This Row],[Man. Number]],Articles!A:J,COLUMN(Articles!$J$1)-COLUMN(Articles!$A$1)+1,FALSE)*Table14113[[#This Row],[Quantity]]</f>
        <v>#N/A</v>
      </c>
      <c r="I24" s="4">
        <f>Table14113[[#This Row],[Quantity]]*$M$1</f>
        <v>2</v>
      </c>
      <c r="J24" s="4" t="e">
        <f>IF(Table14113[[#This Row],[In stock]] &gt;= Table14113[[#This Row],[Total quantity]],"YES","NO")</f>
        <v>#N/A</v>
      </c>
    </row>
    <row r="25" spans="1:10" x14ac:dyDescent="0.25">
      <c r="A25" s="3" t="s">
        <v>15</v>
      </c>
      <c r="B25" s="4" t="e">
        <f>VLOOKUP(Table14113[[#This Row],[Man. Number]],Articles!A:F,COLUMN(Articles!$D$1)-COLUMN(Articles!$A$1)+1,FALSE)</f>
        <v>#N/A</v>
      </c>
      <c r="C25" s="4" t="e">
        <f>VLOOKUP(Table14113[[#This Row],[Man. Number]],Articles!A:F,COLUMN(Articles!$C$1)-COLUMN(Articles!$A$1)+1,FALSE)</f>
        <v>#N/A</v>
      </c>
      <c r="D25" s="4" t="s">
        <v>72</v>
      </c>
      <c r="E25" s="34">
        <v>1</v>
      </c>
      <c r="F25" s="4" t="e">
        <f>VLOOKUP(Table14113[[#This Row],[Man. Number]],Articles!A:F,COLUMN(Articles!$F$1)-COLUMN(Articles!$A$1)+1,FALSE)</f>
        <v>#N/A</v>
      </c>
      <c r="G25" s="4" t="e">
        <f>IF(Table14113[[#This Row],[In stock]] &gt;= Table14113[[#This Row],[Quantity]],"YES","NO")</f>
        <v>#N/A</v>
      </c>
      <c r="H25" s="4" t="e">
        <f>VLOOKUP(Table14113[[#This Row],[Man. Number]],Articles!A:J,COLUMN(Articles!$J$1)-COLUMN(Articles!$A$1)+1,FALSE)*Table14113[[#This Row],[Quantity]]</f>
        <v>#N/A</v>
      </c>
      <c r="I25" s="4">
        <f>Table14113[[#This Row],[Quantity]]*$M$1</f>
        <v>2</v>
      </c>
      <c r="J25" s="4" t="e">
        <f>IF(Table14113[[#This Row],[In stock]] &gt;= Table14113[[#This Row],[Total quantity]],"YES","NO")</f>
        <v>#N/A</v>
      </c>
    </row>
    <row r="26" spans="1:10" x14ac:dyDescent="0.25">
      <c r="A26" s="3" t="s">
        <v>16</v>
      </c>
      <c r="B26" s="4" t="e">
        <f>VLOOKUP(Table14113[[#This Row],[Man. Number]],Articles!A:F,COLUMN(Articles!$D$1)-COLUMN(Articles!$A$1)+1,FALSE)</f>
        <v>#N/A</v>
      </c>
      <c r="C26" s="4" t="e">
        <f>VLOOKUP(Table14113[[#This Row],[Man. Number]],Articles!A:F,COLUMN(Articles!$C$1)-COLUMN(Articles!$A$1)+1,FALSE)</f>
        <v>#N/A</v>
      </c>
      <c r="D26" s="4" t="s">
        <v>73</v>
      </c>
      <c r="E26" s="34">
        <v>1</v>
      </c>
      <c r="F26" s="4" t="e">
        <f>VLOOKUP(Table14113[[#This Row],[Man. Number]],Articles!A:F,COLUMN(Articles!$F$1)-COLUMN(Articles!$A$1)+1,FALSE)</f>
        <v>#N/A</v>
      </c>
      <c r="G26" s="4" t="e">
        <f>IF(Table14113[[#This Row],[In stock]] &gt;= Table14113[[#This Row],[Quantity]],"YES","NO")</f>
        <v>#N/A</v>
      </c>
      <c r="H26" s="4" t="e">
        <f>VLOOKUP(Table14113[[#This Row],[Man. Number]],Articles!A:J,COLUMN(Articles!$J$1)-COLUMN(Articles!$A$1)+1,FALSE)*Table14113[[#This Row],[Quantity]]</f>
        <v>#N/A</v>
      </c>
      <c r="I26" s="4">
        <f>Table14113[[#This Row],[Quantity]]*$M$1</f>
        <v>2</v>
      </c>
      <c r="J26" s="4" t="e">
        <f>IF(Table14113[[#This Row],[In stock]] &gt;= Table14113[[#This Row],[Total quantity]],"YES","NO")</f>
        <v>#N/A</v>
      </c>
    </row>
    <row r="27" spans="1:10" x14ac:dyDescent="0.25">
      <c r="A27" s="3" t="s">
        <v>128</v>
      </c>
      <c r="B27" s="4" t="e">
        <f>VLOOKUP(Table14113[[#This Row],[Man. Number]],Articles!A:F,COLUMN(Articles!$D$1)-COLUMN(Articles!$A$1)+1,FALSE)</f>
        <v>#N/A</v>
      </c>
      <c r="C27" s="4" t="e">
        <f>VLOOKUP(Table14113[[#This Row],[Man. Number]],Articles!A:F,COLUMN(Articles!$C$1)-COLUMN(Articles!$A$1)+1,FALSE)</f>
        <v>#N/A</v>
      </c>
      <c r="D27" s="4" t="s">
        <v>89</v>
      </c>
      <c r="E27" s="34">
        <v>1</v>
      </c>
      <c r="F27" s="4" t="e">
        <f>VLOOKUP(Table14113[[#This Row],[Man. Number]],Articles!A:F,COLUMN(Articles!$F$1)-COLUMN(Articles!$A$1)+1,FALSE)</f>
        <v>#N/A</v>
      </c>
      <c r="G27" s="4" t="e">
        <f>IF(Table14113[[#This Row],[In stock]] &gt;= Table14113[[#This Row],[Quantity]],"YES","NO")</f>
        <v>#N/A</v>
      </c>
      <c r="H27" s="4" t="e">
        <f>VLOOKUP(Table14113[[#This Row],[Man. Number]],Articles!A:J,COLUMN(Articles!$J$1)-COLUMN(Articles!$A$1)+1,FALSE)*Table14113[[#This Row],[Quantity]]</f>
        <v>#N/A</v>
      </c>
      <c r="I27" s="4">
        <f>Table14113[[#This Row],[Quantity]]*$M$1</f>
        <v>2</v>
      </c>
      <c r="J27" s="4" t="e">
        <f>IF(Table14113[[#This Row],[In stock]] &gt;= Table14113[[#This Row],[Total quantity]],"YES","NO")</f>
        <v>#N/A</v>
      </c>
    </row>
    <row r="28" spans="1:10" x14ac:dyDescent="0.25">
      <c r="A28" s="43" t="s">
        <v>40</v>
      </c>
      <c r="B28" s="4" t="e">
        <f>VLOOKUP(Table14113[[#This Row],[Man. Number]],Articles!A:F,COLUMN(Articles!$D$1)-COLUMN(Articles!$A$1)+1,FALSE)</f>
        <v>#N/A</v>
      </c>
      <c r="C28" s="4" t="e">
        <f>VLOOKUP(Table14113[[#This Row],[Man. Number]],Articles!A:F,COLUMN(Articles!$C$1)-COLUMN(Articles!$A$1)+1,FALSE)</f>
        <v>#N/A</v>
      </c>
      <c r="D28" s="4" t="s">
        <v>86</v>
      </c>
      <c r="E28" s="34">
        <v>1</v>
      </c>
      <c r="F28" s="4" t="e">
        <f>VLOOKUP(Table14113[[#This Row],[Man. Number]],Articles!A:F,COLUMN(Articles!$F$1)-COLUMN(Articles!$A$1)+1,FALSE)</f>
        <v>#N/A</v>
      </c>
      <c r="G28" s="4" t="e">
        <f>IF(Table14113[[#This Row],[In stock]] &gt;= Table14113[[#This Row],[Quantity]],"YES","NO")</f>
        <v>#N/A</v>
      </c>
      <c r="H28" s="4" t="e">
        <f>VLOOKUP(Table14113[[#This Row],[Man. Number]],Articles!A:J,COLUMN(Articles!$J$1)-COLUMN(Articles!$A$1)+1,FALSE)*Table14113[[#This Row],[Quantity]]</f>
        <v>#N/A</v>
      </c>
      <c r="I28" s="4">
        <f>Table14113[[#This Row],[Quantity]]*$M$1</f>
        <v>2</v>
      </c>
      <c r="J28" s="4" t="e">
        <f>IF(Table14113[[#This Row],[In stock]] &gt;= Table14113[[#This Row],[Total quantity]],"YES","NO")</f>
        <v>#N/A</v>
      </c>
    </row>
    <row r="29" spans="1:10" x14ac:dyDescent="0.25">
      <c r="A29" s="3" t="s">
        <v>214</v>
      </c>
      <c r="B29" s="4" t="e">
        <f>VLOOKUP(Table14113[[#This Row],[Man. Number]],Articles!A:F,COLUMN(Articles!$D$1)-COLUMN(Articles!$A$1)+1,FALSE)</f>
        <v>#N/A</v>
      </c>
      <c r="C29" s="4" t="e">
        <f>VLOOKUP(Table14113[[#This Row],[Man. Number]],Articles!A:F,COLUMN(Articles!$C$1)-COLUMN(Articles!$A$1)+1,FALSE)</f>
        <v>#N/A</v>
      </c>
      <c r="D29" s="4" t="s">
        <v>69</v>
      </c>
      <c r="E29" s="34">
        <v>1</v>
      </c>
      <c r="F29" s="4" t="e">
        <f>VLOOKUP(Table14113[[#This Row],[Man. Number]],Articles!A:F,COLUMN(Articles!$F$1)-COLUMN(Articles!$A$1)+1,FALSE)</f>
        <v>#N/A</v>
      </c>
      <c r="G29" s="4" t="e">
        <f>IF(Table14113[[#This Row],[In stock]] &gt;= Table14113[[#This Row],[Quantity]],"YES","NO")</f>
        <v>#N/A</v>
      </c>
      <c r="H29" s="4" t="e">
        <f>VLOOKUP(Table14113[[#This Row],[Man. Number]],Articles!A:J,COLUMN(Articles!$J$1)-COLUMN(Articles!$A$1)+1,FALSE)*Table14113[[#This Row],[Quantity]]</f>
        <v>#N/A</v>
      </c>
      <c r="I29" s="4">
        <f>Table14113[[#This Row],[Quantity]]*$M$1</f>
        <v>2</v>
      </c>
      <c r="J29" s="4" t="e">
        <f>IF(Table14113[[#This Row],[In stock]] &gt;= Table14113[[#This Row],[Total quantity]],"YES","NO")</f>
        <v>#N/A</v>
      </c>
    </row>
    <row r="30" spans="1:10" x14ac:dyDescent="0.25">
      <c r="A30" s="43" t="s">
        <v>213</v>
      </c>
      <c r="B30" s="4" t="e">
        <f>VLOOKUP(Table14113[[#This Row],[Man. Number]],Articles!A:F,COLUMN(Articles!$D$1)-COLUMN(Articles!$A$1)+1,FALSE)</f>
        <v>#N/A</v>
      </c>
      <c r="C30" s="4" t="e">
        <f>VLOOKUP(Table14113[[#This Row],[Man. Number]],Articles!A:F,COLUMN(Articles!$C$1)-COLUMN(Articles!$A$1)+1,FALSE)</f>
        <v>#N/A</v>
      </c>
      <c r="D30" s="4" t="s">
        <v>218</v>
      </c>
      <c r="E30" s="34">
        <v>1</v>
      </c>
      <c r="F30" s="4" t="e">
        <f>VLOOKUP(Table14113[[#This Row],[Man. Number]],Articles!A:F,COLUMN(Articles!$F$1)-COLUMN(Articles!$A$1)+1,FALSE)</f>
        <v>#N/A</v>
      </c>
      <c r="G30" s="4" t="e">
        <f>IF(Table14113[[#This Row],[In stock]] &gt;= Table14113[[#This Row],[Quantity]],"YES","NO")</f>
        <v>#N/A</v>
      </c>
      <c r="H30" s="4" t="e">
        <f>VLOOKUP(Table14113[[#This Row],[Man. Number]],Articles!A:J,COLUMN(Articles!$J$1)-COLUMN(Articles!$A$1)+1,FALSE)*Table14113[[#This Row],[Quantity]]</f>
        <v>#N/A</v>
      </c>
      <c r="I30" s="4">
        <f>Table14113[[#This Row],[Quantity]]*$M$1</f>
        <v>2</v>
      </c>
      <c r="J30" s="4" t="e">
        <f>IF(Table14113[[#This Row],[In stock]] &gt;= Table14113[[#This Row],[Total quantity]],"YES","NO")</f>
        <v>#N/A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4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4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3" t="s">
        <v>158</v>
      </c>
      <c r="B33" s="34" t="e">
        <f>VLOOKUP(Table14113[[#This Row],[Man. Number]],Articles!A:F,COLUMN(Articles!$D$1)-COLUMN(Articles!$A$1)+1,FALSE)</f>
        <v>#N/A</v>
      </c>
      <c r="C33" s="34" t="e">
        <f>VLOOKUP(Table14113[[#This Row],[Man. Number]],Articles!A:F,COLUMN(Articles!$C$1)-COLUMN(Articles!$A$1)+1,FALSE)</f>
        <v>#N/A</v>
      </c>
      <c r="D33" s="4" t="s">
        <v>225</v>
      </c>
      <c r="E33" s="34">
        <f>(3*2+5)/36</f>
        <v>0.30555555555555558</v>
      </c>
      <c r="F33" s="34" t="e">
        <f>VLOOKUP(Table14113[[#This Row],[Man. Number]],Articles!A:F,COLUMN(Articles!$F$1)-COLUMN(Articles!$A$1)+1,FALSE)</f>
        <v>#N/A</v>
      </c>
      <c r="G33" s="34" t="e">
        <f>IF(Table14113[[#This Row],[In stock]] &gt;= Table14113[[#This Row],[Quantity]],"YES","NO")</f>
        <v>#N/A</v>
      </c>
      <c r="H33" s="34" t="e">
        <f>VLOOKUP(Table14113[[#This Row],[Man. Number]],Articles!A:J,COLUMN(Articles!$J$1)-COLUMN(Articles!$A$1)+1,FALSE)*Table14113[[#This Row],[Quantity]]</f>
        <v>#N/A</v>
      </c>
      <c r="I33" s="34">
        <f>Table14113[[#This Row],[Quantity]]*$M$1</f>
        <v>0.61111111111111116</v>
      </c>
      <c r="J33" s="34" t="e">
        <f>IF(Table14113[[#This Row],[In stock]] &gt;= Table14113[[#This Row],[Total quantity]],"YES","NO")</f>
        <v>#N/A</v>
      </c>
    </row>
    <row r="34" spans="1:10" x14ac:dyDescent="0.25">
      <c r="A34" s="4" t="s">
        <v>30</v>
      </c>
      <c r="B34" s="4" t="e">
        <f>VLOOKUP(Table14113[[#This Row],[Man. Number]],Articles!A:F,COLUMN(Articles!$D$1)-COLUMN(Articles!$A$1)+1,FALSE)</f>
        <v>#N/A</v>
      </c>
      <c r="C34" s="4" t="e">
        <f>VLOOKUP(Table14113[[#This Row],[Man. Number]],Articles!A:F,COLUMN(Articles!$C$1)-COLUMN(Articles!$A$1)+1,FALSE)</f>
        <v>#N/A</v>
      </c>
      <c r="D34" s="4" t="s">
        <v>85</v>
      </c>
      <c r="E34" s="34">
        <v>1</v>
      </c>
      <c r="F34" s="4" t="e">
        <f>VLOOKUP(Table14113[[#This Row],[Man. Number]],Articles!A:F,COLUMN(Articles!$F$1)-COLUMN(Articles!$A$1)+1,FALSE)</f>
        <v>#N/A</v>
      </c>
      <c r="G34" s="4" t="e">
        <f>IF(Table14113[[#This Row],[In stock]] &gt;= Table14113[[#This Row],[Quantity]],"YES","NO")</f>
        <v>#N/A</v>
      </c>
      <c r="H34" s="4" t="e">
        <f>VLOOKUP(Table14113[[#This Row],[Man. Number]],Articles!A:J,COLUMN(Articles!$J$1)-COLUMN(Articles!$A$1)+1,FALSE)*Table14113[[#This Row],[Quantity]]</f>
        <v>#N/A</v>
      </c>
      <c r="I34" s="4">
        <f>Table14113[[#This Row],[Quantity]]*$M$1</f>
        <v>2</v>
      </c>
      <c r="J34" s="4" t="e">
        <f>IF(Table14113[[#This Row],[In stock]] &gt;= Table14113[[#This Row],[Total quantity]],"YES","NO")</f>
        <v>#N/A</v>
      </c>
    </row>
    <row r="35" spans="1:10" x14ac:dyDescent="0.25">
      <c r="A35" s="4" t="s">
        <v>115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120" priority="5"/>
  </conditionalFormatting>
  <conditionalFormatting sqref="G1:H1048576 J1:J1048576">
    <cfRule type="containsText" dxfId="119" priority="6" operator="containsText" text="NO">
      <formula>NOT(ISERROR(SEARCH("NO",G1)))</formula>
    </cfRule>
  </conditionalFormatting>
  <conditionalFormatting sqref="N1">
    <cfRule type="cellIs" dxfId="118" priority="3" stopIfTrue="1" operator="equal">
      <formula>"Locked"</formula>
    </cfRule>
    <cfRule type="cellIs" dxfId="117" priority="4" stopIfTrue="1" operator="equal">
      <formula>"Unlocked"</formula>
    </cfRule>
  </conditionalFormatting>
  <conditionalFormatting sqref="A13">
    <cfRule type="duplicateValues" dxfId="116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5">
        <v>1</v>
      </c>
      <c r="N1" t="s">
        <v>238</v>
      </c>
    </row>
    <row r="2" spans="1:14" x14ac:dyDescent="0.25">
      <c r="A2" s="4" t="s">
        <v>42</v>
      </c>
      <c r="B2" s="4" t="e">
        <f>VLOOKUP(Table1411[[#This Row],[Man. Number]],Articles!A:F,COLUMN(Articles!$D$1)-COLUMN(Articles!$A$1)+1,FALSE)</f>
        <v>#N/A</v>
      </c>
      <c r="C2" s="4" t="e">
        <f>VLOOKUP(Table1411[[#This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VLOOKUP(Table1411[[#This Row],[Man. Number]],Articles!A:F,COLUMN(Articles!$F$1)-COLUMN(Articles!$A$1)+1,FALSE)</f>
        <v>#N/A</v>
      </c>
      <c r="G2" s="4" t="e">
        <f>IF(Table1411[[#This Row],[In stock]] &gt;= Table1411[[#This Row],[Quantity]],"YES","NO")</f>
        <v>#N/A</v>
      </c>
      <c r="H2" s="4" t="e">
        <f>VLOOKUP(Table1411[[#This Row],[Man. Number]],Articles!A:J,COLUMN(Articles!$J$1)-COLUMN(Articles!$A$1)+1,FALSE)*Table1411[[#This Row],[Quantity]]</f>
        <v>#N/A</v>
      </c>
      <c r="I2" s="4">
        <f>Table1411[[#This Row],[Quantity]]*$M$1</f>
        <v>1</v>
      </c>
      <c r="J2" s="4" t="e">
        <f>IF(Table1411[[#This Row],[In stock]] &gt;= Table1411[[#This Row],[Total quantity]],"YES","NO")</f>
        <v>#N/A</v>
      </c>
    </row>
    <row r="3" spans="1:14" x14ac:dyDescent="0.25">
      <c r="A3" s="3" t="s">
        <v>35</v>
      </c>
      <c r="B3" s="4" t="e">
        <f>VLOOKUP(Table1411[[#This Row],[Man. Number]],Articles!A:F,COLUMN(Articles!$D$1)-COLUMN(Articles!$A$1)+1,FALSE)</f>
        <v>#N/A</v>
      </c>
      <c r="C3" s="4" t="e">
        <f>VLOOKUP(Table1411[[#This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VLOOKUP(Table1411[[#This Row],[Man. Number]],Articles!A:F,COLUMN(Articles!$F$1)-COLUMN(Articles!$A$1)+1,FALSE)</f>
        <v>#N/A</v>
      </c>
      <c r="G3" s="4" t="e">
        <f>IF(Table1411[[#This Row],[In stock]] &gt;= Table1411[[#This Row],[Quantity]],"YES","NO")</f>
        <v>#N/A</v>
      </c>
      <c r="H3" s="4" t="e">
        <f>VLOOKUP(Table1411[[#This Row],[Man. Number]],Articles!A:J,COLUMN(Articles!$J$1)-COLUMN(Articles!$A$1)+1,FALSE)*Table1411[[#This Row],[Quantity]]</f>
        <v>#N/A</v>
      </c>
      <c r="I3" s="4">
        <f>Table1411[[#This Row],[Quantity]]*$M$1</f>
        <v>19</v>
      </c>
      <c r="J3" s="4" t="e">
        <f>IF(Table1411[[#This Row],[In stock]] &gt;= Table1411[[#This Row],[Total quantity]],"YES","NO")</f>
        <v>#N/A</v>
      </c>
    </row>
    <row r="4" spans="1:14" x14ac:dyDescent="0.25">
      <c r="A4" s="3" t="s">
        <v>109</v>
      </c>
      <c r="B4" s="4" t="e">
        <f>VLOOKUP(Table1411[[#This Row],[Man. Number]],Articles!A:F,COLUMN(Articles!$D$1)-COLUMN(Articles!$A$1)+1,FALSE)</f>
        <v>#N/A</v>
      </c>
      <c r="C4" s="4" t="e">
        <f>VLOOKUP(Table1411[[#This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VLOOKUP(Table1411[[#This Row],[Man. Number]],Articles!A:F,COLUMN(Articles!$F$1)-COLUMN(Articles!$A$1)+1,FALSE)</f>
        <v>#N/A</v>
      </c>
      <c r="G4" s="4" t="e">
        <f>IF(Table1411[[#This Row],[In stock]] &gt;= Table1411[[#This Row],[Quantity]],"YES","NO")</f>
        <v>#N/A</v>
      </c>
      <c r="H4" s="4" t="e">
        <f>VLOOKUP(Table1411[[#This Row],[Man. Number]],Articles!A:J,COLUMN(Articles!$J$1)-COLUMN(Articles!$A$1)+1,FALSE)*Table1411[[#This Row],[Quantity]]</f>
        <v>#N/A</v>
      </c>
      <c r="I4" s="4">
        <f>Table1411[[#This Row],[Quantity]]*$M$1</f>
        <v>0.63888888888888884</v>
      </c>
      <c r="J4" s="4" t="e">
        <f>IF(Table1411[[#This Row],[In stock]] &gt;= Table1411[[#This Row],[Total quantity]],"YES","NO")</f>
        <v>#N/A</v>
      </c>
    </row>
    <row r="5" spans="1:14" x14ac:dyDescent="0.25">
      <c r="A5" s="3" t="s">
        <v>215</v>
      </c>
      <c r="B5" s="4" t="e">
        <f>VLOOKUP(Table1411[[#This Row],[Man. Number]],Articles!A:F,COLUMN(Articles!$D$1)-COLUMN(Articles!$A$1)+1,FALSE)</f>
        <v>#N/A</v>
      </c>
      <c r="C5" s="4" t="e">
        <f>VLOOKUP(Table1411[[#This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VLOOKUP(Table1411[[#This Row],[Man. Number]],Articles!A:F,COLUMN(Articles!$F$1)-COLUMN(Articles!$A$1)+1,FALSE)</f>
        <v>#N/A</v>
      </c>
      <c r="G5" s="4" t="e">
        <f>IF(Table1411[[#This Row],[In stock]] &gt;= Table1411[[#This Row],[Quantity]],"YES","NO")</f>
        <v>#N/A</v>
      </c>
      <c r="H5" s="4" t="e">
        <f>VLOOKUP(Table1411[[#This Row],[Man. Number]],Articles!A:J,COLUMN(Articles!$J$1)-COLUMN(Articles!$A$1)+1,FALSE)*Table1411[[#This Row],[Quantity]]</f>
        <v>#N/A</v>
      </c>
      <c r="I5" s="4">
        <f>Table1411[[#This Row],[Quantity]]*$M$1</f>
        <v>1</v>
      </c>
      <c r="J5" s="4" t="e">
        <f>IF(Table1411[[#This Row],[In stock]] &gt;= Table1411[[#This Row],[Total quantity]],"YES","NO")</f>
        <v>#N/A</v>
      </c>
    </row>
    <row r="6" spans="1:14" x14ac:dyDescent="0.25">
      <c r="A6" s="3" t="s">
        <v>9</v>
      </c>
      <c r="B6" s="4" t="e">
        <f>VLOOKUP(Table1411[[#This Row],[Man. Number]],Articles!A:F,COLUMN(Articles!$D$1)-COLUMN(Articles!$A$1)+1,FALSE)</f>
        <v>#N/A</v>
      </c>
      <c r="C6" s="4" t="e">
        <f>VLOOKUP(Table1411[[#This Row],[Man. Number]],Articles!A:F,COLUMN(Articles!$C$1)-COLUMN(Articles!$A$1)+1,FALSE)</f>
        <v>#N/A</v>
      </c>
      <c r="D6" s="4" t="s">
        <v>199</v>
      </c>
      <c r="E6" s="4">
        <v>2</v>
      </c>
      <c r="F6" s="4" t="e">
        <f>VLOOKUP(Table1411[[#This Row],[Man. Number]],Articles!A:F,COLUMN(Articles!$F$1)-COLUMN(Articles!$A$1)+1,FALSE)</f>
        <v>#N/A</v>
      </c>
      <c r="G6" s="4" t="e">
        <f>IF(Table1411[[#This Row],[In stock]] &gt;= Table1411[[#This Row],[Quantity]],"YES","NO")</f>
        <v>#N/A</v>
      </c>
      <c r="H6" s="4" t="e">
        <f>VLOOKUP(Table1411[[#This Row],[Man. Number]],Articles!A:J,COLUMN(Articles!$J$1)-COLUMN(Articles!$A$1)+1,FALSE)*Table1411[[#This Row],[Quantity]]</f>
        <v>#N/A</v>
      </c>
      <c r="I6" s="4">
        <f>Table1411[[#This Row],[Quantity]]*$M$1</f>
        <v>2</v>
      </c>
      <c r="J6" s="4" t="e">
        <f>IF(Table1411[[#This Row],[In stock]] &gt;= Table1411[[#This Row],[Total quantity]],"YES","NO")</f>
        <v>#N/A</v>
      </c>
    </row>
    <row r="7" spans="1:14" x14ac:dyDescent="0.25">
      <c r="A7" s="3" t="s">
        <v>10</v>
      </c>
      <c r="B7" s="4" t="e">
        <f>VLOOKUP(Table1411[[#This Row],[Man. Number]],Articles!A:F,COLUMN(Articles!$D$1)-COLUMN(Articles!$A$1)+1,FALSE)</f>
        <v>#N/A</v>
      </c>
      <c r="C7" s="4" t="e">
        <f>VLOOKUP(Table1411[[#This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VLOOKUP(Table1411[[#This Row],[Man. Number]],Articles!A:F,COLUMN(Articles!$F$1)-COLUMN(Articles!$A$1)+1,FALSE)</f>
        <v>#N/A</v>
      </c>
      <c r="G7" s="4" t="e">
        <f>IF(Table1411[[#This Row],[In stock]] &gt;= Table1411[[#This Row],[Quantity]],"YES","NO")</f>
        <v>#N/A</v>
      </c>
      <c r="H7" s="4" t="e">
        <f>VLOOKUP(Table1411[[#This Row],[Man. Number]],Articles!A:J,COLUMN(Articles!$J$1)-COLUMN(Articles!$A$1)+1,FALSE)*Table1411[[#This Row],[Quantity]]</f>
        <v>#N/A</v>
      </c>
      <c r="I7" s="4">
        <f>Table1411[[#This Row],[Quantity]]*$M$1</f>
        <v>1</v>
      </c>
      <c r="J7" s="4" t="e">
        <f>IF(Table1411[[#This Row],[In stock]] &gt;= Table1411[[#This Row],[Total quantity]],"YES","NO")</f>
        <v>#N/A</v>
      </c>
    </row>
    <row r="8" spans="1:14" x14ac:dyDescent="0.25">
      <c r="A8" s="3" t="s">
        <v>19</v>
      </c>
      <c r="B8" s="4" t="e">
        <f>VLOOKUP(Table1411[[#This Row],[Man. Number]],Articles!A:F,COLUMN(Articles!$D$1)-COLUMN(Articles!$A$1)+1,FALSE)</f>
        <v>#N/A</v>
      </c>
      <c r="C8" s="4" t="e">
        <f>VLOOKUP(Table1411[[#This Row],[Man. Number]],Articles!A:F,COLUMN(Articles!$C$1)-COLUMN(Articles!$A$1)+1,FALSE)</f>
        <v>#N/A</v>
      </c>
      <c r="D8" s="4" t="s">
        <v>198</v>
      </c>
      <c r="E8" s="4">
        <v>5</v>
      </c>
      <c r="F8" s="4" t="e">
        <f>VLOOKUP(Table1411[[#This Row],[Man. Number]],Articles!A:F,COLUMN(Articles!$F$1)-COLUMN(Articles!$A$1)+1,FALSE)</f>
        <v>#N/A</v>
      </c>
      <c r="G8" s="4" t="e">
        <f>IF(Table1411[[#This Row],[In stock]] &gt;= Table1411[[#This Row],[Quantity]],"YES","NO")</f>
        <v>#N/A</v>
      </c>
      <c r="H8" s="4" t="e">
        <f>VLOOKUP(Table1411[[#This Row],[Man. Number]],Articles!A:J,COLUMN(Articles!$J$1)-COLUMN(Articles!$A$1)+1,FALSE)*Table1411[[#This Row],[Quantity]]</f>
        <v>#N/A</v>
      </c>
      <c r="I8" s="4">
        <f>Table1411[[#This Row],[Quantity]]*$M$1</f>
        <v>5</v>
      </c>
      <c r="J8" s="4" t="e">
        <f>IF(Table1411[[#This Row],[In stock]] &gt;= Table1411[[#This Row],[Total quantity]],"YES","NO")</f>
        <v>#N/A</v>
      </c>
    </row>
    <row r="9" spans="1:14" x14ac:dyDescent="0.25">
      <c r="A9" s="3" t="s">
        <v>64</v>
      </c>
      <c r="B9" s="4" t="e">
        <f>VLOOKUP(Table1411[[#This Row],[Man. Number]],Articles!A:F,COLUMN(Articles!$D$1)-COLUMN(Articles!$A$1)+1,FALSE)</f>
        <v>#N/A</v>
      </c>
      <c r="C9" s="4" t="e">
        <f>VLOOKUP(Table1411[[#This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VLOOKUP(Table1411[[#This Row],[Man. Number]],Articles!A:F,COLUMN(Articles!$F$1)-COLUMN(Articles!$A$1)+1,FALSE)</f>
        <v>#N/A</v>
      </c>
      <c r="G9" s="4" t="e">
        <f>IF(Table1411[[#This Row],[In stock]] &gt;= Table1411[[#This Row],[Quantity]],"YES","NO")</f>
        <v>#N/A</v>
      </c>
      <c r="H9" s="4" t="e">
        <f>VLOOKUP(Table1411[[#This Row],[Man. Number]],Articles!A:J,COLUMN(Articles!$J$1)-COLUMN(Articles!$A$1)+1,FALSE)*Table1411[[#This Row],[Quantity]]</f>
        <v>#N/A</v>
      </c>
      <c r="I9" s="4">
        <f>Table1411[[#This Row],[Quantity]]*$M$1</f>
        <v>1</v>
      </c>
      <c r="J9" s="4" t="e">
        <f>IF(Table1411[[#This Row],[In stock]] &gt;= Table1411[[#This Row],[Total quantity]],"YES","NO")</f>
        <v>#N/A</v>
      </c>
    </row>
    <row r="10" spans="1:14" x14ac:dyDescent="0.25">
      <c r="A10" s="43" t="s">
        <v>207</v>
      </c>
      <c r="B10" s="34" t="e">
        <f>VLOOKUP(Table1411[[#This Row],[Man. Number]],Articles!A:F,COLUMN(Articles!$D$1)-COLUMN(Articles!$A$1)+1,FALSE)</f>
        <v>#N/A</v>
      </c>
      <c r="C10" s="34" t="e">
        <f>VLOOKUP(Table1411[[#This Row],[Man. Number]],Articles!A:F,COLUMN(Articles!$C$1)-COLUMN(Articles!$A$1)+1,FALSE)</f>
        <v>#N/A</v>
      </c>
      <c r="D10" s="4" t="s">
        <v>84</v>
      </c>
      <c r="E10" s="4">
        <v>1</v>
      </c>
      <c r="F10" s="34" t="e">
        <f>VLOOKUP(Table1411[[#This Row],[Man. Number]],Articles!A:F,COLUMN(Articles!$F$1)-COLUMN(Articles!$A$1)+1,FALSE)</f>
        <v>#N/A</v>
      </c>
      <c r="G10" s="34" t="e">
        <f>IF(Table1411[[#This Row],[In stock]] &gt;= Table1411[[#This Row],[Quantity]],"YES","NO")</f>
        <v>#N/A</v>
      </c>
      <c r="H10" s="34" t="e">
        <f>VLOOKUP(Table1411[[#This Row],[Man. Number]],Articles!A:J,COLUMN(Articles!$J$1)-COLUMN(Articles!$A$1)+1,FALSE)*Table1411[[#This Row],[Quantity]]</f>
        <v>#N/A</v>
      </c>
      <c r="I10" s="34">
        <f>Table1411[[#This Row],[Quantity]]*$M$1</f>
        <v>1</v>
      </c>
      <c r="J10" s="34" t="e">
        <f>IF(Table1411[[#This Row],[In stock]] &gt;= Table1411[[#This Row],[Total quantity]],"YES","NO")</f>
        <v>#N/A</v>
      </c>
    </row>
    <row r="11" spans="1:14" x14ac:dyDescent="0.25">
      <c r="A11" s="4" t="s">
        <v>38</v>
      </c>
      <c r="B11" s="4" t="e">
        <f>VLOOKUP(Table1411[[#This Row],[Man. Number]],Articles!A:F,COLUMN(Articles!$D$1)-COLUMN(Articles!$A$1)+1,FALSE)</f>
        <v>#N/A</v>
      </c>
      <c r="C11" s="4" t="e">
        <f>VLOOKUP(Table1411[[#This Row],[Man. Number]],Articles!A:F,COLUMN(Articles!$C$1)-COLUMN(Articles!$A$1)+1,FALSE)</f>
        <v>#N/A</v>
      </c>
      <c r="D11" s="4" t="s">
        <v>84</v>
      </c>
      <c r="E11" s="4">
        <v>0</v>
      </c>
      <c r="F11" s="4" t="e">
        <f>VLOOKUP(Table1411[[#This Row],[Man. Number]],Articles!A:F,COLUMN(Articles!$F$1)-COLUMN(Articles!$A$1)+1,FALSE)</f>
        <v>#N/A</v>
      </c>
      <c r="G11" s="4" t="e">
        <f>IF(Table1411[[#This Row],[In stock]] &gt;= Table1411[[#This Row],[Quantity]],"YES","NO")</f>
        <v>#N/A</v>
      </c>
      <c r="H11" s="4" t="e">
        <f>VLOOKUP(Table1411[[#This Row],[Man. Number]],Articles!A:J,COLUMN(Articles!$J$1)-COLUMN(Articles!$A$1)+1,FALSE)*Table1411[[#This Row],[Quantity]]</f>
        <v>#N/A</v>
      </c>
      <c r="I11" s="4">
        <f>Table1411[[#This Row],[Quantity]]*$M$1</f>
        <v>0</v>
      </c>
      <c r="J11" s="4" t="e">
        <f>IF(Table1411[[#This Row],[In stock]] &gt;= Table1411[[#This Row],[Total quantity]],"YES","NO")</f>
        <v>#N/A</v>
      </c>
    </row>
    <row r="12" spans="1:14" x14ac:dyDescent="0.25">
      <c r="A12" s="43" t="s">
        <v>208</v>
      </c>
      <c r="B12" s="34" t="e">
        <f>VLOOKUP(Table1411[[#This Row],[Man. Number]],Articles!A:F,COLUMN(Articles!$D$1)-COLUMN(Articles!$A$1)+1,FALSE)</f>
        <v>#N/A</v>
      </c>
      <c r="C12" s="34" t="e">
        <f>VLOOKUP(Table1411[[#This Row],[Man. Number]],Articles!A:F,COLUMN(Articles!$C$1)-COLUMN(Articles!$A$1)+1,FALSE)</f>
        <v>#N/A</v>
      </c>
      <c r="D12" s="4" t="s">
        <v>84</v>
      </c>
      <c r="E12" s="4">
        <v>0</v>
      </c>
      <c r="F12" s="34" t="e">
        <f>VLOOKUP(Table1411[[#This Row],[Man. Number]],Articles!A:F,COLUMN(Articles!$F$1)-COLUMN(Articles!$A$1)+1,FALSE)</f>
        <v>#N/A</v>
      </c>
      <c r="G12" s="34" t="e">
        <f>IF(Table1411[[#This Row],[In stock]] &gt;= Table1411[[#This Row],[Quantity]],"YES","NO")</f>
        <v>#N/A</v>
      </c>
      <c r="H12" s="34" t="e">
        <f>VLOOKUP(Table1411[[#This Row],[Man. Number]],Articles!A:J,COLUMN(Articles!$J$1)-COLUMN(Articles!$A$1)+1,FALSE)*Table1411[[#This Row],[Quantity]]</f>
        <v>#N/A</v>
      </c>
      <c r="I12" s="34">
        <f>Table1411[[#This Row],[Quantity]]*$M$1</f>
        <v>0</v>
      </c>
      <c r="J12" s="34" t="e">
        <f>IF(Table1411[[#This Row],[In stock]] &gt;= Table1411[[#This Row],[Total quantity]],"YES","NO")</f>
        <v>#N/A</v>
      </c>
    </row>
    <row r="13" spans="1:14" x14ac:dyDescent="0.25">
      <c r="A13" s="3" t="s">
        <v>18</v>
      </c>
      <c r="B13" s="4" t="e">
        <f>VLOOKUP(Table1411[[#This Row],[Man. Number]],Articles!A:F,COLUMN(Articles!$D$1)-COLUMN(Articles!$A$1)+1,FALSE)</f>
        <v>#N/A</v>
      </c>
      <c r="C13" s="4" t="e">
        <f>VLOOKUP(Table1411[[#This Row],[Man. Number]],Articles!A:F,COLUMN(Articles!$C$1)-COLUMN(Articles!$A$1)+1,FALSE)</f>
        <v>#N/A</v>
      </c>
      <c r="D13" s="4" t="s">
        <v>71</v>
      </c>
      <c r="E13" s="4">
        <v>1</v>
      </c>
      <c r="F13" s="4" t="e">
        <f>VLOOKUP(Table1411[[#This Row],[Man. Number]],Articles!A:F,COLUMN(Articles!$F$1)-COLUMN(Articles!$A$1)+1,FALSE)</f>
        <v>#N/A</v>
      </c>
      <c r="G13" s="4" t="e">
        <f>IF(Table1411[[#This Row],[In stock]] &gt;= Table1411[[#This Row],[Quantity]],"YES","NO")</f>
        <v>#N/A</v>
      </c>
      <c r="H13" s="4" t="e">
        <f>VLOOKUP(Table1411[[#This Row],[Man. Number]],Articles!A:J,COLUMN(Articles!$J$1)-COLUMN(Articles!$A$1)+1,FALSE)*Table1411[[#This Row],[Quantity]]</f>
        <v>#N/A</v>
      </c>
      <c r="I13" s="4">
        <f>Table1411[[#This Row],[Quantity]]*$M$1</f>
        <v>1</v>
      </c>
      <c r="J13" s="4" t="e">
        <f>IF(Table1411[[#This Row],[In stock]] &gt;= Table1411[[#This Row],[Total quantity]],"YES","NO")</f>
        <v>#N/A</v>
      </c>
    </row>
    <row r="14" spans="1:14" x14ac:dyDescent="0.25">
      <c r="A14" s="3" t="s">
        <v>93</v>
      </c>
      <c r="B14" s="4" t="e">
        <f>VLOOKUP(Table1411[[#This Row],[Man. Number]],Articles!A:F,COLUMN(Articles!$D$1)-COLUMN(Articles!$A$1)+1,FALSE)</f>
        <v>#N/A</v>
      </c>
      <c r="C14" s="4" t="e">
        <f>VLOOKUP(Table1411[[#This Row],[Man. Number]],Articles!A:F,COLUMN(Articles!$C$1)-COLUMN(Articles!$A$1)+1,FALSE)</f>
        <v>#N/A</v>
      </c>
      <c r="D14" s="4" t="s">
        <v>74</v>
      </c>
      <c r="E14" s="4">
        <v>1</v>
      </c>
      <c r="F14" s="4" t="e">
        <f>VLOOKUP(Table1411[[#This Row],[Man. Number]],Articles!A:F,COLUMN(Articles!$F$1)-COLUMN(Articles!$A$1)+1,FALSE)</f>
        <v>#N/A</v>
      </c>
      <c r="G14" s="4" t="e">
        <f>IF(Table1411[[#This Row],[In stock]] &gt;= Table1411[[#This Row],[Quantity]],"YES","NO")</f>
        <v>#N/A</v>
      </c>
      <c r="H14" s="4" t="e">
        <f>VLOOKUP(Table1411[[#This Row],[Man. Number]],Articles!A:J,COLUMN(Articles!$J$1)-COLUMN(Articles!$A$1)+1,FALSE)*Table1411[[#This Row],[Quantity]]</f>
        <v>#N/A</v>
      </c>
      <c r="I14" s="4">
        <f>Table1411[[#This Row],[Quantity]]*$M$1</f>
        <v>1</v>
      </c>
      <c r="J14" s="4" t="e">
        <f>IF(Table1411[[#This Row],[In stock]] &gt;= Table1411[[#This Row],[Total quantity]],"YES","NO")</f>
        <v>#N/A</v>
      </c>
    </row>
    <row r="15" spans="1:14" x14ac:dyDescent="0.25">
      <c r="A15" s="43" t="s">
        <v>58</v>
      </c>
      <c r="B15" s="34" t="e">
        <f>VLOOKUP(Table1411[[#This Row],[Man. Number]],Articles!A:F,COLUMN(Articles!$D$1)-COLUMN(Articles!$A$1)+1,FALSE)</f>
        <v>#N/A</v>
      </c>
      <c r="C15" s="34" t="e">
        <f>VLOOKUP(Table1411[[#This Row],[Man. Number]],Articles!A:F,COLUMN(Articles!$C$1)-COLUMN(Articles!$A$1)+1,FALSE)</f>
        <v>#N/A</v>
      </c>
      <c r="D15" s="4" t="s">
        <v>200</v>
      </c>
      <c r="E15" s="4">
        <v>1</v>
      </c>
      <c r="F15" s="34" t="e">
        <f>VLOOKUP(Table1411[[#This Row],[Man. Number]],Articles!A:F,COLUMN(Articles!$F$1)-COLUMN(Articles!$A$1)+1,FALSE)</f>
        <v>#N/A</v>
      </c>
      <c r="G15" s="34" t="e">
        <f>IF(Table1411[[#This Row],[In stock]] &gt;= Table1411[[#This Row],[Quantity]],"YES","NO")</f>
        <v>#N/A</v>
      </c>
      <c r="H15" s="34" t="e">
        <f>VLOOKUP(Table1411[[#This Row],[Man. Number]],Articles!A:J,COLUMN(Articles!$J$1)-COLUMN(Articles!$A$1)+1,FALSE)*Table1411[[#This Row],[Quantity]]</f>
        <v>#N/A</v>
      </c>
      <c r="I15" s="34">
        <f>Table1411[[#This Row],[Quantity]]*$M$1</f>
        <v>1</v>
      </c>
      <c r="J15" s="34" t="e">
        <f>IF(Table1411[[#This Row],[In stock]] &gt;= Table1411[[#This Row],[Total quantity]],"YES","NO")</f>
        <v>#N/A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3" t="s">
        <v>174</v>
      </c>
      <c r="B17" s="4" t="e">
        <f>VLOOKUP(Table1411[[#This Row],[Man. Number]],Articles!A:F,COLUMN(Articles!$D$1)-COLUMN(Articles!$A$1)+1,FALSE)</f>
        <v>#N/A</v>
      </c>
      <c r="C17" s="4" t="e">
        <f>VLOOKUP(Table1411[[#This Row],[Man. Number]],Articles!A:F,COLUMN(Articles!$C$1)-COLUMN(Articles!$A$1)+1,FALSE)</f>
        <v>#N/A</v>
      </c>
      <c r="D17" s="4" t="s">
        <v>81</v>
      </c>
      <c r="E17" s="4">
        <v>1</v>
      </c>
      <c r="F17" s="4" t="e">
        <f>VLOOKUP(Table1411[[#This Row],[Man. Number]],Articles!A:F,COLUMN(Articles!$F$1)-COLUMN(Articles!$A$1)+1,FALSE)</f>
        <v>#N/A</v>
      </c>
      <c r="G17" s="4" t="e">
        <f>IF(Table1411[[#This Row],[In stock]] &gt;= Table1411[[#This Row],[Quantity]],"YES","NO")</f>
        <v>#N/A</v>
      </c>
      <c r="H17" s="4" t="e">
        <f>VLOOKUP(Table1411[[#This Row],[Man. Number]],Articles!A:J,COLUMN(Articles!$J$1)-COLUMN(Articles!$A$1)+1,FALSE)*Table1411[[#This Row],[Quantity]]</f>
        <v>#N/A</v>
      </c>
      <c r="I17" s="4">
        <f>Table1411[[#This Row],[Quantity]]*$M$1</f>
        <v>1</v>
      </c>
      <c r="J17" s="4" t="e">
        <f>IF(Table1411[[#This Row],[In stock]] &gt;= Table1411[[#This Row],[Total quantity]],"YES","NO")</f>
        <v>#N/A</v>
      </c>
    </row>
    <row r="18" spans="1:10" x14ac:dyDescent="0.25">
      <c r="A18" s="44" t="s">
        <v>206</v>
      </c>
      <c r="B18" s="4" t="e">
        <f>VLOOKUP(Table1411[[#This Row],[Man. Number]],Articles!A:F,COLUMN(Articles!$D$1)-COLUMN(Articles!$A$1)+1,FALSE)</f>
        <v>#N/A</v>
      </c>
      <c r="C18" s="4" t="e">
        <f>VLOOKUP(Table1411[[#This Row],[Man. Number]],Articles!A:F,COLUMN(Articles!$C$1)-COLUMN(Articles!$A$1)+1,FALSE)</f>
        <v>#N/A</v>
      </c>
      <c r="D18" s="4" t="s">
        <v>75</v>
      </c>
      <c r="E18" s="4">
        <v>2</v>
      </c>
      <c r="F18" s="4" t="e">
        <f>VLOOKUP(Table1411[[#This Row],[Man. Number]],Articles!A:F,COLUMN(Articles!$F$1)-COLUMN(Articles!$A$1)+1,FALSE)</f>
        <v>#N/A</v>
      </c>
      <c r="G18" s="4" t="e">
        <f>IF(Table1411[[#This Row],[In stock]] &gt;= Table1411[[#This Row],[Quantity]],"YES","NO")</f>
        <v>#N/A</v>
      </c>
      <c r="H18" s="4" t="e">
        <f>VLOOKUP(Table1411[[#This Row],[Man. Number]],Articles!A:J,COLUMN(Articles!$J$1)-COLUMN(Articles!$A$1)+1,FALSE)*Table1411[[#This Row],[Quantity]]</f>
        <v>#N/A</v>
      </c>
      <c r="I18" s="4">
        <f>Table1411[[#This Row],[Quantity]]*$M$1</f>
        <v>2</v>
      </c>
      <c r="J18" s="4" t="e">
        <f>IF(Table1411[[#This Row],[In stock]] &gt;= Table1411[[#This Row],[Total quantity]],"YES","NO")</f>
        <v>#N/A</v>
      </c>
    </row>
    <row r="19" spans="1:10" x14ac:dyDescent="0.25">
      <c r="A19" s="43" t="s">
        <v>179</v>
      </c>
      <c r="B19" s="4" t="e">
        <f>VLOOKUP(Table1411[[#This Row],[Man. Number]],Articles!A:F,COLUMN(Articles!$D$1)-COLUMN(Articles!$A$1)+1,FALSE)</f>
        <v>#N/A</v>
      </c>
      <c r="C19" s="4" t="e">
        <f>VLOOKUP(Table1411[[#This Row],[Man. Number]],Articles!A:F,COLUMN(Articles!$C$1)-COLUMN(Articles!$A$1)+1,FALSE)</f>
        <v>#N/A</v>
      </c>
      <c r="D19" s="4" t="s">
        <v>78</v>
      </c>
      <c r="E19" s="4">
        <v>1</v>
      </c>
      <c r="F19" s="4" t="e">
        <f>VLOOKUP(Table1411[[#This Row],[Man. Number]],Articles!A:F,COLUMN(Articles!$F$1)-COLUMN(Articles!$A$1)+1,FALSE)</f>
        <v>#N/A</v>
      </c>
      <c r="G19" s="4" t="e">
        <f>IF(Table1411[[#This Row],[In stock]] &gt;= Table1411[[#This Row],[Quantity]],"YES","NO")</f>
        <v>#N/A</v>
      </c>
      <c r="H19" s="4" t="e">
        <f>VLOOKUP(Table1411[[#This Row],[Man. Number]],Articles!A:J,COLUMN(Articles!$J$1)-COLUMN(Articles!$A$1)+1,FALSE)*Table1411[[#This Row],[Quantity]]</f>
        <v>#N/A</v>
      </c>
      <c r="I19" s="4">
        <f>Table1411[[#This Row],[Quantity]]*$M$1</f>
        <v>1</v>
      </c>
      <c r="J19" s="4" t="e">
        <f>IF(Table1411[[#This Row],[In stock]] &gt;= Table1411[[#This Row],[Total quantity]],"YES","NO")</f>
        <v>#N/A</v>
      </c>
    </row>
    <row r="20" spans="1:10" x14ac:dyDescent="0.25">
      <c r="A20" s="3" t="s">
        <v>53</v>
      </c>
      <c r="B20" s="4" t="e">
        <f>VLOOKUP(Table1411[[#This Row],[Man. Number]],Articles!A:F,COLUMN(Articles!$D$1)-COLUMN(Articles!$A$1)+1,FALSE)</f>
        <v>#N/A</v>
      </c>
      <c r="C20" s="4" t="e">
        <f>VLOOKUP(Table1411[[#This Row],[Man. Number]],Articles!A:F,COLUMN(Articles!$C$1)-COLUMN(Articles!$A$1)+1,FALSE)</f>
        <v>#N/A</v>
      </c>
      <c r="D20" s="4" t="s">
        <v>201</v>
      </c>
      <c r="E20" s="4">
        <v>2</v>
      </c>
      <c r="F20" s="4" t="e">
        <f>VLOOKUP(Table1411[[#This Row],[Man. Number]],Articles!A:F,COLUMN(Articles!$F$1)-COLUMN(Articles!$A$1)+1,FALSE)</f>
        <v>#N/A</v>
      </c>
      <c r="G20" s="4" t="e">
        <f>IF(Table1411[[#This Row],[In stock]] &gt;= Table1411[[#This Row],[Quantity]],"YES","NO")</f>
        <v>#N/A</v>
      </c>
      <c r="H20" s="4" t="e">
        <f>VLOOKUP(Table1411[[#This Row],[Man. Number]],Articles!A:J,COLUMN(Articles!$J$1)-COLUMN(Articles!$A$1)+1,FALSE)*Table1411[[#This Row],[Quantity]]</f>
        <v>#N/A</v>
      </c>
      <c r="I20" s="4">
        <f>Table1411[[#This Row],[Quantity]]*$M$1</f>
        <v>2</v>
      </c>
      <c r="J20" s="4" t="e">
        <f>IF(Table1411[[#This Row],[In stock]] &gt;= Table1411[[#This Row],[Total quantity]],"YES","NO")</f>
        <v>#N/A</v>
      </c>
    </row>
    <row r="21" spans="1:10" x14ac:dyDescent="0.25">
      <c r="A21" s="43" t="s">
        <v>181</v>
      </c>
      <c r="B21" s="34" t="e">
        <f>VLOOKUP(Table1411[[#This Row],[Man. Number]],Articles!A:F,COLUMN(Articles!$D$1)-COLUMN(Articles!$A$1)+1,FALSE)</f>
        <v>#N/A</v>
      </c>
      <c r="C21" s="34" t="e">
        <f>VLOOKUP(Table1411[[#This Row],[Man. Number]],Articles!A:F,COLUMN(Articles!$C$1)-COLUMN(Articles!$A$1)+1,FALSE)</f>
        <v>#N/A</v>
      </c>
      <c r="D21" s="4" t="s">
        <v>204</v>
      </c>
      <c r="E21" s="4">
        <v>2</v>
      </c>
      <c r="F21" s="34" t="e">
        <f>VLOOKUP(Table1411[[#This Row],[Man. Number]],Articles!A:F,COLUMN(Articles!$F$1)-COLUMN(Articles!$A$1)+1,FALSE)</f>
        <v>#N/A</v>
      </c>
      <c r="G21" s="34" t="e">
        <f>IF(Table1411[[#This Row],[In stock]] &gt;= Table1411[[#This Row],[Quantity]],"YES","NO")</f>
        <v>#N/A</v>
      </c>
      <c r="H21" s="34" t="e">
        <f>VLOOKUP(Table1411[[#This Row],[Man. Number]],Articles!A:J,COLUMN(Articles!$J$1)-COLUMN(Articles!$A$1)+1,FALSE)*Table1411[[#This Row],[Quantity]]</f>
        <v>#N/A</v>
      </c>
      <c r="I21" s="34">
        <f>Table1411[[#This Row],[Quantity]]*$M$1</f>
        <v>2</v>
      </c>
      <c r="J21" s="34" t="e">
        <f>IF(Table1411[[#This Row],[In stock]] &gt;= Table1411[[#This Row],[Total quantity]],"YES","NO")</f>
        <v>#N/A</v>
      </c>
    </row>
    <row r="22" spans="1:10" x14ac:dyDescent="0.25">
      <c r="A22" s="43" t="s">
        <v>164</v>
      </c>
      <c r="B22" s="4" t="e">
        <f>VLOOKUP(Table1411[[#This Row],[Man. Number]],Articles!A:F,COLUMN(Articles!$D$1)-COLUMN(Articles!$A$1)+1,FALSE)</f>
        <v>#N/A</v>
      </c>
      <c r="C22" s="4" t="e">
        <f>VLOOKUP(Table1411[[#This Row],[Man. Number]],Articles!A:F,COLUMN(Articles!$C$1)-COLUMN(Articles!$A$1)+1,FALSE)</f>
        <v>#N/A</v>
      </c>
      <c r="D22" s="4" t="s">
        <v>202</v>
      </c>
      <c r="E22" s="4">
        <v>3</v>
      </c>
      <c r="F22" s="4" t="e">
        <f>VLOOKUP(Table1411[[#This Row],[Man. Number]],Articles!A:F,COLUMN(Articles!$F$1)-COLUMN(Articles!$A$1)+1,FALSE)</f>
        <v>#N/A</v>
      </c>
      <c r="G22" s="4" t="e">
        <f>IF(Table1411[[#This Row],[In stock]] &gt;= Table1411[[#This Row],[Quantity]],"YES","NO")</f>
        <v>#N/A</v>
      </c>
      <c r="H22" s="4" t="e">
        <f>VLOOKUP(Table1411[[#This Row],[Man. Number]],Articles!A:J,COLUMN(Articles!$J$1)-COLUMN(Articles!$A$1)+1,FALSE)*Table1411[[#This Row],[Quantity]]</f>
        <v>#N/A</v>
      </c>
      <c r="I22" s="4">
        <f>Table1411[[#This Row],[Quantity]]*$M$1</f>
        <v>3</v>
      </c>
      <c r="J22" s="4" t="e">
        <f>IF(Table1411[[#This Row],[In stock]] &gt;= Table1411[[#This Row],[Total quantity]],"YES","NO")</f>
        <v>#N/A</v>
      </c>
    </row>
    <row r="23" spans="1:10" x14ac:dyDescent="0.25">
      <c r="A23" s="43" t="s">
        <v>180</v>
      </c>
      <c r="B23" s="34" t="e">
        <f>VLOOKUP(Table1411[[#This Row],[Man. Number]],Articles!A:F,COLUMN(Articles!$D$1)-COLUMN(Articles!$A$1)+1,FALSE)</f>
        <v>#N/A</v>
      </c>
      <c r="C23" s="34" t="e">
        <f>VLOOKUP(Table1411[[#This Row],[Man. Number]],Articles!A:F,COLUMN(Articles!$C$1)-COLUMN(Articles!$A$1)+1,FALSE)</f>
        <v>#N/A</v>
      </c>
      <c r="D23" s="4" t="s">
        <v>203</v>
      </c>
      <c r="E23" s="4">
        <v>1</v>
      </c>
      <c r="F23" s="34" t="e">
        <f>VLOOKUP(Table1411[[#This Row],[Man. Number]],Articles!A:F,COLUMN(Articles!$F$1)-COLUMN(Articles!$A$1)+1,FALSE)</f>
        <v>#N/A</v>
      </c>
      <c r="G23" s="34" t="e">
        <f>IF(Table1411[[#This Row],[In stock]] &gt;= Table1411[[#This Row],[Quantity]],"YES","NO")</f>
        <v>#N/A</v>
      </c>
      <c r="H23" s="34" t="e">
        <f>VLOOKUP(Table1411[[#This Row],[Man. Number]],Articles!A:J,COLUMN(Articles!$J$1)-COLUMN(Articles!$A$1)+1,FALSE)*Table1411[[#This Row],[Quantity]]</f>
        <v>#N/A</v>
      </c>
      <c r="I23" s="34">
        <f>Table1411[[#This Row],[Quantity]]*$M$1</f>
        <v>1</v>
      </c>
      <c r="J23" s="34" t="e">
        <f>IF(Table1411[[#This Row],[In stock]] &gt;= Table1411[[#This Row],[Total quantity]],"YES","NO")</f>
        <v>#N/A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e">
        <f>VLOOKUP(Table1411[[#This Row],[Man. Number]],Articles!A:F,COLUMN(Articles!$D$1)-COLUMN(Articles!$A$1)+1,FALSE)</f>
        <v>#N/A</v>
      </c>
      <c r="C25" s="4" t="e">
        <f>VLOOKUP(Table1411[[#This Row],[Man. Number]],Articles!A:F,COLUMN(Articles!$C$1)-COLUMN(Articles!$A$1)+1,FALSE)</f>
        <v>#N/A</v>
      </c>
      <c r="D25" s="4" t="s">
        <v>76</v>
      </c>
      <c r="E25" s="4">
        <v>2</v>
      </c>
      <c r="F25" s="4" t="e">
        <f>VLOOKUP(Table1411[[#This Row],[Man. Number]],Articles!A:F,COLUMN(Articles!$F$1)-COLUMN(Articles!$A$1)+1,FALSE)</f>
        <v>#N/A</v>
      </c>
      <c r="G25" s="4" t="e">
        <f>IF(Table1411[[#This Row],[In stock]] &gt;= Table1411[[#This Row],[Quantity]],"YES","NO")</f>
        <v>#N/A</v>
      </c>
      <c r="H25" s="4" t="e">
        <f>VLOOKUP(Table1411[[#This Row],[Man. Number]],Articles!A:J,COLUMN(Articles!$J$1)-COLUMN(Articles!$A$1)+1,FALSE)*Table1411[[#This Row],[Quantity]]</f>
        <v>#N/A</v>
      </c>
      <c r="I25" s="4">
        <f>Table1411[[#This Row],[Quantity]]*$M$1</f>
        <v>2</v>
      </c>
      <c r="J25" s="4" t="e">
        <f>IF(Table1411[[#This Row],[In stock]] &gt;= Table1411[[#This Row],[Total quantity]],"YES","NO")</f>
        <v>#N/A</v>
      </c>
    </row>
    <row r="26" spans="1:10" x14ac:dyDescent="0.25">
      <c r="A26" s="3" t="s">
        <v>22</v>
      </c>
      <c r="B26" s="4" t="e">
        <f>VLOOKUP(Table1411[[#This Row],[Man. Number]],Articles!A:F,COLUMN(Articles!$D$1)-COLUMN(Articles!$A$1)+1,FALSE)</f>
        <v>#N/A</v>
      </c>
      <c r="C26" s="4" t="e">
        <f>VLOOKUP(Table1411[[#This Row],[Man. Number]],Articles!A:F,COLUMN(Articles!$C$1)-COLUMN(Articles!$A$1)+1,FALSE)</f>
        <v>#N/A</v>
      </c>
      <c r="D26" s="4" t="s">
        <v>77</v>
      </c>
      <c r="E26" s="4">
        <v>5</v>
      </c>
      <c r="F26" s="4" t="e">
        <f>VLOOKUP(Table1411[[#This Row],[Man. Number]],Articles!A:F,COLUMN(Articles!$F$1)-COLUMN(Articles!$A$1)+1,FALSE)</f>
        <v>#N/A</v>
      </c>
      <c r="G26" s="4" t="e">
        <f>IF(Table1411[[#This Row],[In stock]] &gt;= Table1411[[#This Row],[Quantity]],"YES","NO")</f>
        <v>#N/A</v>
      </c>
      <c r="H26" s="4" t="e">
        <f>VLOOKUP(Table1411[[#This Row],[Man. Number]],Articles!A:J,COLUMN(Articles!$J$1)-COLUMN(Articles!$A$1)+1,FALSE)*Table1411[[#This Row],[Quantity]]</f>
        <v>#N/A</v>
      </c>
      <c r="I26" s="4">
        <f>Table1411[[#This Row],[Quantity]]*$M$1</f>
        <v>5</v>
      </c>
      <c r="J26" s="4" t="e">
        <f>IF(Table1411[[#This Row],[In stock]] &gt;= Table1411[[#This Row],[Total quantity]],"YES","NO")</f>
        <v>#N/A</v>
      </c>
    </row>
    <row r="27" spans="1:10" x14ac:dyDescent="0.25">
      <c r="A27" s="3" t="s">
        <v>14</v>
      </c>
      <c r="B27" s="4" t="e">
        <f>VLOOKUP(Table1411[[#This Row],[Man. Number]],Articles!A:F,COLUMN(Articles!$D$1)-COLUMN(Articles!$A$1)+1,FALSE)</f>
        <v>#N/A</v>
      </c>
      <c r="C27" s="4" t="e">
        <f>VLOOKUP(Table1411[[#This Row],[Man. Number]],Articles!A:F,COLUMN(Articles!$C$1)-COLUMN(Articles!$A$1)+1,FALSE)</f>
        <v>#N/A</v>
      </c>
      <c r="D27" s="4" t="s">
        <v>70</v>
      </c>
      <c r="E27" s="4">
        <v>1</v>
      </c>
      <c r="F27" s="4" t="e">
        <f>VLOOKUP(Table1411[[#This Row],[Man. Number]],Articles!A:F,COLUMN(Articles!$F$1)-COLUMN(Articles!$A$1)+1,FALSE)</f>
        <v>#N/A</v>
      </c>
      <c r="G27" s="4" t="e">
        <f>IF(Table1411[[#This Row],[In stock]] &gt;= Table1411[[#This Row],[Quantity]],"YES","NO")</f>
        <v>#N/A</v>
      </c>
      <c r="H27" s="4" t="e">
        <f>VLOOKUP(Table1411[[#This Row],[Man. Number]],Articles!A:J,COLUMN(Articles!$J$1)-COLUMN(Articles!$A$1)+1,FALSE)*Table1411[[#This Row],[Quantity]]</f>
        <v>#N/A</v>
      </c>
      <c r="I27" s="4">
        <f>Table1411[[#This Row],[Quantity]]*$M$1</f>
        <v>1</v>
      </c>
      <c r="J27" s="4" t="e">
        <f>IF(Table1411[[#This Row],[In stock]] &gt;= Table1411[[#This Row],[Total quantity]],"YES","NO")</f>
        <v>#N/A</v>
      </c>
    </row>
    <row r="28" spans="1:10" x14ac:dyDescent="0.25">
      <c r="A28" s="3" t="s">
        <v>15</v>
      </c>
      <c r="B28" s="4" t="e">
        <f>VLOOKUP(Table1411[[#This Row],[Man. Number]],Articles!A:F,COLUMN(Articles!$D$1)-COLUMN(Articles!$A$1)+1,FALSE)</f>
        <v>#N/A</v>
      </c>
      <c r="C28" s="4" t="e">
        <f>VLOOKUP(Table1411[[#This Row],[Man. Number]],Articles!A:F,COLUMN(Articles!$C$1)-COLUMN(Articles!$A$1)+1,FALSE)</f>
        <v>#N/A</v>
      </c>
      <c r="D28" s="4" t="s">
        <v>72</v>
      </c>
      <c r="E28" s="4">
        <v>1</v>
      </c>
      <c r="F28" s="4" t="e">
        <f>VLOOKUP(Table1411[[#This Row],[Man. Number]],Articles!A:F,COLUMN(Articles!$F$1)-COLUMN(Articles!$A$1)+1,FALSE)</f>
        <v>#N/A</v>
      </c>
      <c r="G28" s="4" t="e">
        <f>IF(Table1411[[#This Row],[In stock]] &gt;= Table1411[[#This Row],[Quantity]],"YES","NO")</f>
        <v>#N/A</v>
      </c>
      <c r="H28" s="4" t="e">
        <f>VLOOKUP(Table1411[[#This Row],[Man. Number]],Articles!A:J,COLUMN(Articles!$J$1)-COLUMN(Articles!$A$1)+1,FALSE)*Table1411[[#This Row],[Quantity]]</f>
        <v>#N/A</v>
      </c>
      <c r="I28" s="4">
        <f>Table1411[[#This Row],[Quantity]]*$M$1</f>
        <v>1</v>
      </c>
      <c r="J28" s="4" t="e">
        <f>IF(Table1411[[#This Row],[In stock]] &gt;= Table1411[[#This Row],[Total quantity]],"YES","NO")</f>
        <v>#N/A</v>
      </c>
    </row>
    <row r="29" spans="1:10" x14ac:dyDescent="0.25">
      <c r="A29" s="3" t="s">
        <v>16</v>
      </c>
      <c r="B29" s="4" t="e">
        <f>VLOOKUP(Table1411[[#This Row],[Man. Number]],Articles!A:F,COLUMN(Articles!$D$1)-COLUMN(Articles!$A$1)+1,FALSE)</f>
        <v>#N/A</v>
      </c>
      <c r="C29" s="4" t="e">
        <f>VLOOKUP(Table1411[[#This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VLOOKUP(Table1411[[#This Row],[Man. Number]],Articles!A:F,COLUMN(Articles!$F$1)-COLUMN(Articles!$A$1)+1,FALSE)</f>
        <v>#N/A</v>
      </c>
      <c r="G29" s="4" t="e">
        <f>IF(Table1411[[#This Row],[In stock]] &gt;= Table1411[[#This Row],[Quantity]],"YES","NO")</f>
        <v>#N/A</v>
      </c>
      <c r="H29" s="4" t="e">
        <f>VLOOKUP(Table1411[[#This Row],[Man. Number]],Articles!A:J,COLUMN(Articles!$J$1)-COLUMN(Articles!$A$1)+1,FALSE)*Table1411[[#This Row],[Quantity]]</f>
        <v>#N/A</v>
      </c>
      <c r="I29" s="4">
        <f>Table1411[[#This Row],[Quantity]]*$M$1</f>
        <v>1</v>
      </c>
      <c r="J29" s="4" t="e">
        <f>IF(Table1411[[#This Row],[In stock]] &gt;= Table1411[[#This Row],[Total quantity]],"YES","NO")</f>
        <v>#N/A</v>
      </c>
    </row>
    <row r="30" spans="1:10" x14ac:dyDescent="0.25">
      <c r="A30" s="3" t="s">
        <v>128</v>
      </c>
      <c r="B30" s="4" t="e">
        <f>VLOOKUP(Table1411[[#This Row],[Man. Number]],Articles!A:F,COLUMN(Articles!$D$1)-COLUMN(Articles!$A$1)+1,FALSE)</f>
        <v>#N/A</v>
      </c>
      <c r="C30" s="4" t="e">
        <f>VLOOKUP(Table1411[[#This Row],[Man. Number]],Articles!A:F,COLUMN(Articles!$C$1)-COLUMN(Articles!$A$1)+1,FALSE)</f>
        <v>#N/A</v>
      </c>
      <c r="D30" s="4" t="s">
        <v>89</v>
      </c>
      <c r="E30" s="4">
        <v>1</v>
      </c>
      <c r="F30" s="4" t="e">
        <f>VLOOKUP(Table1411[[#This Row],[Man. Number]],Articles!A:F,COLUMN(Articles!$F$1)-COLUMN(Articles!$A$1)+1,FALSE)</f>
        <v>#N/A</v>
      </c>
      <c r="G30" s="4" t="e">
        <f>IF(Table1411[[#This Row],[In stock]] &gt;= Table1411[[#This Row],[Quantity]],"YES","NO")</f>
        <v>#N/A</v>
      </c>
      <c r="H30" s="4" t="e">
        <f>VLOOKUP(Table1411[[#This Row],[Man. Number]],Articles!A:J,COLUMN(Articles!$J$1)-COLUMN(Articles!$A$1)+1,FALSE)*Table1411[[#This Row],[Quantity]]</f>
        <v>#N/A</v>
      </c>
      <c r="I30" s="4">
        <f>Table1411[[#This Row],[Quantity]]*$M$1</f>
        <v>1</v>
      </c>
      <c r="J30" s="4" t="e">
        <f>IF(Table1411[[#This Row],[In stock]] &gt;= Table1411[[#This Row],[Total quantity]],"YES","NO")</f>
        <v>#N/A</v>
      </c>
    </row>
    <row r="31" spans="1:10" x14ac:dyDescent="0.25">
      <c r="A31" s="43" t="s">
        <v>40</v>
      </c>
      <c r="B31" s="4" t="e">
        <f>VLOOKUP(Table1411[[#This Row],[Man. Number]],Articles!A:F,COLUMN(Articles!$D$1)-COLUMN(Articles!$A$1)+1,FALSE)</f>
        <v>#N/A</v>
      </c>
      <c r="C31" s="4" t="e">
        <f>VLOOKUP(Table1411[[#This Row],[Man. Number]],Articles!A:F,COLUMN(Articles!$C$1)-COLUMN(Articles!$A$1)+1,FALSE)</f>
        <v>#N/A</v>
      </c>
      <c r="D31" s="4" t="s">
        <v>86</v>
      </c>
      <c r="E31" s="4">
        <v>1</v>
      </c>
      <c r="F31" s="4" t="e">
        <f>VLOOKUP(Table1411[[#This Row],[Man. Number]],Articles!A:F,COLUMN(Articles!$F$1)-COLUMN(Articles!$A$1)+1,FALSE)</f>
        <v>#N/A</v>
      </c>
      <c r="G31" s="4" t="e">
        <f>IF(Table1411[[#This Row],[In stock]] &gt;= Table1411[[#This Row],[Quantity]],"YES","NO")</f>
        <v>#N/A</v>
      </c>
      <c r="H31" s="4" t="e">
        <f>VLOOKUP(Table1411[[#This Row],[Man. Number]],Articles!A:J,COLUMN(Articles!$J$1)-COLUMN(Articles!$A$1)+1,FALSE)*Table1411[[#This Row],[Quantity]]</f>
        <v>#N/A</v>
      </c>
      <c r="I31" s="4">
        <f>Table1411[[#This Row],[Quantity]]*$M$1</f>
        <v>1</v>
      </c>
      <c r="J31" s="4" t="e">
        <f>IF(Table1411[[#This Row],[In stock]] &gt;= Table1411[[#This Row],[Total quantity]],"YES","NO")</f>
        <v>#N/A</v>
      </c>
    </row>
    <row r="32" spans="1:10" x14ac:dyDescent="0.25">
      <c r="A32" s="3" t="s">
        <v>8</v>
      </c>
      <c r="B32" s="4" t="e">
        <f>VLOOKUP(Table1411[[#This Row],[Man. Number]],Articles!A:F,COLUMN(Articles!$D$1)-COLUMN(Articles!$A$1)+1,FALSE)</f>
        <v>#N/A</v>
      </c>
      <c r="C32" s="4" t="e">
        <f>VLOOKUP(Table1411[[#This Row],[Man. Number]],Articles!A:F,COLUMN(Articles!$C$1)-COLUMN(Articles!$A$1)+1,FALSE)</f>
        <v>#N/A</v>
      </c>
      <c r="D32" s="4" t="s">
        <v>69</v>
      </c>
      <c r="E32" s="4">
        <v>1</v>
      </c>
      <c r="F32" s="4" t="e">
        <f>VLOOKUP(Table1411[[#This Row],[Man. Number]],Articles!A:F,COLUMN(Articles!$F$1)-COLUMN(Articles!$A$1)+1,FALSE)</f>
        <v>#N/A</v>
      </c>
      <c r="G32" s="4" t="e">
        <f>IF(Table1411[[#This Row],[In stock]] &gt;= Table1411[[#This Row],[Quantity]],"YES","NO")</f>
        <v>#N/A</v>
      </c>
      <c r="H32" s="4" t="e">
        <f>VLOOKUP(Table1411[[#This Row],[Man. Number]],Articles!A:J,COLUMN(Articles!$J$1)-COLUMN(Articles!$A$1)+1,FALSE)*Table1411[[#This Row],[Quantity]]</f>
        <v>#N/A</v>
      </c>
      <c r="I32" s="4">
        <f>Table1411[[#This Row],[Quantity]]*$M$1</f>
        <v>1</v>
      </c>
      <c r="J32" s="4" t="e">
        <f>IF(Table1411[[#This Row],[In stock]] &gt;= Table1411[[#This Row],[Total quantity]],"YES","NO")</f>
        <v>#N/A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3" t="s">
        <v>185</v>
      </c>
      <c r="B35" s="34" t="e">
        <f>VLOOKUP(Table1411[[#This Row],[Man. Number]],Articles!A:F,COLUMN(Articles!$D$1)-COLUMN(Articles!$A$1)+1,FALSE)</f>
        <v>#N/A</v>
      </c>
      <c r="C35" s="34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4" t="e">
        <f>VLOOKUP(Table1411[[#This Row],[Man. Number]],Articles!A:F,COLUMN(Articles!$F$1)-COLUMN(Articles!$A$1)+1,FALSE)</f>
        <v>#N/A</v>
      </c>
      <c r="G35" s="34" t="e">
        <f>IF(Table1411[[#This Row],[In stock]] &gt;= Table1411[[#This Row],[Quantity]],"YES","NO")</f>
        <v>#N/A</v>
      </c>
      <c r="H35" s="34" t="e">
        <f>VLOOKUP(Table1411[[#This Row],[Man. Number]],Articles!A:J,COLUMN(Articles!$J$1)-COLUMN(Articles!$A$1)+1,FALSE)*Table1411[[#This Row],[Quantity]]</f>
        <v>#N/A</v>
      </c>
      <c r="I35" s="34">
        <f>Table1411[[#This Row],[Quantity]]*$M$1</f>
        <v>1</v>
      </c>
      <c r="J35" s="34" t="e">
        <f>IF(Table1411[[#This Row],[In stock]] &gt;= Table1411[[#This Row],[Total quantity]],"YES","NO")</f>
        <v>#N/A</v>
      </c>
    </row>
    <row r="36" spans="1:10" x14ac:dyDescent="0.25">
      <c r="A36" s="43" t="s">
        <v>188</v>
      </c>
      <c r="B36" s="34" t="e">
        <f>VLOOKUP(Table1411[[#This Row],[Man. Number]],Articles!A:F,COLUMN(Articles!$D$1)-COLUMN(Articles!$A$1)+1,FALSE)</f>
        <v>#N/A</v>
      </c>
      <c r="C36" s="34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4" t="e">
        <f>VLOOKUP(Table1411[[#This Row],[Man. Number]],Articles!A:F,COLUMN(Articles!$F$1)-COLUMN(Articles!$A$1)+1,FALSE)</f>
        <v>#N/A</v>
      </c>
      <c r="G36" s="34" t="e">
        <f>IF(Table1411[[#This Row],[In stock]] &gt;= Table1411[[#This Row],[Quantity]],"YES","NO")</f>
        <v>#N/A</v>
      </c>
      <c r="H36" s="34" t="e">
        <f>VLOOKUP(Table1411[[#This Row],[Man. Number]],Articles!A:J,COLUMN(Articles!$J$1)-COLUMN(Articles!$A$1)+1,FALSE)*Table1411[[#This Row],[Quantity]]</f>
        <v>#N/A</v>
      </c>
      <c r="I36" s="34">
        <f>Table1411[[#This Row],[Quantity]]*$M$1</f>
        <v>1</v>
      </c>
      <c r="J36" s="34" t="e">
        <f>IF(Table1411[[#This Row],[In stock]] &gt;= Table1411[[#This Row],[Total quantity]],"YES","NO")</f>
        <v>#N/A</v>
      </c>
    </row>
    <row r="37" spans="1:10" x14ac:dyDescent="0.25">
      <c r="A37" s="43" t="s">
        <v>158</v>
      </c>
      <c r="B37" s="34" t="e">
        <f>VLOOKUP(Table1411[[#This Row],[Man. Number]],Articles!A:F,COLUMN(Articles!$D$1)-COLUMN(Articles!$A$1)+1,FALSE)</f>
        <v>#N/A</v>
      </c>
      <c r="C37" s="34" t="e">
        <f>VLOOKUP(Table1411[[#This Row],[Man. Number]],Articles!A:F,COLUMN(Articles!$C$1)-COLUMN(Articles!$A$1)+1,FALSE)</f>
        <v>#N/A</v>
      </c>
      <c r="D37" s="4" t="s">
        <v>205</v>
      </c>
      <c r="E37" s="4">
        <f>10/36</f>
        <v>0.27777777777777779</v>
      </c>
      <c r="F37" s="34" t="e">
        <f>VLOOKUP(Table1411[[#This Row],[Man. Number]],Articles!A:F,COLUMN(Articles!$F$1)-COLUMN(Articles!$A$1)+1,FALSE)</f>
        <v>#N/A</v>
      </c>
      <c r="G37" s="34" t="e">
        <f>IF(Table1411[[#This Row],[In stock]] &gt;= Table1411[[#This Row],[Quantity]],"YES","NO")</f>
        <v>#N/A</v>
      </c>
      <c r="H37" s="34" t="e">
        <f>VLOOKUP(Table1411[[#This Row],[Man. Number]],Articles!A:J,COLUMN(Articles!$J$1)-COLUMN(Articles!$A$1)+1,FALSE)*Table1411[[#This Row],[Quantity]]</f>
        <v>#N/A</v>
      </c>
      <c r="I37" s="34">
        <f>Table1411[[#This Row],[Quantity]]*$M$1</f>
        <v>0.27777777777777779</v>
      </c>
      <c r="J37" s="34" t="e">
        <f>IF(Table1411[[#This Row],[In stock]] &gt;= Table1411[[#This Row],[Total quantity]],"YES","NO")</f>
        <v>#N/A</v>
      </c>
    </row>
    <row r="38" spans="1:10" x14ac:dyDescent="0.25">
      <c r="A38" s="43" t="s">
        <v>183</v>
      </c>
      <c r="B38" s="34" t="e">
        <f>VLOOKUP(Table1411[[#This Row],[Man. Number]],Articles!A:F,COLUMN(Articles!$D$1)-COLUMN(Articles!$A$1)+1,FALSE)</f>
        <v>#N/A</v>
      </c>
      <c r="C38" s="34" t="e">
        <f>VLOOKUP(Table1411[[#This Row],[Man. Number]],Articles!A:F,COLUMN(Articles!$C$1)-COLUMN(Articles!$A$1)+1,FALSE)</f>
        <v>#N/A</v>
      </c>
      <c r="D38" s="4" t="s">
        <v>197</v>
      </c>
      <c r="E38" s="4">
        <v>19</v>
      </c>
      <c r="F38" s="34" t="e">
        <f>VLOOKUP(Table1411[[#This Row],[Man. Number]],Articles!A:F,COLUMN(Articles!$F$1)-COLUMN(Articles!$A$1)+1,FALSE)</f>
        <v>#N/A</v>
      </c>
      <c r="G38" s="34" t="e">
        <f>IF(Table1411[[#This Row],[In stock]] &gt;= Table1411[[#This Row],[Quantity]],"YES","NO")</f>
        <v>#N/A</v>
      </c>
      <c r="H38" s="34" t="e">
        <f>VLOOKUP(Table1411[[#This Row],[Man. Number]],Articles!A:J,COLUMN(Articles!$J$1)-COLUMN(Articles!$A$1)+1,FALSE)*Table1411[[#This Row],[Quantity]]</f>
        <v>#N/A</v>
      </c>
      <c r="I38" s="34">
        <f>Table1411[[#This Row],[Quantity]]*$M$1</f>
        <v>19</v>
      </c>
      <c r="J38" s="34" t="e">
        <f>IF(Table1411[[#This Row],[In stock]] &gt;= Table1411[[#This Row],[Total quantity]],"YES","NO")</f>
        <v>#N/A</v>
      </c>
    </row>
    <row r="39" spans="1:10" x14ac:dyDescent="0.25">
      <c r="A39" s="43" t="s">
        <v>184</v>
      </c>
      <c r="B39" s="34" t="e">
        <f>VLOOKUP(Table1411[[#This Row],[Man. Number]],Articles!A:F,COLUMN(Articles!$D$1)-COLUMN(Articles!$A$1)+1,FALSE)</f>
        <v>#N/A</v>
      </c>
      <c r="C39" s="34" t="e">
        <f>VLOOKUP(Table1411[[#This Row],[Man. Number]],Articles!A:F,COLUMN(Articles!$C$1)-COLUMN(Articles!$A$1)+1,FALSE)</f>
        <v>#N/A</v>
      </c>
      <c r="D39" s="4" t="s">
        <v>196</v>
      </c>
      <c r="E39" s="4">
        <v>4</v>
      </c>
      <c r="F39" s="34" t="e">
        <f>VLOOKUP(Table1411[[#This Row],[Man. Number]],Articles!A:F,COLUMN(Articles!$F$1)-COLUMN(Articles!$A$1)+1,FALSE)</f>
        <v>#N/A</v>
      </c>
      <c r="G39" s="34" t="e">
        <f>IF(Table1411[[#This Row],[In stock]] &gt;= Table1411[[#This Row],[Quantity]],"YES","NO")</f>
        <v>#N/A</v>
      </c>
      <c r="H39" s="34" t="e">
        <f>VLOOKUP(Table1411[[#This Row],[Man. Number]],Articles!A:J,COLUMN(Articles!$J$1)-COLUMN(Articles!$A$1)+1,FALSE)*Table1411[[#This Row],[Quantity]]</f>
        <v>#N/A</v>
      </c>
      <c r="I39" s="34">
        <f>Table1411[[#This Row],[Quantity]]*$M$1</f>
        <v>4</v>
      </c>
      <c r="J39" s="34" t="e">
        <f>IF(Table1411[[#This Row],[In stock]] &gt;= Table1411[[#This Row],[Total quantity]],"YES","NO")</f>
        <v>#N/A</v>
      </c>
    </row>
    <row r="40" spans="1:10" x14ac:dyDescent="0.25">
      <c r="A40" s="43" t="s">
        <v>187</v>
      </c>
      <c r="B40" s="34" t="e">
        <f>VLOOKUP(Table1411[[#This Row],[Man. Number]],Articles!A:F,COLUMN(Articles!$D$1)-COLUMN(Articles!$A$1)+1,FALSE)</f>
        <v>#N/A</v>
      </c>
      <c r="C40" s="34" t="e">
        <f>VLOOKUP(Table1411[[#This Row],[Man. Number]],Articles!A:F,COLUMN(Articles!$C$1)-COLUMN(Articles!$A$1)+1,FALSE)</f>
        <v>#N/A</v>
      </c>
      <c r="D40" s="4" t="s">
        <v>196</v>
      </c>
      <c r="E40" s="4">
        <v>4</v>
      </c>
      <c r="F40" s="34" t="e">
        <f>VLOOKUP(Table1411[[#This Row],[Man. Number]],Articles!A:F,COLUMN(Articles!$F$1)-COLUMN(Articles!$A$1)+1,FALSE)</f>
        <v>#N/A</v>
      </c>
      <c r="G40" s="34" t="e">
        <f>IF(Table1411[[#This Row],[In stock]] &gt;= Table1411[[#This Row],[Quantity]],"YES","NO")</f>
        <v>#N/A</v>
      </c>
      <c r="H40" s="34" t="e">
        <f>VLOOKUP(Table1411[[#This Row],[Man. Number]],Articles!A:J,COLUMN(Articles!$J$1)-COLUMN(Articles!$A$1)+1,FALSE)*Table1411[[#This Row],[Quantity]]</f>
        <v>#N/A</v>
      </c>
      <c r="I40" s="34">
        <f>Table1411[[#This Row],[Quantity]]*$M$1</f>
        <v>4</v>
      </c>
      <c r="J40" s="34" t="e">
        <f>IF(Table1411[[#This Row],[In stock]] &gt;= Table1411[[#This Row],[Total quantity]],"YES","NO")</f>
        <v>#N/A</v>
      </c>
    </row>
    <row r="41" spans="1:10" x14ac:dyDescent="0.25">
      <c r="A41" s="43" t="s">
        <v>186</v>
      </c>
      <c r="B41" s="34" t="e">
        <f>VLOOKUP(Table1411[[#This Row],[Man. Number]],Articles!A:F,COLUMN(Articles!$D$1)-COLUMN(Articles!$A$1)+1,FALSE)</f>
        <v>#N/A</v>
      </c>
      <c r="C41" s="34" t="e">
        <f>VLOOKUP(Table1411[[#This Row],[Man. Number]],Articles!A:F,COLUMN(Articles!$C$1)-COLUMN(Articles!$A$1)+1,FALSE)</f>
        <v>#N/A</v>
      </c>
      <c r="D41" s="4" t="s">
        <v>195</v>
      </c>
      <c r="E41" s="4">
        <v>1</v>
      </c>
      <c r="F41" s="34" t="e">
        <f>VLOOKUP(Table1411[[#This Row],[Man. Number]],Articles!A:F,COLUMN(Articles!$F$1)-COLUMN(Articles!$A$1)+1,FALSE)</f>
        <v>#N/A</v>
      </c>
      <c r="G41" s="34" t="e">
        <f>IF(Table1411[[#This Row],[In stock]] &gt;= Table1411[[#This Row],[Quantity]],"YES","NO")</f>
        <v>#N/A</v>
      </c>
      <c r="H41" s="34" t="e">
        <f>VLOOKUP(Table1411[[#This Row],[Man. Number]],Articles!A:J,COLUMN(Articles!$J$1)-COLUMN(Articles!$A$1)+1,FALSE)*Table1411[[#This Row],[Quantity]]</f>
        <v>#N/A</v>
      </c>
      <c r="I41" s="34">
        <f>Table1411[[#This Row],[Quantity]]*$M$1</f>
        <v>1</v>
      </c>
      <c r="J41" s="34" t="e">
        <f>IF(Table1411[[#This Row],[In stock]] &gt;= Table1411[[#This Row],[Total quantity]],"YES","NO")</f>
        <v>#N/A</v>
      </c>
    </row>
    <row r="42" spans="1:10" x14ac:dyDescent="0.25">
      <c r="A42" s="43" t="s">
        <v>189</v>
      </c>
      <c r="B42" s="34" t="e">
        <f>VLOOKUP(Table1411[[#This Row],[Man. Number]],Articles!A:F,COLUMN(Articles!$D$1)-COLUMN(Articles!$A$1)+1,FALSE)</f>
        <v>#N/A</v>
      </c>
      <c r="C42" s="34" t="e">
        <f>VLOOKUP(Table1411[[#This Row],[Man. Number]],Articles!A:F,COLUMN(Articles!$C$1)-COLUMN(Articles!$A$1)+1,FALSE)</f>
        <v>#N/A</v>
      </c>
      <c r="D42" s="4" t="s">
        <v>195</v>
      </c>
      <c r="E42" s="4">
        <v>1</v>
      </c>
      <c r="F42" s="34" t="e">
        <f>VLOOKUP(Table1411[[#This Row],[Man. Number]],Articles!A:F,COLUMN(Articles!$F$1)-COLUMN(Articles!$A$1)+1,FALSE)</f>
        <v>#N/A</v>
      </c>
      <c r="G42" s="34" t="e">
        <f>IF(Table1411[[#This Row],[In stock]] &gt;= Table1411[[#This Row],[Quantity]],"YES","NO")</f>
        <v>#N/A</v>
      </c>
      <c r="H42" s="34" t="e">
        <f>VLOOKUP(Table1411[[#This Row],[Man. Number]],Articles!A:J,COLUMN(Articles!$J$1)-COLUMN(Articles!$A$1)+1,FALSE)*Table1411[[#This Row],[Quantity]]</f>
        <v>#N/A</v>
      </c>
      <c r="I42" s="34">
        <f>Table1411[[#This Row],[Quantity]]*$M$1</f>
        <v>1</v>
      </c>
      <c r="J42" s="34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e">
        <f>VLOOKUP(Table1411[[#This Row],[Man. Number]],Articles!A:F,COLUMN(Articles!$D$1)-COLUMN(Articles!$A$1)+1,FALSE)</f>
        <v>#N/A</v>
      </c>
      <c r="C43" s="4" t="e">
        <f>VLOOKUP(Table1411[[#This Row],[Man. Number]],Articles!A:F,COLUMN(Articles!$C$1)-COLUMN(Articles!$A$1)+1,FALSE)</f>
        <v>#N/A</v>
      </c>
      <c r="D43" s="4" t="s">
        <v>85</v>
      </c>
      <c r="E43" s="4">
        <v>1</v>
      </c>
      <c r="F43" s="4" t="e">
        <f>VLOOKUP(Table1411[[#This Row],[Man. Number]],Articles!A:F,COLUMN(Articles!$F$1)-COLUMN(Articles!$A$1)+1,FALSE)</f>
        <v>#N/A</v>
      </c>
      <c r="G43" s="4" t="e">
        <f>IF(Table1411[[#This Row],[In stock]] &gt;= Table1411[[#This Row],[Quantity]],"YES","NO")</f>
        <v>#N/A</v>
      </c>
      <c r="H43" s="4" t="e">
        <f>VLOOKUP(Table1411[[#This Row],[Man. Number]],Articles!A:J,COLUMN(Articles!$J$1)-COLUMN(Articles!$A$1)+1,FALSE)*Table1411[[#This Row],[Quantity]]</f>
        <v>#N/A</v>
      </c>
      <c r="I43" s="4">
        <f>Table1411[[#This Row],[Quantity]]*$M$1</f>
        <v>1</v>
      </c>
      <c r="J43" s="4" t="e">
        <f>IF(Table1411[[#This Row],[In stock]] &gt;= Table1411[[#This Row],[Total quantity]],"YES","NO")</f>
        <v>#N/A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115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15" priority="5"/>
  </conditionalFormatting>
  <conditionalFormatting sqref="G1:H1048576 J1:J1048576">
    <cfRule type="containsText" dxfId="114" priority="6" operator="containsText" text="NO">
      <formula>NOT(ISERROR(SEARCH("NO",G1)))</formula>
    </cfRule>
  </conditionalFormatting>
  <conditionalFormatting sqref="N1">
    <cfRule type="cellIs" dxfId="113" priority="1" stopIfTrue="1" operator="equal">
      <formula>"Locked"</formula>
    </cfRule>
    <cfRule type="cellIs" dxfId="112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">
        <v>1</v>
      </c>
      <c r="N1" t="s">
        <v>238</v>
      </c>
    </row>
    <row r="2" spans="1:14" x14ac:dyDescent="0.25">
      <c r="A2" s="3" t="s">
        <v>42</v>
      </c>
      <c r="B2" s="4" t="e">
        <f>VLOOKUP(Table14[[#This Row],[Man. Number]],Articles!A:F,COLUMN(Articles!$D$1)-COLUMN(Articles!$A$1)+1,FALSE)</f>
        <v>#N/A</v>
      </c>
      <c r="C2" s="4" t="e">
        <f>VLOOKUP(Table14[[#This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VLOOKUP(Table14[[#This Row],[Man. Number]],Articles!A:F,COLUMN(Articles!$F$1)-COLUMN(Articles!$A$1)+1,FALSE)</f>
        <v>#N/A</v>
      </c>
      <c r="G2" s="4" t="e">
        <f>IF(Table14[[#This Row],[In stock]] &gt;= Table14[[#This Row],[Quantity]],"YES","NO")</f>
        <v>#N/A</v>
      </c>
      <c r="H2" s="3" t="e">
        <f>VLOOKUP(Table14[[#This Row],[Man. Number]],Articles!A:J,COLUMN(Articles!$J$1)-COLUMN(Articles!$A$1)+1,FALSE)*Table14[[#This Row],[Quantity]]</f>
        <v>#N/A</v>
      </c>
      <c r="I2" s="4">
        <f>Table14[[#This Row],[Quantity]]*$M$1</f>
        <v>1</v>
      </c>
      <c r="J2" s="4" t="e">
        <f>IF(Table14[[#This Row],[In stock]] &gt;= Table14[[#This Row],[Total quantity]],"YES","NO")</f>
        <v>#N/A</v>
      </c>
    </row>
    <row r="3" spans="1:14" x14ac:dyDescent="0.25">
      <c r="A3" s="3" t="s">
        <v>35</v>
      </c>
      <c r="B3" s="4" t="e">
        <f>VLOOKUP(Table14[[#This Row],[Man. Number]],Articles!A:F,COLUMN(Articles!$D$1)-COLUMN(Articles!$A$1)+1,FALSE)</f>
        <v>#N/A</v>
      </c>
      <c r="C3" s="4" t="e">
        <f>VLOOKUP(Table14[[#This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VLOOKUP(Table14[[#This Row],[Man. Number]],Articles!A:F,COLUMN(Articles!$F$1)-COLUMN(Articles!$A$1)+1,FALSE)</f>
        <v>#N/A</v>
      </c>
      <c r="G3" s="4" t="e">
        <f>IF(Table14[[#This Row],[In stock]] &gt;= Table14[[#This Row],[Quantity]],"YES","NO")</f>
        <v>#N/A</v>
      </c>
      <c r="H3" s="3" t="e">
        <f>VLOOKUP(Table14[[#This Row],[Man. Number]],Articles!A:J,COLUMN(Articles!$J$1)-COLUMN(Articles!$A$1)+1,FALSE)*Table14[[#This Row],[Quantity]]</f>
        <v>#N/A</v>
      </c>
      <c r="I3" s="4">
        <f>Table14[[#This Row],[Quantity]]*$M$1</f>
        <v>19</v>
      </c>
      <c r="J3" s="4" t="e">
        <f>IF(Table14[[#This Row],[In stock]] &gt;= Table14[[#This Row],[Total quantity]],"YES","NO")</f>
        <v>#N/A</v>
      </c>
    </row>
    <row r="4" spans="1:14" x14ac:dyDescent="0.25">
      <c r="A4" s="3" t="s">
        <v>109</v>
      </c>
      <c r="B4" s="4" t="e">
        <f>VLOOKUP(Table14[[#This Row],[Man. Number]],Articles!A:F,COLUMN(Articles!$D$1)-COLUMN(Articles!$A$1)+1,FALSE)</f>
        <v>#N/A</v>
      </c>
      <c r="C4" s="4" t="e">
        <f>VLOOKUP(Table14[[#This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VLOOKUP(Table14[[#This Row],[Man. Number]],Articles!A:F,COLUMN(Articles!$F$1)-COLUMN(Articles!$A$1)+1,FALSE)</f>
        <v>#N/A</v>
      </c>
      <c r="G4" s="4" t="e">
        <f>IF(Table14[[#This Row],[In stock]] &gt;= Table14[[#This Row],[Quantity]],"YES","NO")</f>
        <v>#N/A</v>
      </c>
      <c r="H4" s="3" t="e">
        <f>VLOOKUP(Table14[[#This Row],[Man. Number]],Articles!A:J,COLUMN(Articles!$J$1)-COLUMN(Articles!$A$1)+1,FALSE)*Table14[[#This Row],[Quantity]]</f>
        <v>#N/A</v>
      </c>
      <c r="I4" s="4">
        <f>Table14[[#This Row],[Quantity]]*$M$1</f>
        <v>0.63888888888888884</v>
      </c>
      <c r="J4" s="4" t="e">
        <f>IF(Table14[[#This Row],[In stock]] &gt;= Table14[[#This Row],[Total quantity]],"YES","NO")</f>
        <v>#N/A</v>
      </c>
    </row>
    <row r="5" spans="1:14" x14ac:dyDescent="0.25">
      <c r="A5" s="3" t="s">
        <v>94</v>
      </c>
      <c r="B5" s="4" t="e">
        <f>VLOOKUP(Table14[[#This Row],[Man. Number]],Articles!A:F,COLUMN(Articles!$D$1)-COLUMN(Articles!$A$1)+1,FALSE)</f>
        <v>#N/A</v>
      </c>
      <c r="C5" s="4" t="e">
        <f>VLOOKUP(Table14[[#This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VLOOKUP(Table14[[#This Row],[Man. Number]],Articles!A:F,COLUMN(Articles!$F$1)-COLUMN(Articles!$A$1)+1,FALSE)</f>
        <v>#N/A</v>
      </c>
      <c r="G5" s="4" t="e">
        <f>IF(Table14[[#This Row],[In stock]] &gt;= Table14[[#This Row],[Quantity]],"YES","NO")</f>
        <v>#N/A</v>
      </c>
      <c r="H5" s="3" t="e">
        <f>VLOOKUP(Table14[[#This Row],[Man. Number]],Articles!A:J,COLUMN(Articles!$J$1)-COLUMN(Articles!$A$1)+1,FALSE)*Table14[[#This Row],[Quantity]]</f>
        <v>#N/A</v>
      </c>
      <c r="I5" s="4">
        <f>Table14[[#This Row],[Quantity]]*$M$1</f>
        <v>1</v>
      </c>
      <c r="J5" s="4" t="e">
        <f>IF(Table14[[#This Row],[In stock]] &gt;= Table14[[#This Row],[Total quantity]],"YES","NO")</f>
        <v>#N/A</v>
      </c>
    </row>
    <row r="6" spans="1:14" x14ac:dyDescent="0.25">
      <c r="A6" s="3" t="s">
        <v>9</v>
      </c>
      <c r="B6" s="4" t="e">
        <f>VLOOKUP(Table14[[#This Row],[Man. Number]],Articles!A:F,COLUMN(Articles!$D$1)-COLUMN(Articles!$A$1)+1,FALSE)</f>
        <v>#N/A</v>
      </c>
      <c r="C6" s="4" t="e">
        <f>VLOOKUP(Table14[[#This Row],[Man. Number]],Articles!A:F,COLUMN(Articles!$C$1)-COLUMN(Articles!$A$1)+1,FALSE)</f>
        <v>#N/A</v>
      </c>
      <c r="D6" s="4" t="s">
        <v>67</v>
      </c>
      <c r="E6" s="4">
        <v>1</v>
      </c>
      <c r="F6" s="4" t="e">
        <f>VLOOKUP(Table14[[#This Row],[Man. Number]],Articles!A:F,COLUMN(Articles!$F$1)-COLUMN(Articles!$A$1)+1,FALSE)</f>
        <v>#N/A</v>
      </c>
      <c r="G6" s="4" t="e">
        <f>IF(Table14[[#This Row],[In stock]] &gt;= Table14[[#This Row],[Quantity]],"YES","NO")</f>
        <v>#N/A</v>
      </c>
      <c r="H6" s="3" t="e">
        <f>VLOOKUP(Table14[[#This Row],[Man. Number]],Articles!A:J,COLUMN(Articles!$J$1)-COLUMN(Articles!$A$1)+1,FALSE)*Table14[[#This Row],[Quantity]]</f>
        <v>#N/A</v>
      </c>
      <c r="I6" s="4">
        <f>Table14[[#This Row],[Quantity]]*$M$1</f>
        <v>1</v>
      </c>
      <c r="J6" s="4" t="e">
        <f>IF(Table14[[#This Row],[In stock]] &gt;= Table14[[#This Row],[Total quantity]],"YES","NO")</f>
        <v>#N/A</v>
      </c>
    </row>
    <row r="7" spans="1:14" x14ac:dyDescent="0.25">
      <c r="A7" s="3" t="s">
        <v>10</v>
      </c>
      <c r="B7" s="4" t="e">
        <f>VLOOKUP(Table14[[#This Row],[Man. Number]],Articles!A:F,COLUMN(Articles!$D$1)-COLUMN(Articles!$A$1)+1,FALSE)</f>
        <v>#N/A</v>
      </c>
      <c r="C7" s="4" t="e">
        <f>VLOOKUP(Table14[[#This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VLOOKUP(Table14[[#This Row],[Man. Number]],Articles!A:F,COLUMN(Articles!$F$1)-COLUMN(Articles!$A$1)+1,FALSE)</f>
        <v>#N/A</v>
      </c>
      <c r="G7" s="4" t="e">
        <f>IF(Table14[[#This Row],[In stock]] &gt;= Table14[[#This Row],[Quantity]],"YES","NO")</f>
        <v>#N/A</v>
      </c>
      <c r="H7" s="3" t="e">
        <f>VLOOKUP(Table14[[#This Row],[Man. Number]],Articles!A:J,COLUMN(Articles!$J$1)-COLUMN(Articles!$A$1)+1,FALSE)*Table14[[#This Row],[Quantity]]</f>
        <v>#N/A</v>
      </c>
      <c r="I7" s="4">
        <f>Table14[[#This Row],[Quantity]]*$M$1</f>
        <v>1</v>
      </c>
      <c r="J7" s="4" t="e">
        <f>IF(Table14[[#This Row],[In stock]] &gt;= Table14[[#This Row],[Total quantity]],"YES","NO")</f>
        <v>#N/A</v>
      </c>
    </row>
    <row r="8" spans="1:14" x14ac:dyDescent="0.25">
      <c r="A8" s="3" t="s">
        <v>19</v>
      </c>
      <c r="B8" s="4" t="e">
        <f>VLOOKUP(Table14[[#This Row],[Man. Number]],Articles!A:F,COLUMN(Articles!$D$1)-COLUMN(Articles!$A$1)+1,FALSE)</f>
        <v>#N/A</v>
      </c>
      <c r="C8" s="4" t="e">
        <f>VLOOKUP(Table14[[#This Row],[Man. Number]],Articles!A:F,COLUMN(Articles!$C$1)-COLUMN(Articles!$A$1)+1,FALSE)</f>
        <v>#N/A</v>
      </c>
      <c r="D8" s="4" t="s">
        <v>66</v>
      </c>
      <c r="E8" s="4">
        <v>4</v>
      </c>
      <c r="F8" s="4" t="e">
        <f>VLOOKUP(Table14[[#This Row],[Man. Number]],Articles!A:F,COLUMN(Articles!$F$1)-COLUMN(Articles!$A$1)+1,FALSE)</f>
        <v>#N/A</v>
      </c>
      <c r="G8" s="4" t="e">
        <f>IF(Table14[[#This Row],[In stock]] &gt;= Table14[[#This Row],[Quantity]],"YES","NO")</f>
        <v>#N/A</v>
      </c>
      <c r="H8" s="3" t="e">
        <f>VLOOKUP(Table14[[#This Row],[Man. Number]],Articles!A:J,COLUMN(Articles!$J$1)-COLUMN(Articles!$A$1)+1,FALSE)*Table14[[#This Row],[Quantity]]</f>
        <v>#N/A</v>
      </c>
      <c r="I8" s="4">
        <f>Table14[[#This Row],[Quantity]]*$M$1</f>
        <v>4</v>
      </c>
      <c r="J8" s="4" t="e">
        <f>IF(Table14[[#This Row],[In stock]] &gt;= Table14[[#This Row],[Total quantity]],"YES","NO")</f>
        <v>#N/A</v>
      </c>
    </row>
    <row r="9" spans="1:14" x14ac:dyDescent="0.25">
      <c r="A9" s="3" t="s">
        <v>64</v>
      </c>
      <c r="B9" s="4" t="e">
        <f>VLOOKUP(Table14[[#This Row],[Man. Number]],Articles!A:F,COLUMN(Articles!$D$1)-COLUMN(Articles!$A$1)+1,FALSE)</f>
        <v>#N/A</v>
      </c>
      <c r="C9" s="4" t="e">
        <f>VLOOKUP(Table14[[#This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VLOOKUP(Table14[[#This Row],[Man. Number]],Articles!A:F,COLUMN(Articles!$F$1)-COLUMN(Articles!$A$1)+1,FALSE)</f>
        <v>#N/A</v>
      </c>
      <c r="G9" s="4" t="e">
        <f>IF(Table14[[#This Row],[In stock]] &gt;= Table14[[#This Row],[Quantity]],"YES","NO")</f>
        <v>#N/A</v>
      </c>
      <c r="H9" s="3" t="e">
        <f>VLOOKUP(Table14[[#This Row],[Man. Number]],Articles!A:J,COLUMN(Articles!$J$1)-COLUMN(Articles!$A$1)+1,FALSE)*Table14[[#This Row],[Quantity]]</f>
        <v>#N/A</v>
      </c>
      <c r="I9" s="4">
        <f>Table14[[#This Row],[Quantity]]*$M$1</f>
        <v>1</v>
      </c>
      <c r="J9" s="4" t="e">
        <f>IF(Table14[[#This Row],[In stock]] &gt;= Table14[[#This Row],[Total quantity]],"YES","NO")</f>
        <v>#N/A</v>
      </c>
    </row>
    <row r="10" spans="1:14" x14ac:dyDescent="0.25">
      <c r="A10" s="3" t="s">
        <v>38</v>
      </c>
      <c r="B10" s="4" t="e">
        <f>VLOOKUP(Table14[[#This Row],[Man. Number]],Articles!A:F,COLUMN(Articles!$D$1)-COLUMN(Articles!$A$1)+1,FALSE)</f>
        <v>#N/A</v>
      </c>
      <c r="C10" s="4" t="e">
        <f>VLOOKUP(Table14[[#This Row],[Man. Number]],Articles!A:F,COLUMN(Articles!$C$1)-COLUMN(Articles!$A$1)+1,FALSE)</f>
        <v>#N/A</v>
      </c>
      <c r="D10" s="4" t="s">
        <v>84</v>
      </c>
      <c r="E10" s="4">
        <v>1</v>
      </c>
      <c r="F10" s="4" t="e">
        <f>VLOOKUP(Table14[[#This Row],[Man. Number]],Articles!A:F,COLUMN(Articles!$F$1)-COLUMN(Articles!$A$1)+1,FALSE)</f>
        <v>#N/A</v>
      </c>
      <c r="G10" s="4" t="e">
        <f>IF(Table14[[#This Row],[In stock]] &gt;= Table14[[#This Row],[Quantity]],"YES","NO")</f>
        <v>#N/A</v>
      </c>
      <c r="H10" s="3" t="e">
        <f>VLOOKUP(Table14[[#This Row],[Man. Number]],Articles!A:J,COLUMN(Articles!$J$1)-COLUMN(Articles!$A$1)+1,FALSE)*Table14[[#This Row],[Quantity]]</f>
        <v>#N/A</v>
      </c>
      <c r="I10" s="4">
        <f>Table14[[#This Row],[Quantity]]*$M$1</f>
        <v>1</v>
      </c>
      <c r="J10" s="4" t="e">
        <f>IF(Table14[[#This Row],[In stock]] &gt;= Table14[[#This Row],[Total quantity]],"YES","NO")</f>
        <v>#N/A</v>
      </c>
    </row>
    <row r="11" spans="1:14" x14ac:dyDescent="0.25">
      <c r="A11" s="3" t="s">
        <v>18</v>
      </c>
      <c r="B11" s="4" t="e">
        <f>VLOOKUP(Table14[[#This Row],[Man. Number]],Articles!A:F,COLUMN(Articles!$D$1)-COLUMN(Articles!$A$1)+1,FALSE)</f>
        <v>#N/A</v>
      </c>
      <c r="C11" s="4" t="e">
        <f>VLOOKUP(Table14[[#This Row],[Man. Number]],Articles!A:F,COLUMN(Articles!$C$1)-COLUMN(Articles!$A$1)+1,FALSE)</f>
        <v>#N/A</v>
      </c>
      <c r="D11" s="4" t="s">
        <v>71</v>
      </c>
      <c r="E11" s="4">
        <v>1</v>
      </c>
      <c r="F11" s="4" t="e">
        <f>VLOOKUP(Table14[[#This Row],[Man. Number]],Articles!A:F,COLUMN(Articles!$F$1)-COLUMN(Articles!$A$1)+1,FALSE)</f>
        <v>#N/A</v>
      </c>
      <c r="G11" s="4" t="e">
        <f>IF(Table14[[#This Row],[In stock]] &gt;= Table14[[#This Row],[Quantity]],"YES","NO")</f>
        <v>#N/A</v>
      </c>
      <c r="H11" s="3" t="e">
        <f>VLOOKUP(Table14[[#This Row],[Man. Number]],Articles!A:J,COLUMN(Articles!$J$1)-COLUMN(Articles!$A$1)+1,FALSE)*Table14[[#This Row],[Quantity]]</f>
        <v>#N/A</v>
      </c>
      <c r="I11" s="4">
        <f>Table14[[#This Row],[Quantity]]*$M$1</f>
        <v>1</v>
      </c>
      <c r="J11" s="4" t="e">
        <f>IF(Table14[[#This Row],[In stock]] &gt;= Table14[[#This Row],[Total quantity]],"YES","NO")</f>
        <v>#N/A</v>
      </c>
    </row>
    <row r="12" spans="1:14" x14ac:dyDescent="0.25">
      <c r="A12" s="3" t="s">
        <v>93</v>
      </c>
      <c r="B12" s="4" t="e">
        <f>VLOOKUP(Table14[[#This Row],[Man. Number]],Articles!A:F,COLUMN(Articles!$D$1)-COLUMN(Articles!$A$1)+1,FALSE)</f>
        <v>#N/A</v>
      </c>
      <c r="C12" s="4" t="e">
        <f>VLOOKUP(Table14[[#This Row],[Man. Number]],Articles!A:F,COLUMN(Articles!$C$1)-COLUMN(Articles!$A$1)+1,FALSE)</f>
        <v>#N/A</v>
      </c>
      <c r="D12" s="4" t="s">
        <v>74</v>
      </c>
      <c r="E12" s="4">
        <v>1</v>
      </c>
      <c r="F12" s="4" t="e">
        <f>VLOOKUP(Table14[[#This Row],[Man. Number]],Articles!A:F,COLUMN(Articles!$F$1)-COLUMN(Articles!$A$1)+1,FALSE)</f>
        <v>#N/A</v>
      </c>
      <c r="G12" s="4" t="e">
        <f>IF(Table14[[#This Row],[In stock]] &gt;= Table14[[#This Row],[Quantity]],"YES","NO")</f>
        <v>#N/A</v>
      </c>
      <c r="H12" s="3" t="e">
        <f>VLOOKUP(Table14[[#This Row],[Man. Number]],Articles!A:J,COLUMN(Articles!$J$1)-COLUMN(Articles!$A$1)+1,FALSE)*Table14[[#This Row],[Quantity]]</f>
        <v>#N/A</v>
      </c>
      <c r="I12" s="4">
        <f>Table14[[#This Row],[Quantity]]*$M$1</f>
        <v>1</v>
      </c>
      <c r="J12" s="4" t="e">
        <f>IF(Table14[[#This Row],[In stock]] &gt;= Table14[[#This Row],[Total quantity]],"YES","NO")</f>
        <v>#N/A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e">
        <f>VLOOKUP(Table14[[#This Row],[Man. Number]],Articles!A:F,COLUMN(Articles!$D$1)-COLUMN(Articles!$A$1)+1,FALSE)</f>
        <v>#N/A</v>
      </c>
      <c r="C14" s="4" t="e">
        <f>VLOOKUP(Table14[[#This Row],[Man. Number]],Articles!A:F,COLUMN(Articles!$C$1)-COLUMN(Articles!$A$1)+1,FALSE)</f>
        <v>#N/A</v>
      </c>
      <c r="D14" s="4" t="s">
        <v>82</v>
      </c>
      <c r="E14" s="4">
        <v>1</v>
      </c>
      <c r="F14" s="4" t="e">
        <f>VLOOKUP(Table14[[#This Row],[Man. Number]],Articles!A:F,COLUMN(Articles!$F$1)-COLUMN(Articles!$A$1)+1,FALSE)</f>
        <v>#N/A</v>
      </c>
      <c r="G14" s="4" t="e">
        <f>IF(Table14[[#This Row],[In stock]] &gt;= Table14[[#This Row],[Quantity]],"YES","NO")</f>
        <v>#N/A</v>
      </c>
      <c r="H14" s="3" t="e">
        <f>VLOOKUP(Table14[[#This Row],[Man. Number]],Articles!A:J,COLUMN(Articles!$J$1)-COLUMN(Articles!$A$1)+1,FALSE)*Table14[[#This Row],[Quantity]]</f>
        <v>#N/A</v>
      </c>
      <c r="I14" s="4">
        <f>Table14[[#This Row],[Quantity]]*$M$1</f>
        <v>1</v>
      </c>
      <c r="J14" s="4" t="e">
        <f>IF(Table14[[#This Row],[In stock]] &gt;= Table14[[#This Row],[Total quantity]],"YES","NO")</f>
        <v>#N/A</v>
      </c>
    </row>
    <row r="15" spans="1:14" x14ac:dyDescent="0.25">
      <c r="A15" s="3" t="s">
        <v>25</v>
      </c>
      <c r="B15" s="4" t="e">
        <f>VLOOKUP(Table14[[#This Row],[Man. Number]],Articles!A:F,COLUMN(Articles!$D$1)-COLUMN(Articles!$A$1)+1,FALSE)</f>
        <v>#N/A</v>
      </c>
      <c r="C15" s="4" t="e">
        <f>VLOOKUP(Table14[[#This Row],[Man. Number]],Articles!A:F,COLUMN(Articles!$C$1)-COLUMN(Articles!$A$1)+1,FALSE)</f>
        <v>#N/A</v>
      </c>
      <c r="D15" s="4" t="s">
        <v>81</v>
      </c>
      <c r="E15" s="4">
        <v>1</v>
      </c>
      <c r="F15" s="4" t="e">
        <f>VLOOKUP(Table14[[#This Row],[Man. Number]],Articles!A:F,COLUMN(Articles!$F$1)-COLUMN(Articles!$A$1)+1,FALSE)</f>
        <v>#N/A</v>
      </c>
      <c r="G15" s="4" t="e">
        <f>IF(Table14[[#This Row],[In stock]] &gt;= Table14[[#This Row],[Quantity]],"YES","NO")</f>
        <v>#N/A</v>
      </c>
      <c r="H15" s="3" t="e">
        <f>VLOOKUP(Table14[[#This Row],[Man. Number]],Articles!A:J,COLUMN(Articles!$J$1)-COLUMN(Articles!$A$1)+1,FALSE)*Table14[[#This Row],[Quantity]]</f>
        <v>#N/A</v>
      </c>
      <c r="I15" s="4">
        <f>Table14[[#This Row],[Quantity]]*$M$1</f>
        <v>1</v>
      </c>
      <c r="J15" s="4" t="e">
        <f>IF(Table14[[#This Row],[In stock]] &gt;= Table14[[#This Row],[Total quantity]],"YES","NO")</f>
        <v>#N/A</v>
      </c>
    </row>
    <row r="16" spans="1:14" x14ac:dyDescent="0.25">
      <c r="A16" s="3" t="s">
        <v>20</v>
      </c>
      <c r="B16" s="4" t="e">
        <f>VLOOKUP(Table14[[#This Row],[Man. Number]],Articles!A:F,COLUMN(Articles!$D$1)-COLUMN(Articles!$A$1)+1,FALSE)</f>
        <v>#N/A</v>
      </c>
      <c r="C16" s="4" t="e">
        <f>VLOOKUP(Table14[[#This Row],[Man. Number]],Articles!A:F,COLUMN(Articles!$C$1)-COLUMN(Articles!$A$1)+1,FALSE)</f>
        <v>#N/A</v>
      </c>
      <c r="D16" s="4" t="s">
        <v>75</v>
      </c>
      <c r="E16" s="4">
        <v>2</v>
      </c>
      <c r="F16" s="4" t="e">
        <f>VLOOKUP(Table14[[#This Row],[Man. Number]],Articles!A:F,COLUMN(Articles!$F$1)-COLUMN(Articles!$A$1)+1,FALSE)</f>
        <v>#N/A</v>
      </c>
      <c r="G16" s="4" t="e">
        <f>IF(Table14[[#This Row],[In stock]] &gt;= Table14[[#This Row],[Quantity]],"YES","NO")</f>
        <v>#N/A</v>
      </c>
      <c r="H16" s="3" t="e">
        <f>VLOOKUP(Table14[[#This Row],[Man. Number]],Articles!A:J,COLUMN(Articles!$J$1)-COLUMN(Articles!$A$1)+1,FALSE)*Table14[[#This Row],[Quantity]]</f>
        <v>#N/A</v>
      </c>
      <c r="I16" s="4">
        <f>Table14[[#This Row],[Quantity]]*$M$1</f>
        <v>2</v>
      </c>
      <c r="J16" s="4" t="e">
        <f>IF(Table14[[#This Row],[In stock]] &gt;= Table14[[#This Row],[Total quantity]],"YES","NO")</f>
        <v>#N/A</v>
      </c>
    </row>
    <row r="17" spans="1:10" x14ac:dyDescent="0.25">
      <c r="A17" s="3" t="s">
        <v>23</v>
      </c>
      <c r="B17" s="4" t="e">
        <f>VLOOKUP(Table14[[#This Row],[Man. Number]],Articles!A:F,COLUMN(Articles!$D$1)-COLUMN(Articles!$A$1)+1,FALSE)</f>
        <v>#N/A</v>
      </c>
      <c r="C17" s="4" t="e">
        <f>VLOOKUP(Table14[[#This Row],[Man. Number]],Articles!A:F,COLUMN(Articles!$C$1)-COLUMN(Articles!$A$1)+1,FALSE)</f>
        <v>#N/A</v>
      </c>
      <c r="D17" s="4" t="s">
        <v>78</v>
      </c>
      <c r="E17" s="4">
        <v>1</v>
      </c>
      <c r="F17" s="4" t="e">
        <f>VLOOKUP(Table14[[#This Row],[Man. Number]],Articles!A:F,COLUMN(Articles!$F$1)-COLUMN(Articles!$A$1)+1,FALSE)</f>
        <v>#N/A</v>
      </c>
      <c r="G17" s="4" t="e">
        <f>IF(Table14[[#This Row],[In stock]] &gt;= Table14[[#This Row],[Quantity]],"YES","NO")</f>
        <v>#N/A</v>
      </c>
      <c r="H17" s="3" t="e">
        <f>VLOOKUP(Table14[[#This Row],[Man. Number]],Articles!A:J,COLUMN(Articles!$J$1)-COLUMN(Articles!$A$1)+1,FALSE)*Table14[[#This Row],[Quantity]]</f>
        <v>#N/A</v>
      </c>
      <c r="I17" s="4">
        <f>Table14[[#This Row],[Quantity]]*$M$1</f>
        <v>1</v>
      </c>
      <c r="J17" s="4" t="e">
        <f>IF(Table14[[#This Row],[In stock]] &gt;= Table14[[#This Row],[Total quantity]],"YES","NO")</f>
        <v>#N/A</v>
      </c>
    </row>
    <row r="18" spans="1:10" x14ac:dyDescent="0.25">
      <c r="A18" s="3" t="s">
        <v>28</v>
      </c>
      <c r="B18" s="4" t="e">
        <f>VLOOKUP(Table14[[#This Row],[Man. Number]],Articles!A:F,COLUMN(Articles!$D$1)-COLUMN(Articles!$A$1)+1,FALSE)</f>
        <v>#N/A</v>
      </c>
      <c r="C18" s="4" t="e">
        <f>VLOOKUP(Table14[[#This Row],[Man. Number]],Articles!A:F,COLUMN(Articles!$C$1)-COLUMN(Articles!$A$1)+1,FALSE)</f>
        <v>#N/A</v>
      </c>
      <c r="D18" s="4" t="s">
        <v>83</v>
      </c>
      <c r="E18" s="4">
        <v>2</v>
      </c>
      <c r="F18" s="4" t="e">
        <f>VLOOKUP(Table14[[#This Row],[Man. Number]],Articles!A:F,COLUMN(Articles!$F$1)-COLUMN(Articles!$A$1)+1,FALSE)</f>
        <v>#N/A</v>
      </c>
      <c r="G18" s="4" t="e">
        <f>IF(Table14[[#This Row],[In stock]] &gt;= Table14[[#This Row],[Quantity]],"YES","NO")</f>
        <v>#N/A</v>
      </c>
      <c r="H18" s="3" t="e">
        <f>VLOOKUP(Table14[[#This Row],[Man. Number]],Articles!A:J,COLUMN(Articles!$J$1)-COLUMN(Articles!$A$1)+1,FALSE)*Table14[[#This Row],[Quantity]]</f>
        <v>#N/A</v>
      </c>
      <c r="I18" s="4">
        <f>Table14[[#This Row],[Quantity]]*$M$1</f>
        <v>2</v>
      </c>
      <c r="J18" s="4" t="e">
        <f>IF(Table14[[#This Row],[In stock]] &gt;= Table14[[#This Row],[Total quantity]],"YES","NO")</f>
        <v>#N/A</v>
      </c>
    </row>
    <row r="19" spans="1:10" x14ac:dyDescent="0.25">
      <c r="A19" s="3" t="s">
        <v>53</v>
      </c>
      <c r="B19" s="4" t="e">
        <f>VLOOKUP(Table14[[#This Row],[Man. Number]],Articles!A:F,COLUMN(Articles!$D$1)-COLUMN(Articles!$A$1)+1,FALSE)</f>
        <v>#N/A</v>
      </c>
      <c r="C19" s="4" t="e">
        <f>VLOOKUP(Table14[[#This Row],[Man. Number]],Articles!A:F,COLUMN(Articles!$C$1)-COLUMN(Articles!$A$1)+1,FALSE)</f>
        <v>#N/A</v>
      </c>
      <c r="D19" s="4" t="s">
        <v>79</v>
      </c>
      <c r="E19" s="4">
        <v>3</v>
      </c>
      <c r="F19" s="4" t="e">
        <f>VLOOKUP(Table14[[#This Row],[Man. Number]],Articles!A:F,COLUMN(Articles!$F$1)-COLUMN(Articles!$A$1)+1,FALSE)</f>
        <v>#N/A</v>
      </c>
      <c r="G19" s="4" t="e">
        <f>IF(Table14[[#This Row],[In stock]] &gt;= Table14[[#This Row],[Quantity]],"YES","NO")</f>
        <v>#N/A</v>
      </c>
      <c r="H19" s="3" t="e">
        <f>VLOOKUP(Table14[[#This Row],[Man. Number]],Articles!A:J,COLUMN(Articles!$J$1)-COLUMN(Articles!$A$1)+1,FALSE)*Table14[[#This Row],[Quantity]]</f>
        <v>#N/A</v>
      </c>
      <c r="I19" s="4">
        <f>Table14[[#This Row],[Quantity]]*$M$1</f>
        <v>3</v>
      </c>
      <c r="J19" s="4" t="e">
        <f>IF(Table14[[#This Row],[In stock]] &gt;= Table14[[#This Row],[Total quantity]],"YES","NO")</f>
        <v>#N/A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e">
        <f>VLOOKUP(Table14[[#This Row],[Man. Number]],Articles!A:F,COLUMN(Articles!$D$1)-COLUMN(Articles!$A$1)+1,FALSE)</f>
        <v>#N/A</v>
      </c>
      <c r="C22" s="4" t="e">
        <f>VLOOKUP(Table14[[#This Row],[Man. Number]],Articles!A:F,COLUMN(Articles!$C$1)-COLUMN(Articles!$A$1)+1,FALSE)</f>
        <v>#N/A</v>
      </c>
      <c r="D22" s="4" t="s">
        <v>76</v>
      </c>
      <c r="E22" s="4">
        <v>2</v>
      </c>
      <c r="F22" s="4" t="e">
        <f>VLOOKUP(Table14[[#This Row],[Man. Number]],Articles!A:F,COLUMN(Articles!$F$1)-COLUMN(Articles!$A$1)+1,FALSE)</f>
        <v>#N/A</v>
      </c>
      <c r="G22" s="4" t="e">
        <f>IF(Table14[[#This Row],[In stock]] &gt;= Table14[[#This Row],[Quantity]],"YES","NO")</f>
        <v>#N/A</v>
      </c>
      <c r="H22" s="3" t="e">
        <f>VLOOKUP(Table14[[#This Row],[Man. Number]],Articles!A:J,COLUMN(Articles!$J$1)-COLUMN(Articles!$A$1)+1,FALSE)*Table14[[#This Row],[Quantity]]</f>
        <v>#N/A</v>
      </c>
      <c r="I22" s="4">
        <f>Table14[[#This Row],[Quantity]]*$M$1</f>
        <v>2</v>
      </c>
      <c r="J22" s="4" t="e">
        <f>IF(Table14[[#This Row],[In stock]] &gt;= Table14[[#This Row],[Total quantity]],"YES","NO")</f>
        <v>#N/A</v>
      </c>
    </row>
    <row r="23" spans="1:10" x14ac:dyDescent="0.25">
      <c r="A23" s="3" t="s">
        <v>22</v>
      </c>
      <c r="B23" s="4" t="e">
        <f>VLOOKUP(Table14[[#This Row],[Man. Number]],Articles!A:F,COLUMN(Articles!$D$1)-COLUMN(Articles!$A$1)+1,FALSE)</f>
        <v>#N/A</v>
      </c>
      <c r="C23" s="4" t="e">
        <f>VLOOKUP(Table14[[#This Row],[Man. Number]],Articles!A:F,COLUMN(Articles!$C$1)-COLUMN(Articles!$A$1)+1,FALSE)</f>
        <v>#N/A</v>
      </c>
      <c r="D23" s="4" t="s">
        <v>77</v>
      </c>
      <c r="E23" s="4">
        <v>5</v>
      </c>
      <c r="F23" s="4" t="e">
        <f>VLOOKUP(Table14[[#This Row],[Man. Number]],Articles!A:F,COLUMN(Articles!$F$1)-COLUMN(Articles!$A$1)+1,FALSE)</f>
        <v>#N/A</v>
      </c>
      <c r="G23" s="4" t="e">
        <f>IF(Table14[[#This Row],[In stock]] &gt;= Table14[[#This Row],[Quantity]],"YES","NO")</f>
        <v>#N/A</v>
      </c>
      <c r="H23" s="3" t="e">
        <f>VLOOKUP(Table14[[#This Row],[Man. Number]],Articles!A:J,COLUMN(Articles!$J$1)-COLUMN(Articles!$A$1)+1,FALSE)*Table14[[#This Row],[Quantity]]</f>
        <v>#N/A</v>
      </c>
      <c r="I23" s="4">
        <f>Table14[[#This Row],[Quantity]]*$M$1</f>
        <v>5</v>
      </c>
      <c r="J23" s="4" t="e">
        <f>IF(Table14[[#This Row],[In stock]] &gt;= Table14[[#This Row],[Total quantity]],"YES","NO")</f>
        <v>#N/A</v>
      </c>
    </row>
    <row r="24" spans="1:10" x14ac:dyDescent="0.25">
      <c r="A24" s="3" t="s">
        <v>14</v>
      </c>
      <c r="B24" s="4" t="e">
        <f>VLOOKUP(Table14[[#This Row],[Man. Number]],Articles!A:F,COLUMN(Articles!$D$1)-COLUMN(Articles!$A$1)+1,FALSE)</f>
        <v>#N/A</v>
      </c>
      <c r="C24" s="4" t="e">
        <f>VLOOKUP(Table14[[#This Row],[Man. Number]],Articles!A:F,COLUMN(Articles!$C$1)-COLUMN(Articles!$A$1)+1,FALSE)</f>
        <v>#N/A</v>
      </c>
      <c r="D24" s="4" t="s">
        <v>70</v>
      </c>
      <c r="E24" s="4">
        <v>1</v>
      </c>
      <c r="F24" s="4" t="e">
        <f>VLOOKUP(Table14[[#This Row],[Man. Number]],Articles!A:F,COLUMN(Articles!$F$1)-COLUMN(Articles!$A$1)+1,FALSE)</f>
        <v>#N/A</v>
      </c>
      <c r="G24" s="4" t="e">
        <f>IF(Table14[[#This Row],[In stock]] &gt;= Table14[[#This Row],[Quantity]],"YES","NO")</f>
        <v>#N/A</v>
      </c>
      <c r="H24" s="3" t="e">
        <f>VLOOKUP(Table14[[#This Row],[Man. Number]],Articles!A:J,COLUMN(Articles!$J$1)-COLUMN(Articles!$A$1)+1,FALSE)*Table14[[#This Row],[Quantity]]</f>
        <v>#N/A</v>
      </c>
      <c r="I24" s="4">
        <f>Table14[[#This Row],[Quantity]]*$M$1</f>
        <v>1</v>
      </c>
      <c r="J24" s="4" t="e">
        <f>IF(Table14[[#This Row],[In stock]] &gt;= Table14[[#This Row],[Total quantity]],"YES","NO")</f>
        <v>#N/A</v>
      </c>
    </row>
    <row r="25" spans="1:10" x14ac:dyDescent="0.25">
      <c r="A25" s="3" t="s">
        <v>15</v>
      </c>
      <c r="B25" s="4" t="e">
        <f>VLOOKUP(Table14[[#This Row],[Man. Number]],Articles!A:F,COLUMN(Articles!$D$1)-COLUMN(Articles!$A$1)+1,FALSE)</f>
        <v>#N/A</v>
      </c>
      <c r="C25" s="4" t="e">
        <f>VLOOKUP(Table14[[#This Row],[Man. Number]],Articles!A:F,COLUMN(Articles!$C$1)-COLUMN(Articles!$A$1)+1,FALSE)</f>
        <v>#N/A</v>
      </c>
      <c r="D25" s="4" t="s">
        <v>72</v>
      </c>
      <c r="E25" s="4">
        <v>1</v>
      </c>
      <c r="F25" s="4" t="e">
        <f>VLOOKUP(Table14[[#This Row],[Man. Number]],Articles!A:F,COLUMN(Articles!$F$1)-COLUMN(Articles!$A$1)+1,FALSE)</f>
        <v>#N/A</v>
      </c>
      <c r="G25" s="4" t="e">
        <f>IF(Table14[[#This Row],[In stock]] &gt;= Table14[[#This Row],[Quantity]],"YES","NO")</f>
        <v>#N/A</v>
      </c>
      <c r="H25" s="3" t="e">
        <f>VLOOKUP(Table14[[#This Row],[Man. Number]],Articles!A:J,COLUMN(Articles!$J$1)-COLUMN(Articles!$A$1)+1,FALSE)*Table14[[#This Row],[Quantity]]</f>
        <v>#N/A</v>
      </c>
      <c r="I25" s="4">
        <f>Table14[[#This Row],[Quantity]]*$M$1</f>
        <v>1</v>
      </c>
      <c r="J25" s="4" t="e">
        <f>IF(Table14[[#This Row],[In stock]] &gt;= Table14[[#This Row],[Total quantity]],"YES","NO")</f>
        <v>#N/A</v>
      </c>
    </row>
    <row r="26" spans="1:10" x14ac:dyDescent="0.25">
      <c r="A26" s="3" t="s">
        <v>16</v>
      </c>
      <c r="B26" s="4" t="e">
        <f>VLOOKUP(Table14[[#This Row],[Man. Number]],Articles!A:F,COLUMN(Articles!$D$1)-COLUMN(Articles!$A$1)+1,FALSE)</f>
        <v>#N/A</v>
      </c>
      <c r="C26" s="4" t="e">
        <f>VLOOKUP(Table14[[#This Row],[Man. Number]],Articles!A:F,COLUMN(Articles!$C$1)-COLUMN(Articles!$A$1)+1,FALSE)</f>
        <v>#N/A</v>
      </c>
      <c r="D26" s="4" t="s">
        <v>73</v>
      </c>
      <c r="E26" s="4">
        <v>1</v>
      </c>
      <c r="F26" s="4" t="e">
        <f>VLOOKUP(Table14[[#This Row],[Man. Number]],Articles!A:F,COLUMN(Articles!$F$1)-COLUMN(Articles!$A$1)+1,FALSE)</f>
        <v>#N/A</v>
      </c>
      <c r="G26" s="4" t="e">
        <f>IF(Table14[[#This Row],[In stock]] &gt;= Table14[[#This Row],[Quantity]],"YES","NO")</f>
        <v>#N/A</v>
      </c>
      <c r="H26" s="3" t="e">
        <f>VLOOKUP(Table14[[#This Row],[Man. Number]],Articles!A:J,COLUMN(Articles!$J$1)-COLUMN(Articles!$A$1)+1,FALSE)*Table14[[#This Row],[Quantity]]</f>
        <v>#N/A</v>
      </c>
      <c r="I26" s="4">
        <f>Table14[[#This Row],[Quantity]]*$M$1</f>
        <v>1</v>
      </c>
      <c r="J26" s="4" t="e">
        <f>IF(Table14[[#This Row],[In stock]] &gt;= Table14[[#This Row],[Total quantity]],"YES","NO")</f>
        <v>#N/A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e">
        <f>VLOOKUP(Table14[[#This Row],[Man. Number]],Articles!A:F,COLUMN(Articles!$D$1)-COLUMN(Articles!$A$1)+1,FALSE)</f>
        <v>#N/A</v>
      </c>
      <c r="C28" s="4" t="e">
        <f>VLOOKUP(Table14[[#This Row],[Man. Number]],Articles!A:F,COLUMN(Articles!$C$1)-COLUMN(Articles!$A$1)+1,FALSE)</f>
        <v>#N/A</v>
      </c>
      <c r="D28" s="4" t="s">
        <v>86</v>
      </c>
      <c r="E28" s="4">
        <v>1</v>
      </c>
      <c r="F28" s="4" t="e">
        <f>VLOOKUP(Table14[[#This Row],[Man. Number]],Articles!A:F,COLUMN(Articles!$F$1)-COLUMN(Articles!$A$1)+1,FALSE)</f>
        <v>#N/A</v>
      </c>
      <c r="G28" s="4" t="e">
        <f>IF(Table14[[#This Row],[In stock]] &gt;= Table14[[#This Row],[Quantity]],"YES","NO")</f>
        <v>#N/A</v>
      </c>
      <c r="H28" s="3" t="e">
        <f>VLOOKUP(Table14[[#This Row],[Man. Number]],Articles!A:J,COLUMN(Articles!$J$1)-COLUMN(Articles!$A$1)+1,FALSE)*Table14[[#This Row],[Quantity]]</f>
        <v>#N/A</v>
      </c>
      <c r="I28" s="4">
        <f>Table14[[#This Row],[Quantity]]*$M$1</f>
        <v>1</v>
      </c>
      <c r="J28" s="4" t="e">
        <f>IF(Table14[[#This Row],[In stock]] &gt;= Table14[[#This Row],[Total quantity]],"YES","NO")</f>
        <v>#N/A</v>
      </c>
    </row>
    <row r="29" spans="1:10" x14ac:dyDescent="0.25">
      <c r="A29" s="3" t="s">
        <v>8</v>
      </c>
      <c r="B29" s="4" t="e">
        <f>VLOOKUP(Table14[[#This Row],[Man. Number]],Articles!A:F,COLUMN(Articles!$D$1)-COLUMN(Articles!$A$1)+1,FALSE)</f>
        <v>#N/A</v>
      </c>
      <c r="C29" s="4" t="e">
        <f>VLOOKUP(Table14[[#This Row],[Man. Number]],Articles!A:F,COLUMN(Articles!$C$1)-COLUMN(Articles!$A$1)+1,FALSE)</f>
        <v>#N/A</v>
      </c>
      <c r="D29" s="4" t="s">
        <v>69</v>
      </c>
      <c r="E29" s="4">
        <v>1</v>
      </c>
      <c r="F29" s="4" t="e">
        <f>VLOOKUP(Table14[[#This Row],[Man. Number]],Articles!A:F,COLUMN(Articles!$F$1)-COLUMN(Articles!$A$1)+1,FALSE)</f>
        <v>#N/A</v>
      </c>
      <c r="G29" s="4" t="e">
        <f>IF(Table14[[#This Row],[In stock]] &gt;= Table14[[#This Row],[Quantity]],"YES","NO")</f>
        <v>#N/A</v>
      </c>
      <c r="H29" s="3" t="e">
        <f>VLOOKUP(Table14[[#This Row],[Man. Number]],Articles!A:J,COLUMN(Articles!$J$1)-COLUMN(Articles!$A$1)+1,FALSE)*Table14[[#This Row],[Quantity]]</f>
        <v>#N/A</v>
      </c>
      <c r="I29" s="4">
        <f>Table14[[#This Row],[Quantity]]*$M$1</f>
        <v>1</v>
      </c>
      <c r="J29" s="4" t="e">
        <f>IF(Table14[[#This Row],[In stock]] &gt;= Table14[[#This Row],[Total quantity]],"YES","NO")</f>
        <v>#N/A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e">
        <f>VLOOKUP(Table14[[#This Row],[Man. Number]],Articles!A:F,COLUMN(Articles!$D$1)-COLUMN(Articles!$A$1)+1,FALSE)</f>
        <v>#N/A</v>
      </c>
      <c r="C32" s="4" t="e">
        <f>VLOOKUP(Table14[[#This Row],[Man. Number]],Articles!A:F,COLUMN(Articles!$C$1)-COLUMN(Articles!$A$1)+1,FALSE)</f>
        <v>#N/A</v>
      </c>
      <c r="D32" s="4" t="s">
        <v>85</v>
      </c>
      <c r="E32" s="4">
        <v>1</v>
      </c>
      <c r="F32" s="4" t="e">
        <f>VLOOKUP(Table14[[#This Row],[Man. Number]],Articles!A:F,COLUMN(Articles!$F$1)-COLUMN(Articles!$A$1)+1,FALSE)</f>
        <v>#N/A</v>
      </c>
      <c r="G32" s="4" t="e">
        <f>IF(Table14[[#This Row],[In stock]] &gt;= Table14[[#This Row],[Quantity]],"YES","NO")</f>
        <v>#N/A</v>
      </c>
      <c r="H32" s="3" t="e">
        <f>VLOOKUP(Table14[[#This Row],[Man. Number]],Articles!A:J,COLUMN(Articles!$J$1)-COLUMN(Articles!$A$1)+1,FALSE)*Table14[[#This Row],[Quantity]]</f>
        <v>#N/A</v>
      </c>
      <c r="I32" s="4">
        <f>Table14[[#This Row],[Quantity]]*$M$1</f>
        <v>1</v>
      </c>
      <c r="J32" s="4" t="e">
        <f>IF(Table14[[#This Row],[In stock]] &gt;= Table14[[#This Row],[Total quantity]],"YES","NO")</f>
        <v>#N/A</v>
      </c>
    </row>
    <row r="33" spans="1:10" x14ac:dyDescent="0.25">
      <c r="A33" s="3" t="s">
        <v>11</v>
      </c>
      <c r="B33" s="4" t="e">
        <f>VLOOKUP(Table14[[#This Row],[Man. Number]],Articles!A:F,COLUMN(Articles!$D$1)-COLUMN(Articles!$A$1)+1,FALSE)</f>
        <v>#N/A</v>
      </c>
      <c r="C33" s="4" t="e">
        <f>VLOOKUP(Table14[[#This Row],[Man. Number]],Articles!A:F,COLUMN(Articles!$C$1)-COLUMN(Articles!$A$1)+1,FALSE)</f>
        <v>#N/A</v>
      </c>
      <c r="E33" s="4">
        <v>0</v>
      </c>
      <c r="F33" s="4" t="e">
        <f>VLOOKUP(Table14[[#This Row],[Man. Number]],Articles!A:F,COLUMN(Articles!$F$1)-COLUMN(Articles!$A$1)+1,FALSE)</f>
        <v>#N/A</v>
      </c>
      <c r="G33" s="4" t="e">
        <f>IF(Table14[[#This Row],[In stock]] &gt;= Table14[[#This Row],[Quantity]],"YES","NO")</f>
        <v>#N/A</v>
      </c>
      <c r="H33" s="3" t="e">
        <f>VLOOKUP(Table14[[#This Row],[Man. Number]],Articles!A:J,COLUMN(Articles!$J$1)-COLUMN(Articles!$A$1)+1,FALSE)*Table14[[#This Row],[Quantity]]</f>
        <v>#N/A</v>
      </c>
      <c r="I33" s="4">
        <f>Table14[[#This Row],[Quantity]]*$M$1</f>
        <v>0</v>
      </c>
      <c r="J33" s="4" t="e">
        <f>IF(Table14[[#This Row],[In stock]] &gt;= Table14[[#This Row],[Total quantity]],"YES","NO")</f>
        <v>#N/A</v>
      </c>
    </row>
    <row r="34" spans="1:10" x14ac:dyDescent="0.25">
      <c r="A34" s="3" t="s">
        <v>12</v>
      </c>
      <c r="B34" s="4" t="e">
        <f>VLOOKUP(Table14[[#This Row],[Man. Number]],Articles!A:F,COLUMN(Articles!$D$1)-COLUMN(Articles!$A$1)+1,FALSE)</f>
        <v>#N/A</v>
      </c>
      <c r="C34" s="4" t="e">
        <f>VLOOKUP(Table14[[#This Row],[Man. Number]],Articles!A:F,COLUMN(Articles!$C$1)-COLUMN(Articles!$A$1)+1,FALSE)</f>
        <v>#N/A</v>
      </c>
      <c r="E34" s="4">
        <v>0</v>
      </c>
      <c r="F34" s="4" t="e">
        <f>VLOOKUP(Table14[[#This Row],[Man. Number]],Articles!A:F,COLUMN(Articles!$F$1)-COLUMN(Articles!$A$1)+1,FALSE)</f>
        <v>#N/A</v>
      </c>
      <c r="G34" s="4" t="e">
        <f>IF(Table14[[#This Row],[In stock]] &gt;= Table14[[#This Row],[Quantity]],"YES","NO")</f>
        <v>#N/A</v>
      </c>
      <c r="H34" s="3" t="e">
        <f>VLOOKUP(Table14[[#This Row],[Man. Number]],Articles!A:J,COLUMN(Articles!$J$1)-COLUMN(Articles!$A$1)+1,FALSE)*Table14[[#This Row],[Quantity]]</f>
        <v>#N/A</v>
      </c>
      <c r="I34" s="4">
        <f>Table14[[#This Row],[Quantity]]*$M$1</f>
        <v>0</v>
      </c>
      <c r="J34" s="4" t="e">
        <f>IF(Table14[[#This Row],[In stock]] &gt;= Table14[[#This Row],[Total quantity]],"YES","NO")</f>
        <v>#N/A</v>
      </c>
    </row>
    <row r="35" spans="1:10" x14ac:dyDescent="0.25">
      <c r="A35" s="3" t="s">
        <v>13</v>
      </c>
      <c r="B35" s="4" t="e">
        <f>VLOOKUP(Table14[[#This Row],[Man. Number]],Articles!A:F,COLUMN(Articles!$D$1)-COLUMN(Articles!$A$1)+1,FALSE)</f>
        <v>#N/A</v>
      </c>
      <c r="C35" s="4" t="e">
        <f>VLOOKUP(Table14[[#This Row],[Man. Number]],Articles!A:F,COLUMN(Articles!$C$1)-COLUMN(Articles!$A$1)+1,FALSE)</f>
        <v>#N/A</v>
      </c>
      <c r="E35" s="4">
        <v>0</v>
      </c>
      <c r="F35" s="4" t="e">
        <f>VLOOKUP(Table14[[#This Row],[Man. Number]],Articles!A:F,COLUMN(Articles!$F$1)-COLUMN(Articles!$A$1)+1,FALSE)</f>
        <v>#N/A</v>
      </c>
      <c r="G35" s="4" t="e">
        <f>IF(Table14[[#This Row],[In stock]] &gt;= Table14[[#This Row],[Quantity]],"YES","NO")</f>
        <v>#N/A</v>
      </c>
      <c r="H35" s="3" t="e">
        <f>VLOOKUP(Table14[[#This Row],[Man. Number]],Articles!A:J,COLUMN(Articles!$J$1)-COLUMN(Articles!$A$1)+1,FALSE)*Table14[[#This Row],[Quantity]]</f>
        <v>#N/A</v>
      </c>
      <c r="I35" s="4">
        <f>Table14[[#This Row],[Quantity]]*$M$1</f>
        <v>0</v>
      </c>
      <c r="J35" s="4" t="e">
        <f>IF(Table14[[#This Row],[In stock]] &gt;= Table14[[#This Row],[Total quantity]],"YES","NO")</f>
        <v>#N/A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e">
        <f>VLOOKUP(Table14[[#This Row],[Man. Number]],Articles!A:F,COLUMN(Articles!$D$1)-COLUMN(Articles!$A$1)+1,FALSE)</f>
        <v>#N/A</v>
      </c>
      <c r="C38" s="4" t="e">
        <f>VLOOKUP(Table14[[#This Row],[Man. Number]],Articles!A:F,COLUMN(Articles!$C$1)-COLUMN(Articles!$A$1)+1,FALSE)</f>
        <v>#N/A</v>
      </c>
      <c r="E38" s="4">
        <v>0</v>
      </c>
      <c r="F38" s="4" t="e">
        <f>VLOOKUP(Table14[[#This Row],[Man. Number]],Articles!A:F,COLUMN(Articles!$F$1)-COLUMN(Articles!$A$1)+1,FALSE)</f>
        <v>#N/A</v>
      </c>
      <c r="G38" s="4" t="e">
        <f>IF(Table14[[#This Row],[In stock]] &gt;= Table14[[#This Row],[Quantity]],"YES","NO")</f>
        <v>#N/A</v>
      </c>
      <c r="H38" s="3" t="e">
        <f>VLOOKUP(Table14[[#This Row],[Man. Number]],Articles!A:J,COLUMN(Articles!$J$1)-COLUMN(Articles!$A$1)+1,FALSE)*Table14[[#This Row],[Quantity]]</f>
        <v>#N/A</v>
      </c>
      <c r="I38" s="4">
        <f>Table14[[#This Row],[Quantity]]*$M$1</f>
        <v>0</v>
      </c>
      <c r="J38" s="4" t="e">
        <f>IF(Table14[[#This Row],[In stock]] &gt;= Table14[[#This Row],[Total quantity]],"YES","NO")</f>
        <v>#N/A</v>
      </c>
    </row>
    <row r="39" spans="1:10" x14ac:dyDescent="0.25">
      <c r="A39" s="3" t="s">
        <v>26</v>
      </c>
      <c r="B39" s="4" t="e">
        <f>VLOOKUP(Table14[[#This Row],[Man. Number]],Articles!A:F,COLUMN(Articles!$D$1)-COLUMN(Articles!$A$1)+1,FALSE)</f>
        <v>#N/A</v>
      </c>
      <c r="C39" s="4" t="e">
        <f>VLOOKUP(Table14[[#This Row],[Man. Number]],Articles!A:F,COLUMN(Articles!$C$1)-COLUMN(Articles!$A$1)+1,FALSE)</f>
        <v>#N/A</v>
      </c>
      <c r="E39" s="4">
        <v>0</v>
      </c>
      <c r="F39" s="4" t="e">
        <f>VLOOKUP(Table14[[#This Row],[Man. Number]],Articles!A:F,COLUMN(Articles!$F$1)-COLUMN(Articles!$A$1)+1,FALSE)</f>
        <v>#N/A</v>
      </c>
      <c r="G39" s="4" t="e">
        <f>IF(Table14[[#This Row],[In stock]] &gt;= Table14[[#This Row],[Quantity]],"YES","NO")</f>
        <v>#N/A</v>
      </c>
      <c r="H39" s="3" t="e">
        <f>VLOOKUP(Table14[[#This Row],[Man. Number]],Articles!A:J,COLUMN(Articles!$J$1)-COLUMN(Articles!$A$1)+1,FALSE)*Table14[[#This Row],[Quantity]]</f>
        <v>#N/A</v>
      </c>
      <c r="I39" s="4">
        <f>Table14[[#This Row],[Quantity]]*$M$1</f>
        <v>0</v>
      </c>
      <c r="J39" s="4" t="e">
        <f>IF(Table14[[#This Row],[In stock]] &gt;= Table14[[#This Row],[Total quantity]],"YES","NO")</f>
        <v>#N/A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115</v>
      </c>
      <c r="G41" s="4"/>
      <c r="H41" s="34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11" priority="3"/>
  </conditionalFormatting>
  <conditionalFormatting sqref="G1:H1048576 J1:J1048576">
    <cfRule type="containsText" dxfId="110" priority="4" operator="containsText" text="NO">
      <formula>NOT(ISERROR(SEARCH("NO",G1)))</formula>
    </cfRule>
  </conditionalFormatting>
  <conditionalFormatting sqref="N1">
    <cfRule type="cellIs" dxfId="109" priority="1" stopIfTrue="1" operator="equal">
      <formula>"Locked"</formula>
    </cfRule>
    <cfRule type="cellIs" dxfId="10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25.7109375" style="34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47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5">
        <v>1</v>
      </c>
      <c r="N1" t="s">
        <v>238</v>
      </c>
    </row>
    <row r="2" spans="1:14" x14ac:dyDescent="0.25">
      <c r="A2" s="34" t="s">
        <v>190</v>
      </c>
      <c r="B2" s="34" t="e">
        <f>VLOOKUP(Table146810[[#This Row],[Man. Number]],Articles!A:F,COLUMN(Articles!$D$1)-COLUMN(Articles!$A$1)+1,FALSE)</f>
        <v>#N/A</v>
      </c>
      <c r="C2" s="34" t="e">
        <f>VLOOKUP(Table146810[[#This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VLOOKUP(Table146810[[#This Row],[Man. Number]],Articles!A:F,COLUMN(Articles!$F$1)-COLUMN(Articles!$A$1)+1,FALSE)</f>
        <v>#N/A</v>
      </c>
      <c r="G2" s="34" t="e">
        <f>IF(Table146810[[#This Row],[In stock]] &gt;= Table146810[[#This Row],[Quantity]],"YES","NO")</f>
        <v>#N/A</v>
      </c>
      <c r="H2" s="3" t="e">
        <f>VLOOKUP(Table146810[[#This Row],[Man. Number]],Articles!A:J,COLUMN(Articles!$J$1)-COLUMN(Articles!$A$1)+1,FALSE)*Table146810[[#This Row],[Quantity]]</f>
        <v>#N/A</v>
      </c>
      <c r="I2" s="34">
        <f>Table146810[[#This Row],[Quantity]]*$M$1</f>
        <v>1</v>
      </c>
      <c r="J2" s="34" t="e">
        <f>IF(Table146810[[#This Row],[In stock]] &gt;= Table146810[[#This Row],[Total quantity]],"YES","NO")</f>
        <v>#N/A</v>
      </c>
    </row>
    <row r="3" spans="1:14" x14ac:dyDescent="0.25">
      <c r="A3" s="34" t="s">
        <v>156</v>
      </c>
      <c r="B3" s="34" t="e">
        <f>VLOOKUP(Table146810[[#This Row],[Man. Number]],Articles!A:F,COLUMN(Articles!$D$1)-COLUMN(Articles!$A$1)+1,FALSE)</f>
        <v>#N/A</v>
      </c>
      <c r="C3" s="34" t="e">
        <f>VLOOKUP(Table146810[[#This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VLOOKUP(Table146810[[#This Row],[Man. Number]],Articles!A:F,COLUMN(Articles!$F$1)-COLUMN(Articles!$A$1)+1,FALSE)</f>
        <v>#N/A</v>
      </c>
      <c r="G3" s="34" t="e">
        <f>IF(Table146810[[#This Row],[In stock]] &gt;= Table146810[[#This Row],[Quantity]],"YES","NO")</f>
        <v>#N/A</v>
      </c>
      <c r="H3" s="3" t="e">
        <f>VLOOKUP(Table146810[[#This Row],[Man. Number]],Articles!A:J,COLUMN(Articles!$J$1)-COLUMN(Articles!$A$1)+1,FALSE)*Table146810[[#This Row],[Quantity]]</f>
        <v>#N/A</v>
      </c>
      <c r="I3" s="34">
        <f>Table146810[[#This Row],[Quantity]]*$M$1</f>
        <v>1</v>
      </c>
      <c r="J3" s="34" t="e">
        <f>IF(Table146810[[#This Row],[In stock]] &gt;= Table146810[[#This Row],[Total quantity]],"YES","NO")</f>
        <v>#N/A</v>
      </c>
    </row>
    <row r="4" spans="1:14" x14ac:dyDescent="0.25">
      <c r="A4" s="34" t="s">
        <v>10</v>
      </c>
      <c r="B4" s="34" t="e">
        <f>VLOOKUP(Table146810[[#This Row],[Man. Number]],Articles!A:F,COLUMN(Articles!$D$1)-COLUMN(Articles!$A$1)+1,FALSE)</f>
        <v>#N/A</v>
      </c>
      <c r="C4" s="34" t="e">
        <f>VLOOKUP(Table146810[[#This Row],[Man. Number]],Articles!A:F,COLUMN(Articles!$C$1)-COLUMN(Articles!$A$1)+1,FALSE)</f>
        <v>#N/A</v>
      </c>
      <c r="D4" s="4" t="s">
        <v>68</v>
      </c>
      <c r="E4" s="4">
        <v>1</v>
      </c>
      <c r="F4" s="4" t="e">
        <f>VLOOKUP(Table146810[[#This Row],[Man. Number]],Articles!A:F,COLUMN(Articles!$F$1)-COLUMN(Articles!$A$1)+1,FALSE)</f>
        <v>#N/A</v>
      </c>
      <c r="G4" s="34" t="e">
        <f>IF(Table146810[[#This Row],[In stock]] &gt;= Table146810[[#This Row],[Quantity]],"YES","NO")</f>
        <v>#N/A</v>
      </c>
      <c r="H4" s="3" t="e">
        <f>VLOOKUP(Table146810[[#This Row],[Man. Number]],Articles!A:J,COLUMN(Articles!$J$1)-COLUMN(Articles!$A$1)+1,FALSE)*Table146810[[#This Row],[Quantity]]</f>
        <v>#N/A</v>
      </c>
      <c r="I4" s="34">
        <f>Table146810[[#This Row],[Quantity]]*$M$1</f>
        <v>1</v>
      </c>
      <c r="J4" s="34" t="e">
        <f>IF(Table146810[[#This Row],[In stock]] &gt;= Table146810[[#This Row],[Total quantity]],"YES","NO")</f>
        <v>#N/A</v>
      </c>
    </row>
    <row r="5" spans="1:14" x14ac:dyDescent="0.25">
      <c r="A5" s="34" t="s">
        <v>19</v>
      </c>
      <c r="B5" s="34" t="e">
        <f>VLOOKUP(Table146810[[#This Row],[Man. Number]],Articles!A:F,COLUMN(Articles!$D$1)-COLUMN(Articles!$A$1)+1,FALSE)</f>
        <v>#N/A</v>
      </c>
      <c r="C5" s="34" t="e">
        <f>VLOOKUP(Table146810[[#This Row],[Man. Number]],Articles!A:F,COLUMN(Articles!$C$1)-COLUMN(Articles!$A$1)+1,FALSE)</f>
        <v>#N/A</v>
      </c>
      <c r="D5" s="4" t="s">
        <v>193</v>
      </c>
      <c r="E5" s="4">
        <v>3</v>
      </c>
      <c r="F5" s="4" t="e">
        <f>VLOOKUP(Table146810[[#This Row],[Man. Number]],Articles!A:F,COLUMN(Articles!$F$1)-COLUMN(Articles!$A$1)+1,FALSE)</f>
        <v>#N/A</v>
      </c>
      <c r="G5" s="34" t="e">
        <f>IF(Table146810[[#This Row],[In stock]] &gt;= Table146810[[#This Row],[Quantity]],"YES","NO")</f>
        <v>#N/A</v>
      </c>
      <c r="H5" s="3" t="e">
        <f>VLOOKUP(Table146810[[#This Row],[Man. Number]],Articles!A:J,COLUMN(Articles!$J$1)-COLUMN(Articles!$A$1)+1,FALSE)*Table146810[[#This Row],[Quantity]]</f>
        <v>#N/A</v>
      </c>
      <c r="I5" s="34">
        <f>Table146810[[#This Row],[Quantity]]*$M$1</f>
        <v>3</v>
      </c>
      <c r="J5" s="34" t="e">
        <f>IF(Table146810[[#This Row],[In stock]] &gt;= Table146810[[#This Row],[Total quantity]],"YES","NO")</f>
        <v>#N/A</v>
      </c>
    </row>
    <row r="6" spans="1:14" x14ac:dyDescent="0.25">
      <c r="A6" s="34" t="s">
        <v>155</v>
      </c>
      <c r="B6" s="34" t="e">
        <f>VLOOKUP(Table146810[[#This Row],[Man. Number]],Articles!A:F,COLUMN(Articles!$D$1)-COLUMN(Articles!$A$1)+1,FALSE)</f>
        <v>#N/A</v>
      </c>
      <c r="C6" s="34" t="e">
        <f>VLOOKUP(Table146810[[#This Row],[Man. Number]],Articles!A:F,COLUMN(Articles!$C$1)-COLUMN(Articles!$A$1)+1,FALSE)</f>
        <v>#N/A</v>
      </c>
      <c r="D6" s="4" t="s">
        <v>151</v>
      </c>
      <c r="E6" s="4">
        <v>2</v>
      </c>
      <c r="F6" s="4" t="e">
        <f>VLOOKUP(Table146810[[#This Row],[Man. Number]],Articles!A:F,COLUMN(Articles!$F$1)-COLUMN(Articles!$A$1)+1,FALSE)</f>
        <v>#N/A</v>
      </c>
      <c r="G6" s="34" t="e">
        <f>IF(Table146810[[#This Row],[In stock]] &gt;= Table146810[[#This Row],[Quantity]],"YES","NO")</f>
        <v>#N/A</v>
      </c>
      <c r="H6" s="3" t="e">
        <f>VLOOKUP(Table146810[[#This Row],[Man. Number]],Articles!A:J,COLUMN(Articles!$J$1)-COLUMN(Articles!$A$1)+1,FALSE)*Table146810[[#This Row],[Quantity]]</f>
        <v>#N/A</v>
      </c>
      <c r="I6" s="34">
        <f>Table146810[[#This Row],[Quantity]]*$M$1</f>
        <v>2</v>
      </c>
      <c r="J6" s="34" t="e">
        <f>IF(Table146810[[#This Row],[In stock]] &gt;= Table146810[[#This Row],[Total quantity]],"YES","NO")</f>
        <v>#N/A</v>
      </c>
    </row>
    <row r="7" spans="1:14" x14ac:dyDescent="0.25">
      <c r="A7" s="34" t="s">
        <v>153</v>
      </c>
      <c r="B7" s="34" t="e">
        <f>VLOOKUP(Table146810[[#This Row],[Man. Number]],Articles!A:F,COLUMN(Articles!$D$1)-COLUMN(Articles!$A$1)+1,FALSE)</f>
        <v>#N/A</v>
      </c>
      <c r="C7" s="34" t="e">
        <f>VLOOKUP(Table146810[[#This Row],[Man. Number]],Articles!A:F,COLUMN(Articles!$C$1)-COLUMN(Articles!$A$1)+1,FALSE)</f>
        <v>#N/A</v>
      </c>
      <c r="D7" s="4" t="s">
        <v>152</v>
      </c>
      <c r="E7" s="4">
        <v>1</v>
      </c>
      <c r="F7" s="4" t="e">
        <f>VLOOKUP(Table146810[[#This Row],[Man. Number]],Articles!A:F,COLUMN(Articles!$F$1)-COLUMN(Articles!$A$1)+1,FALSE)</f>
        <v>#N/A</v>
      </c>
      <c r="G7" s="34" t="e">
        <f>IF(Table146810[[#This Row],[In stock]] &gt;= Table146810[[#This Row],[Quantity]],"YES","NO")</f>
        <v>#N/A</v>
      </c>
      <c r="H7" s="3" t="e">
        <f>VLOOKUP(Table146810[[#This Row],[Man. Number]],Articles!A:J,COLUMN(Articles!$J$1)-COLUMN(Articles!$A$1)+1,FALSE)*Table146810[[#This Row],[Quantity]]</f>
        <v>#N/A</v>
      </c>
      <c r="I7" s="34">
        <f>Table146810[[#This Row],[Quantity]]*$M$1</f>
        <v>1</v>
      </c>
      <c r="J7" s="34" t="e">
        <f>IF(Table146810[[#This Row],[In stock]] &gt;= Table146810[[#This Row],[Total quantity]],"YES","NO")</f>
        <v>#N/A</v>
      </c>
    </row>
    <row r="8" spans="1:14" x14ac:dyDescent="0.25">
      <c r="A8" s="34" t="s">
        <v>60</v>
      </c>
      <c r="B8" s="34" t="e">
        <f>VLOOKUP(Table146810[[#This Row],[Man. Number]],Articles!A:F,COLUMN(Articles!$D$1)-COLUMN(Articles!$A$1)+1,FALSE)</f>
        <v>#N/A</v>
      </c>
      <c r="C8" s="34" t="e">
        <f>VLOOKUP(Table146810[[#This Row],[Man. Number]],Articles!A:F,COLUMN(Articles!$C$1)-COLUMN(Articles!$A$1)+1,FALSE)</f>
        <v>#N/A</v>
      </c>
      <c r="D8" s="4" t="s">
        <v>147</v>
      </c>
      <c r="E8" s="4">
        <v>1</v>
      </c>
      <c r="F8" s="4" t="e">
        <f>VLOOKUP(Table146810[[#This Row],[Man. Number]],Articles!A:F,COLUMN(Articles!$F$1)-COLUMN(Articles!$A$1)+1,FALSE)</f>
        <v>#N/A</v>
      </c>
      <c r="G8" s="34" t="e">
        <f>IF(Table146810[[#This Row],[In stock]] &gt;= Table146810[[#This Row],[Quantity]],"YES","NO")</f>
        <v>#N/A</v>
      </c>
      <c r="H8" s="3" t="e">
        <f>VLOOKUP(Table146810[[#This Row],[Man. Number]],Articles!A:J,COLUMN(Articles!$J$1)-COLUMN(Articles!$A$1)+1,FALSE)*Table146810[[#This Row],[Quantity]]</f>
        <v>#N/A</v>
      </c>
      <c r="I8" s="34">
        <f>Table146810[[#This Row],[Quantity]]*$M$1</f>
        <v>1</v>
      </c>
      <c r="J8" s="34" t="e">
        <f>IF(Table146810[[#This Row],[In stock]] &gt;= Table146810[[#This Row],[Total quantity]],"YES","NO")</f>
        <v>#N/A</v>
      </c>
    </row>
    <row r="9" spans="1:14" x14ac:dyDescent="0.25">
      <c r="A9" s="34" t="s">
        <v>154</v>
      </c>
      <c r="B9" s="34" t="e">
        <f>VLOOKUP(Table146810[[#This Row],[Man. Number]],Articles!A:F,COLUMN(Articles!$D$1)-COLUMN(Articles!$A$1)+1,FALSE)</f>
        <v>#N/A</v>
      </c>
      <c r="C9" s="34" t="e">
        <f>VLOOKUP(Table146810[[#This Row],[Man. Number]],Articles!A:F,COLUMN(Articles!$C$1)-COLUMN(Articles!$A$1)+1,FALSE)</f>
        <v>#N/A</v>
      </c>
      <c r="D9" s="4" t="s">
        <v>147</v>
      </c>
      <c r="E9" s="4">
        <v>0</v>
      </c>
      <c r="F9" s="4" t="e">
        <f>VLOOKUP(Table146810[[#This Row],[Man. Number]],Articles!A:F,COLUMN(Articles!$F$1)-COLUMN(Articles!$A$1)+1,FALSE)</f>
        <v>#N/A</v>
      </c>
      <c r="G9" s="34" t="e">
        <f>IF(Table146810[[#This Row],[In stock]] &gt;= Table146810[[#This Row],[Quantity]],"YES","NO")</f>
        <v>#N/A</v>
      </c>
      <c r="H9" s="3" t="e">
        <f>VLOOKUP(Table146810[[#This Row],[Man. Number]],Articles!A:J,COLUMN(Articles!$J$1)-COLUMN(Articles!$A$1)+1,FALSE)*Table146810[[#This Row],[Quantity]]</f>
        <v>#N/A</v>
      </c>
      <c r="I9" s="34">
        <f>Table146810[[#This Row],[Quantity]]*$M$1</f>
        <v>0</v>
      </c>
      <c r="J9" s="34" t="e">
        <f>IF(Table146810[[#This Row],[In stock]] &gt;= Table146810[[#This Row],[Total quantity]],"YES","NO")</f>
        <v>#N/A</v>
      </c>
    </row>
    <row r="10" spans="1:14" x14ac:dyDescent="0.25">
      <c r="A10" s="34" t="s">
        <v>130</v>
      </c>
      <c r="B10" s="34" t="e">
        <f>VLOOKUP(Table146810[[#This Row],[Man. Number]],Articles!A:F,COLUMN(Articles!$D$1)-COLUMN(Articles!$A$1)+1,FALSE)</f>
        <v>#N/A</v>
      </c>
      <c r="C10" s="34" t="e">
        <f>VLOOKUP(Table146810[[#This Row],[Man. Number]],Articles!A:F,COLUMN(Articles!$C$1)-COLUMN(Articles!$A$1)+1,FALSE)</f>
        <v>#N/A</v>
      </c>
      <c r="D10" s="4" t="s">
        <v>65</v>
      </c>
      <c r="E10" s="4">
        <v>1</v>
      </c>
      <c r="F10" s="4" t="e">
        <f>VLOOKUP(Table146810[[#This Row],[Man. Number]],Articles!A:F,COLUMN(Articles!$F$1)-COLUMN(Articles!$A$1)+1,FALSE)</f>
        <v>#N/A</v>
      </c>
      <c r="G10" s="34" t="e">
        <f>IF(Table146810[[#This Row],[In stock]] &gt;= Table146810[[#This Row],[Quantity]],"YES","NO")</f>
        <v>#N/A</v>
      </c>
      <c r="H10" s="3" t="e">
        <f>VLOOKUP(Table146810[[#This Row],[Man. Number]],Articles!A:J,COLUMN(Articles!$J$1)-COLUMN(Articles!$A$1)+1,FALSE)*Table146810[[#This Row],[Quantity]]</f>
        <v>#N/A</v>
      </c>
      <c r="I10" s="34">
        <f>Table146810[[#This Row],[Quantity]]*$M$1</f>
        <v>1</v>
      </c>
      <c r="J10" s="34" t="e">
        <f>IF(Table146810[[#This Row],[In stock]] &gt;= Table146810[[#This Row],[Total quantity]],"YES","NO")</f>
        <v>#N/A</v>
      </c>
    </row>
    <row r="11" spans="1:14" x14ac:dyDescent="0.25">
      <c r="A11" s="34" t="s">
        <v>41</v>
      </c>
      <c r="B11" s="34" t="e">
        <f>VLOOKUP(Table146810[[#This Row],[Man. Number]],Articles!A:F,COLUMN(Articles!$D$1)-COLUMN(Articles!$A$1)+1,FALSE)</f>
        <v>#N/A</v>
      </c>
      <c r="C11" s="34" t="e">
        <f>VLOOKUP(Table146810[[#This Row],[Man. Number]],Articles!A:F,COLUMN(Articles!$C$1)-COLUMN(Articles!$A$1)+1,FALSE)</f>
        <v>#N/A</v>
      </c>
      <c r="D11" s="4" t="s">
        <v>148</v>
      </c>
      <c r="E11" s="4">
        <v>1</v>
      </c>
      <c r="F11" s="4" t="e">
        <f>VLOOKUP(Table146810[[#This Row],[Man. Number]],Articles!A:F,COLUMN(Articles!$F$1)-COLUMN(Articles!$A$1)+1,FALSE)</f>
        <v>#N/A</v>
      </c>
      <c r="G11" s="34" t="e">
        <f>IF(Table146810[[#This Row],[In stock]] &gt;= Table146810[[#This Row],[Quantity]],"YES","NO")</f>
        <v>#N/A</v>
      </c>
      <c r="H11" s="3" t="e">
        <f>VLOOKUP(Table146810[[#This Row],[Man. Number]],Articles!A:J,COLUMN(Articles!$J$1)-COLUMN(Articles!$A$1)+1,FALSE)*Table146810[[#This Row],[Quantity]]</f>
        <v>#N/A</v>
      </c>
      <c r="I11" s="34">
        <f>Table146810[[#This Row],[Quantity]]*$M$1</f>
        <v>1</v>
      </c>
      <c r="J11" s="34" t="e">
        <f>IF(Table146810[[#This Row],[In stock]] &gt;= Table146810[[#This Row],[Total quantity]],"YES","NO")</f>
        <v>#N/A</v>
      </c>
    </row>
    <row r="12" spans="1:14" x14ac:dyDescent="0.25">
      <c r="A12" s="34" t="s">
        <v>159</v>
      </c>
      <c r="B12" s="34" t="e">
        <f>VLOOKUP(Table146810[[#This Row],[Man. Number]],Articles!A:F,COLUMN(Articles!$D$1)-COLUMN(Articles!$A$1)+1,FALSE)</f>
        <v>#N/A</v>
      </c>
      <c r="C12" s="34" t="e">
        <f>VLOOKUP(Table146810[[#This Row],[Man. Number]],Articles!A:F,COLUMN(Articles!$C$1)-COLUMN(Articles!$A$1)+1,FALSE)</f>
        <v>#N/A</v>
      </c>
      <c r="D12" s="4" t="s">
        <v>182</v>
      </c>
      <c r="E12" s="4">
        <f>8/40</f>
        <v>0.2</v>
      </c>
      <c r="F12" s="34" t="e">
        <f>VLOOKUP(Table146810[[#This Row],[Man. Number]],Articles!A:F,COLUMN(Articles!$F$1)-COLUMN(Articles!$A$1)+1,FALSE)</f>
        <v>#N/A</v>
      </c>
      <c r="G12" s="34" t="e">
        <f>IF(Table146810[[#This Row],[In stock]] &gt;= Table146810[[#This Row],[Quantity]],"YES","NO")</f>
        <v>#N/A</v>
      </c>
      <c r="H12" s="3" t="e">
        <f>VLOOKUP(Table146810[[#This Row],[Man. Number]],Articles!A:J,COLUMN(Articles!$J$1)-COLUMN(Articles!$A$1)+1,FALSE)*Table146810[[#This Row],[Quantity]]</f>
        <v>#N/A</v>
      </c>
      <c r="I12" s="34">
        <f>Table146810[[#This Row],[Quantity]]*$M$1</f>
        <v>0.2</v>
      </c>
      <c r="J12" s="34" t="e">
        <f>IF(Table146810[[#This Row],[In stock]] &gt;= Table146810[[#This Row],[Total quantity]],"YES","NO")</f>
        <v>#N/A</v>
      </c>
    </row>
    <row r="13" spans="1:14" x14ac:dyDescent="0.25">
      <c r="A13" s="34" t="s">
        <v>58</v>
      </c>
      <c r="B13" s="34" t="e">
        <f>VLOOKUP(Table146810[[#This Row],[Man. Number]],Articles!A:F,COLUMN(Articles!$D$1)-COLUMN(Articles!$A$1)+1,FALSE)</f>
        <v>#N/A</v>
      </c>
      <c r="C13" s="34" t="e">
        <f>VLOOKUP(Table146810[[#This Row],[Man. Number]],Articles!A:F,COLUMN(Articles!$C$1)-COLUMN(Articles!$A$1)+1,FALSE)</f>
        <v>#N/A</v>
      </c>
      <c r="D13" s="4" t="s">
        <v>71</v>
      </c>
      <c r="E13" s="4">
        <v>1</v>
      </c>
      <c r="F13" s="34" t="e">
        <f>VLOOKUP(Table146810[[#This Row],[Man. Number]],Articles!A:F,COLUMN(Articles!$F$1)-COLUMN(Articles!$A$1)+1,FALSE)</f>
        <v>#N/A</v>
      </c>
      <c r="G13" s="34" t="e">
        <f>IF(Table146810[[#This Row],[In stock]] &gt;= Table146810[[#This Row],[Quantity]],"YES","NO")</f>
        <v>#N/A</v>
      </c>
      <c r="H13" s="3" t="e">
        <f>VLOOKUP(Table146810[[#This Row],[Man. Number]],Articles!A:J,COLUMN(Articles!$J$1)-COLUMN(Articles!$A$1)+1,FALSE)*Table146810[[#This Row],[Quantity]]</f>
        <v>#N/A</v>
      </c>
      <c r="I13" s="34">
        <f>Table146810[[#This Row],[Quantity]]*$M$1</f>
        <v>1</v>
      </c>
      <c r="J13" s="34" t="e">
        <f>IF(Table146810[[#This Row],[In stock]] &gt;= Table146810[[#This Row],[Total quantity]],"YES","NO")</f>
        <v>#N/A</v>
      </c>
    </row>
    <row r="14" spans="1:14" x14ac:dyDescent="0.25">
      <c r="A14" s="34" t="s">
        <v>39</v>
      </c>
      <c r="B14" s="34" t="e">
        <f>VLOOKUP(Table146810[[#This Row],[Man. Number]],Articles!A:F,COLUMN(Articles!$D$1)-COLUMN(Articles!$A$1)+1,FALSE)</f>
        <v>#N/A</v>
      </c>
      <c r="C14" s="34" t="e">
        <f>VLOOKUP(Table146810[[#This Row],[Man. Number]],Articles!A:F,COLUMN(Articles!$C$1)-COLUMN(Articles!$A$1)+1,FALSE)</f>
        <v>#N/A</v>
      </c>
      <c r="D14" s="4" t="s">
        <v>161</v>
      </c>
      <c r="E14" s="4">
        <v>1</v>
      </c>
      <c r="F14" s="34" t="e">
        <f>VLOOKUP(Table146810[[#This Row],[Man. Number]],Articles!A:F,COLUMN(Articles!$F$1)-COLUMN(Articles!$A$1)+1,FALSE)</f>
        <v>#N/A</v>
      </c>
      <c r="G14" s="34" t="e">
        <f>IF(Table146810[[#This Row],[In stock]] &gt;= Table146810[[#This Row],[Quantity]],"YES","NO")</f>
        <v>#N/A</v>
      </c>
      <c r="H14" s="3" t="e">
        <f>VLOOKUP(Table146810[[#This Row],[Man. Number]],Articles!A:J,COLUMN(Articles!$J$1)-COLUMN(Articles!$A$1)+1,FALSE)*Table146810[[#This Row],[Quantity]]</f>
        <v>#N/A</v>
      </c>
      <c r="I14" s="34">
        <f>Table146810[[#This Row],[Quantity]]*$M$1</f>
        <v>1</v>
      </c>
      <c r="J14" s="34" t="e">
        <f>IF(Table146810[[#This Row],[In stock]] &gt;= Table146810[[#This Row],[Total quantity]],"YES","NO")</f>
        <v>#N/A</v>
      </c>
    </row>
    <row r="15" spans="1:14" x14ac:dyDescent="0.25">
      <c r="A15" s="34" t="s">
        <v>178</v>
      </c>
      <c r="B15" s="34" t="e">
        <f>VLOOKUP(Table146810[[#This Row],[Man. Number]],Articles!A:F,COLUMN(Articles!$D$1)-COLUMN(Articles!$A$1)+1,FALSE)</f>
        <v>#N/A</v>
      </c>
      <c r="C15" s="34" t="e">
        <f>VLOOKUP(Table146810[[#This Row],[Man. Number]],Articles!A:F,COLUMN(Articles!$C$1)-COLUMN(Articles!$A$1)+1,FALSE)</f>
        <v>#N/A</v>
      </c>
      <c r="D15" s="4" t="s">
        <v>90</v>
      </c>
      <c r="E15" s="4">
        <v>1</v>
      </c>
      <c r="F15" s="4" t="e">
        <f>VLOOKUP(Table146810[[#This Row],[Man. Number]],Articles!A:F,COLUMN(Articles!$F$1)-COLUMN(Articles!$A$1)+1,FALSE)</f>
        <v>#N/A</v>
      </c>
      <c r="G15" s="34" t="e">
        <f>IF(Table146810[[#This Row],[In stock]] &gt;= Table146810[[#This Row],[Quantity]],"YES","NO")</f>
        <v>#N/A</v>
      </c>
      <c r="H15" s="3" t="e">
        <f>VLOOKUP(Table146810[[#This Row],[Man. Number]],Articles!A:J,COLUMN(Articles!$J$1)-COLUMN(Articles!$A$1)+1,FALSE)*Table146810[[#This Row],[Quantity]]</f>
        <v>#N/A</v>
      </c>
      <c r="I15" s="34">
        <f>Table146810[[#This Row],[Quantity]]*$M$1</f>
        <v>1</v>
      </c>
      <c r="J15" s="34" t="e">
        <f>IF(Table146810[[#This Row],[In stock]] &gt;= Table146810[[#This Row],[Total quantity]],"YES","NO")</f>
        <v>#N/A</v>
      </c>
    </row>
    <row r="16" spans="1:14" x14ac:dyDescent="0.25">
      <c r="A16" s="34" t="s">
        <v>175</v>
      </c>
      <c r="B16" s="34" t="e">
        <f>VLOOKUP(Table146810[[#This Row],[Man. Number]],Articles!A:F,COLUMN(Articles!$D$1)-COLUMN(Articles!$A$1)+1,FALSE)</f>
        <v>#N/A</v>
      </c>
      <c r="C16" s="34" t="e">
        <f>VLOOKUP(Table146810[[#This Row],[Man. Number]],Articles!A:F,COLUMN(Articles!$C$1)-COLUMN(Articles!$A$1)+1,FALSE)</f>
        <v>#N/A</v>
      </c>
      <c r="D16" s="4" t="s">
        <v>82</v>
      </c>
      <c r="E16" s="4">
        <v>1</v>
      </c>
      <c r="F16" s="4" t="e">
        <f>VLOOKUP(Table146810[[#This Row],[Man. Number]],Articles!A:F,COLUMN(Articles!$F$1)-COLUMN(Articles!$A$1)+1,FALSE)</f>
        <v>#N/A</v>
      </c>
      <c r="G16" s="34" t="e">
        <f>IF(Table146810[[#This Row],[In stock]] &gt;= Table146810[[#This Row],[Quantity]],"YES","NO")</f>
        <v>#N/A</v>
      </c>
      <c r="H16" s="3" t="e">
        <f>VLOOKUP(Table146810[[#This Row],[Man. Number]],Articles!A:J,COLUMN(Articles!$J$1)-COLUMN(Articles!$A$1)+1,FALSE)*Table146810[[#This Row],[Quantity]]</f>
        <v>#N/A</v>
      </c>
      <c r="I16" s="34">
        <f>Table146810[[#This Row],[Quantity]]*$M$1</f>
        <v>1</v>
      </c>
      <c r="J16" s="34" t="e">
        <f>IF(Table146810[[#This Row],[In stock]] &gt;= Table146810[[#This Row],[Total quantity]],"YES","NO")</f>
        <v>#N/A</v>
      </c>
    </row>
    <row r="17" spans="1:10" x14ac:dyDescent="0.25">
      <c r="A17" s="34" t="s">
        <v>177</v>
      </c>
      <c r="B17" s="34" t="e">
        <f>VLOOKUP(Table146810[[#This Row],[Man. Number]],Articles!A:F,COLUMN(Articles!$D$1)-COLUMN(Articles!$A$1)+1,FALSE)</f>
        <v>#N/A</v>
      </c>
      <c r="C17" s="34" t="e">
        <f>VLOOKUP(Table146810[[#This Row],[Man. Number]],Articles!A:F,COLUMN(Articles!$C$1)-COLUMN(Articles!$A$1)+1,FALSE)</f>
        <v>#N/A</v>
      </c>
      <c r="D17" s="4" t="s">
        <v>163</v>
      </c>
      <c r="E17" s="4">
        <v>3</v>
      </c>
      <c r="F17" s="4" t="e">
        <f>VLOOKUP(Table146810[[#This Row],[Man. Number]],Articles!A:F,COLUMN(Articles!$F$1)-COLUMN(Articles!$A$1)+1,FALSE)</f>
        <v>#N/A</v>
      </c>
      <c r="G17" s="34" t="e">
        <f>IF(Table146810[[#This Row],[In stock]] &gt;= Table146810[[#This Row],[Quantity]],"YES","NO")</f>
        <v>#N/A</v>
      </c>
      <c r="H17" s="3" t="e">
        <f>VLOOKUP(Table146810[[#This Row],[Man. Number]],Articles!A:J,COLUMN(Articles!$J$1)-COLUMN(Articles!$A$1)+1,FALSE)*Table146810[[#This Row],[Quantity]]</f>
        <v>#N/A</v>
      </c>
      <c r="I17" s="34">
        <f>Table146810[[#This Row],[Quantity]]*$M$1</f>
        <v>3</v>
      </c>
      <c r="J17" s="34" t="e">
        <f>IF(Table146810[[#This Row],[In stock]] &gt;= Table146810[[#This Row],[Total quantity]],"YES","NO")</f>
        <v>#N/A</v>
      </c>
    </row>
    <row r="18" spans="1:10" x14ac:dyDescent="0.25">
      <c r="A18" s="34" t="s">
        <v>170</v>
      </c>
      <c r="B18" s="34" t="e">
        <f>VLOOKUP(Table146810[[#This Row],[Man. Number]],Articles!A:F,COLUMN(Articles!$D$1)-COLUMN(Articles!$A$1)+1,FALSE)</f>
        <v>#N/A</v>
      </c>
      <c r="C18" s="34" t="e">
        <f>VLOOKUP(Table146810[[#This Row],[Man. Number]],Articles!A:F,COLUMN(Articles!$C$1)-COLUMN(Articles!$A$1)+1,FALSE)</f>
        <v>#N/A</v>
      </c>
      <c r="D18" s="4" t="s">
        <v>150</v>
      </c>
      <c r="E18" s="4">
        <v>5</v>
      </c>
      <c r="F18" s="4" t="e">
        <f>VLOOKUP(Table146810[[#This Row],[Man. Number]],Articles!A:F,COLUMN(Articles!$F$1)-COLUMN(Articles!$A$1)+1,FALSE)</f>
        <v>#N/A</v>
      </c>
      <c r="G18" s="34" t="e">
        <f>IF(Table146810[[#This Row],[In stock]] &gt;= Table146810[[#This Row],[Quantity]],"YES","NO")</f>
        <v>#N/A</v>
      </c>
      <c r="H18" s="3" t="e">
        <f>VLOOKUP(Table146810[[#This Row],[Man. Number]],Articles!A:J,COLUMN(Articles!$J$1)-COLUMN(Articles!$A$1)+1,FALSE)*Table146810[[#This Row],[Quantity]]</f>
        <v>#N/A</v>
      </c>
      <c r="I18" s="34">
        <f>Table146810[[#This Row],[Quantity]]*$M$1</f>
        <v>5</v>
      </c>
      <c r="J18" s="34" t="e">
        <f>IF(Table146810[[#This Row],[In stock]] &gt;= Table146810[[#This Row],[Total quantity]],"YES","NO")</f>
        <v>#N/A</v>
      </c>
    </row>
    <row r="19" spans="1:10" x14ac:dyDescent="0.25">
      <c r="A19" s="34" t="s">
        <v>176</v>
      </c>
      <c r="B19" s="34" t="e">
        <f>VLOOKUP(Table146810[[#This Row],[Man. Number]],Articles!A:F,COLUMN(Articles!$D$1)-COLUMN(Articles!$A$1)+1,FALSE)</f>
        <v>#N/A</v>
      </c>
      <c r="C19" s="34" t="e">
        <f>VLOOKUP(Table146810[[#This Row],[Man. Number]],Articles!A:F,COLUMN(Articles!$C$1)-COLUMN(Articles!$A$1)+1,FALSE)</f>
        <v>#N/A</v>
      </c>
      <c r="D19" s="4" t="s">
        <v>169</v>
      </c>
      <c r="E19" s="4">
        <v>1</v>
      </c>
      <c r="F19" s="34" t="e">
        <f>VLOOKUP(Table146810[[#This Row],[Man. Number]],Articles!A:F,COLUMN(Articles!$F$1)-COLUMN(Articles!$A$1)+1,FALSE)</f>
        <v>#N/A</v>
      </c>
      <c r="G19" s="34" t="e">
        <f>IF(Table146810[[#This Row],[In stock]] &gt;= Table146810[[#This Row],[Quantity]],"YES","NO")</f>
        <v>#N/A</v>
      </c>
      <c r="H19" s="3" t="e">
        <f>VLOOKUP(Table146810[[#This Row],[Man. Number]],Articles!A:J,COLUMN(Articles!$J$1)-COLUMN(Articles!$A$1)+1,FALSE)*Table146810[[#This Row],[Quantity]]</f>
        <v>#N/A</v>
      </c>
      <c r="I19" s="34">
        <f>Table146810[[#This Row],[Quantity]]*$M$1</f>
        <v>1</v>
      </c>
      <c r="J19" s="34" t="e">
        <f>IF(Table146810[[#This Row],[In stock]] &gt;= Table146810[[#This Row],[Total quantity]],"YES","NO")</f>
        <v>#N/A</v>
      </c>
    </row>
    <row r="20" spans="1:10" x14ac:dyDescent="0.25">
      <c r="A20" s="34" t="s">
        <v>59</v>
      </c>
      <c r="B20" s="34" t="e">
        <f>VLOOKUP(Table146810[[#This Row],[Man. Number]],Articles!A:F,COLUMN(Articles!$D$1)-COLUMN(Articles!$A$1)+1,FALSE)</f>
        <v>#N/A</v>
      </c>
      <c r="C20" s="34" t="e">
        <f>VLOOKUP(Table146810[[#This Row],[Man. Number]],Articles!A:F,COLUMN(Articles!$C$1)-COLUMN(Articles!$A$1)+1,FALSE)</f>
        <v>#N/A</v>
      </c>
      <c r="D20" s="4" t="s">
        <v>160</v>
      </c>
      <c r="E20" s="4">
        <v>1</v>
      </c>
      <c r="F20" s="34" t="e">
        <f>VLOOKUP(Table146810[[#This Row],[Man. Number]],Articles!A:F,COLUMN(Articles!$F$1)-COLUMN(Articles!$A$1)+1,FALSE)</f>
        <v>#N/A</v>
      </c>
      <c r="G20" s="34" t="e">
        <f>IF(Table146810[[#This Row],[In stock]] &gt;= Table146810[[#This Row],[Quantity]],"YES","NO")</f>
        <v>#N/A</v>
      </c>
      <c r="H20" s="3" t="e">
        <f>VLOOKUP(Table146810[[#This Row],[Man. Number]],Articles!A:J,COLUMN(Articles!$J$1)-COLUMN(Articles!$A$1)+1,FALSE)*Table146810[[#This Row],[Quantity]]</f>
        <v>#N/A</v>
      </c>
      <c r="I20" s="34">
        <f>Table146810[[#This Row],[Quantity]]*$M$1</f>
        <v>1</v>
      </c>
      <c r="J20" s="34" t="e">
        <f>IF(Table146810[[#This Row],[In stock]] &gt;= Table146810[[#This Row],[Total quantity]],"YES","NO")</f>
        <v>#N/A</v>
      </c>
    </row>
    <row r="21" spans="1:10" x14ac:dyDescent="0.25">
      <c r="A21" s="34" t="s">
        <v>128</v>
      </c>
      <c r="B21" s="34" t="e">
        <f>VLOOKUP(Table146810[[#This Row],[Man. Number]],Articles!A:F,COLUMN(Articles!$D$1)-COLUMN(Articles!$A$1)+1,FALSE)</f>
        <v>#N/A</v>
      </c>
      <c r="C21" s="34" t="e">
        <f>VLOOKUP(Table146810[[#This Row],[Man. Number]],Articles!A:F,COLUMN(Articles!$C$1)-COLUMN(Articles!$A$1)+1,FALSE)</f>
        <v>#N/A</v>
      </c>
      <c r="D21" s="4" t="s">
        <v>70</v>
      </c>
      <c r="E21" s="4">
        <v>1</v>
      </c>
      <c r="F21" s="4" t="e">
        <f>VLOOKUP(Table146810[[#This Row],[Man. Number]],Articles!A:F,COLUMN(Articles!$F$1)-COLUMN(Articles!$A$1)+1,FALSE)</f>
        <v>#N/A</v>
      </c>
      <c r="G21" s="34" t="e">
        <f>IF(Table146810[[#This Row],[In stock]] &gt;= Table146810[[#This Row],[Quantity]],"YES","NO")</f>
        <v>#N/A</v>
      </c>
      <c r="H21" s="3" t="e">
        <f>VLOOKUP(Table146810[[#This Row],[Man. Number]],Articles!A:J,COLUMN(Articles!$J$1)-COLUMN(Articles!$A$1)+1,FALSE)*Table146810[[#This Row],[Quantity]]</f>
        <v>#N/A</v>
      </c>
      <c r="I21" s="34">
        <f>Table146810[[#This Row],[Quantity]]*$M$1</f>
        <v>1</v>
      </c>
      <c r="J21" s="34" t="e">
        <f>IF(Table146810[[#This Row],[In stock]] &gt;= Table146810[[#This Row],[Total quantity]],"YES","NO")</f>
        <v>#N/A</v>
      </c>
    </row>
    <row r="22" spans="1:10" x14ac:dyDescent="0.25">
      <c r="A22" s="34" t="s">
        <v>16</v>
      </c>
      <c r="B22" s="34" t="e">
        <f>VLOOKUP(Table146810[[#This Row],[Man. Number]],Articles!A:F,COLUMN(Articles!$D$1)-COLUMN(Articles!$A$1)+1,FALSE)</f>
        <v>#N/A</v>
      </c>
      <c r="C22" s="34" t="e">
        <f>VLOOKUP(Table146810[[#This Row],[Man. Number]],Articles!A:F,COLUMN(Articles!$C$1)-COLUMN(Articles!$A$1)+1,FALSE)</f>
        <v>#N/A</v>
      </c>
      <c r="D22" s="4" t="s">
        <v>72</v>
      </c>
      <c r="E22" s="4">
        <v>1</v>
      </c>
      <c r="F22" s="4" t="e">
        <f>VLOOKUP(Table146810[[#This Row],[Man. Number]],Articles!A:F,COLUMN(Articles!$F$1)-COLUMN(Articles!$A$1)+1,FALSE)</f>
        <v>#N/A</v>
      </c>
      <c r="G22" s="34" t="e">
        <f>IF(Table146810[[#This Row],[In stock]] &gt;= Table146810[[#This Row],[Quantity]],"YES","NO")</f>
        <v>#N/A</v>
      </c>
      <c r="H22" s="3" t="e">
        <f>VLOOKUP(Table146810[[#This Row],[Man. Number]],Articles!A:J,COLUMN(Articles!$J$1)-COLUMN(Articles!$A$1)+1,FALSE)*Table146810[[#This Row],[Quantity]]</f>
        <v>#N/A</v>
      </c>
      <c r="I22" s="34">
        <f>Table146810[[#This Row],[Quantity]]*$M$1</f>
        <v>1</v>
      </c>
      <c r="J22" s="34" t="e">
        <f>IF(Table146810[[#This Row],[In stock]] &gt;= Table146810[[#This Row],[Total quantity]],"YES","NO")</f>
        <v>#N/A</v>
      </c>
    </row>
    <row r="23" spans="1:10" x14ac:dyDescent="0.25">
      <c r="A23" s="34" t="s">
        <v>126</v>
      </c>
      <c r="B23" s="4" t="e">
        <f>VLOOKUP(Table146810[[#This Row],[Man. Number]],Articles!A:F,COLUMN(Articles!$D$1)-COLUMN(Articles!$A$1)+1,FALSE)</f>
        <v>#N/A</v>
      </c>
      <c r="C23" s="4" t="e">
        <f>VLOOKUP(Table146810[[#This Row],[Man. Number]],Articles!A:F,COLUMN(Articles!$C$1)-COLUMN(Articles!$A$1)+1,FALSE)</f>
        <v>#N/A</v>
      </c>
      <c r="D23" s="4" t="s">
        <v>73</v>
      </c>
      <c r="E23" s="4">
        <v>1</v>
      </c>
      <c r="F23" s="4" t="e">
        <f>VLOOKUP(Table146810[[#This Row],[Man. Number]],Articles!A:F,COLUMN(Articles!$F$1)-COLUMN(Articles!$A$1)+1,FALSE)</f>
        <v>#N/A</v>
      </c>
      <c r="G23" s="4" t="e">
        <f>IF(Table146810[[#This Row],[In stock]] &gt;= Table146810[[#This Row],[Quantity]],"YES","NO")</f>
        <v>#N/A</v>
      </c>
      <c r="H23" s="3" t="e">
        <f>VLOOKUP(Table146810[[#This Row],[Man. Number]],Articles!A:J,COLUMN(Articles!$J$1)-COLUMN(Articles!$A$1)+1,FALSE)*Table146810[[#This Row],[Quantity]]</f>
        <v>#N/A</v>
      </c>
      <c r="I23" s="4">
        <f>Table146810[[#This Row],[Quantity]]*$M$1</f>
        <v>1</v>
      </c>
      <c r="J23" s="4" t="e">
        <f>IF(Table146810[[#This Row],[In stock]] &gt;= Table146810[[#This Row],[Total quantity]],"YES","NO")</f>
        <v>#N/A</v>
      </c>
    </row>
    <row r="24" spans="1:10" x14ac:dyDescent="0.25">
      <c r="A24" s="34" t="s">
        <v>129</v>
      </c>
      <c r="B24" s="34" t="e">
        <f>VLOOKUP(Table146810[[#This Row],[Man. Number]],Articles!A:F,COLUMN(Articles!$D$1)-COLUMN(Articles!$A$1)+1,FALSE)</f>
        <v>#N/A</v>
      </c>
      <c r="C24" s="34" t="e">
        <f>VLOOKUP(Table146810[[#This Row],[Man. Number]],Articles!A:F,COLUMN(Articles!$C$1)-COLUMN(Articles!$A$1)+1,FALSE)</f>
        <v>#N/A</v>
      </c>
      <c r="D24" s="4" t="s">
        <v>89</v>
      </c>
      <c r="E24" s="4">
        <v>1</v>
      </c>
      <c r="F24" s="4" t="e">
        <f>VLOOKUP(Table146810[[#This Row],[Man. Number]],Articles!A:F,COLUMN(Articles!$F$1)-COLUMN(Articles!$A$1)+1,FALSE)</f>
        <v>#N/A</v>
      </c>
      <c r="G24" s="34" t="e">
        <f>IF(Table146810[[#This Row],[In stock]] &gt;= Table146810[[#This Row],[Quantity]],"YES","NO")</f>
        <v>#N/A</v>
      </c>
      <c r="H24" s="3" t="e">
        <f>VLOOKUP(Table146810[[#This Row],[Man. Number]],Articles!A:J,COLUMN(Articles!$J$1)-COLUMN(Articles!$A$1)+1,FALSE)*Table146810[[#This Row],[Quantity]]</f>
        <v>#N/A</v>
      </c>
      <c r="I24" s="34">
        <f>Table146810[[#This Row],[Quantity]]*$M$1</f>
        <v>1</v>
      </c>
      <c r="J24" s="34" t="e">
        <f>IF(Table146810[[#This Row],[In stock]] &gt;= Table146810[[#This Row],[Total quantity]],"YES","NO")</f>
        <v>#N/A</v>
      </c>
    </row>
    <row r="25" spans="1:10" x14ac:dyDescent="0.25">
      <c r="A25" s="34" t="s">
        <v>36</v>
      </c>
      <c r="B25" s="34" t="e">
        <f>VLOOKUP(Table146810[[#This Row],[Man. Number]],Articles!A:F,COLUMN(Articles!$D$1)-COLUMN(Articles!$A$1)+1,FALSE)</f>
        <v>#N/A</v>
      </c>
      <c r="C25" s="34" t="e">
        <f>VLOOKUP(Table146810[[#This Row],[Man. Number]],Articles!A:F,COLUMN(Articles!$C$1)-COLUMN(Articles!$A$1)+1,FALSE)</f>
        <v>#N/A</v>
      </c>
      <c r="D25" s="4" t="s">
        <v>86</v>
      </c>
      <c r="E25" s="4">
        <v>1</v>
      </c>
      <c r="F25" s="34" t="e">
        <f>VLOOKUP(Table146810[[#This Row],[Man. Number]],Articles!A:F,COLUMN(Articles!$F$1)-COLUMN(Articles!$A$1)+1,FALSE)</f>
        <v>#N/A</v>
      </c>
      <c r="G25" s="34" t="e">
        <f>IF(Table146810[[#This Row],[In stock]] &gt;= Table146810[[#This Row],[Quantity]],"YES","NO")</f>
        <v>#N/A</v>
      </c>
      <c r="H25" s="3" t="e">
        <f>VLOOKUP(Table146810[[#This Row],[Man. Number]],Articles!A:J,COLUMN(Articles!$J$1)-COLUMN(Articles!$A$1)+1,FALSE)*Table146810[[#This Row],[Quantity]]</f>
        <v>#N/A</v>
      </c>
      <c r="I25" s="34">
        <f>Table146810[[#This Row],[Quantity]]*$M$1</f>
        <v>1</v>
      </c>
      <c r="J25" s="34" t="e">
        <f>IF(Table146810[[#This Row],[In stock]] &gt;= Table146810[[#This Row],[Total quantity]],"YES","NO")</f>
        <v>#N/A</v>
      </c>
    </row>
    <row r="26" spans="1:10" x14ac:dyDescent="0.25">
      <c r="A26" s="34" t="s">
        <v>127</v>
      </c>
      <c r="B26" s="34" t="e">
        <f>VLOOKUP(Table146810[[#This Row],[Man. Number]],Articles!A:F,COLUMN(Articles!$D$1)-COLUMN(Articles!$A$1)+1,FALSE)</f>
        <v>#N/A</v>
      </c>
      <c r="C26" s="34" t="e">
        <f>VLOOKUP(Table146810[[#This Row],[Man. Number]],Articles!A:F,COLUMN(Articles!$C$1)-COLUMN(Articles!$A$1)+1,FALSE)</f>
        <v>#N/A</v>
      </c>
      <c r="D26" s="4" t="s">
        <v>149</v>
      </c>
      <c r="E26" s="4">
        <v>1</v>
      </c>
      <c r="F26" s="4" t="e">
        <f>VLOOKUP(Table146810[[#This Row],[Man. Number]],Articles!A:F,COLUMN(Articles!$F$1)-COLUMN(Articles!$A$1)+1,FALSE)</f>
        <v>#N/A</v>
      </c>
      <c r="G26" s="34" t="e">
        <f>IF(Table146810[[#This Row],[In stock]] &gt;= Table146810[[#This Row],[Quantity]],"YES","NO")</f>
        <v>#N/A</v>
      </c>
      <c r="H26" s="3" t="e">
        <f>VLOOKUP(Table146810[[#This Row],[Man. Number]],Articles!A:J,COLUMN(Articles!$J$1)-COLUMN(Articles!$A$1)+1,FALSE)*Table146810[[#This Row],[Quantity]]</f>
        <v>#N/A</v>
      </c>
      <c r="I26" s="34">
        <f>Table146810[[#This Row],[Quantity]]*$M$1</f>
        <v>1</v>
      </c>
      <c r="J26" s="34" t="e">
        <f>IF(Table146810[[#This Row],[In stock]] &gt;= Table146810[[#This Row],[Total quantity]],"YES","NO")</f>
        <v>#N/A</v>
      </c>
    </row>
    <row r="27" spans="1:10" x14ac:dyDescent="0.25">
      <c r="A27" s="34" t="s">
        <v>115</v>
      </c>
      <c r="G27" s="4"/>
      <c r="H27" s="4" t="e">
        <f>SUBTOTAL(109,Table146810[Unit Price])</f>
        <v>#N/A</v>
      </c>
      <c r="I27" s="4"/>
      <c r="J27" s="4"/>
    </row>
  </sheetData>
  <sheetProtection sheet="1" objects="1" scenarios="1"/>
  <conditionalFormatting sqref="G1:H1048576 J1:J1048576">
    <cfRule type="containsText" dxfId="107" priority="7" operator="containsText" text="NO">
      <formula>NOT(ISERROR(SEARCH("NO",G1)))</formula>
    </cfRule>
  </conditionalFormatting>
  <conditionalFormatting sqref="A1:A1048576">
    <cfRule type="duplicateValues" dxfId="106" priority="5"/>
  </conditionalFormatting>
  <conditionalFormatting sqref="N1">
    <cfRule type="cellIs" dxfId="105" priority="2" stopIfTrue="1" operator="equal">
      <formula>"Locked"</formula>
    </cfRule>
    <cfRule type="cellIs" dxfId="104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211</v>
      </c>
      <c r="I1" s="6" t="s">
        <v>45</v>
      </c>
      <c r="J1" s="6" t="s">
        <v>51</v>
      </c>
      <c r="L1" s="8" t="s">
        <v>44</v>
      </c>
      <c r="M1" s="4">
        <v>1</v>
      </c>
      <c r="N1" t="s">
        <v>210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115</v>
      </c>
      <c r="G3" s="4"/>
      <c r="H3" s="34" t="e">
        <f>SUBTOTAL(109,Table1468[Unit Price])</f>
        <v>#N/A</v>
      </c>
      <c r="I3" s="4"/>
      <c r="J3" s="4"/>
    </row>
  </sheetData>
  <conditionalFormatting sqref="G1:H1048576 J1:J1048576">
    <cfRule type="containsText" dxfId="103" priority="5" operator="containsText" text="NO">
      <formula>NOT(ISERROR(SEARCH("NO",G1)))</formula>
    </cfRule>
  </conditionalFormatting>
  <conditionalFormatting sqref="A1:A1048576">
    <cfRule type="duplicateValues" dxfId="102" priority="3"/>
  </conditionalFormatting>
  <conditionalFormatting sqref="N1">
    <cfRule type="cellIs" dxfId="101" priority="1" stopIfTrue="1" operator="equal">
      <formula>"Locked"</formula>
    </cfRule>
    <cfRule type="cellIs" dxfId="10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7"/>
  <sheetViews>
    <sheetView workbookViewId="0">
      <selection activeCell="B8" sqref="B8"/>
    </sheetView>
  </sheetViews>
  <sheetFormatPr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1" spans="1:3" x14ac:dyDescent="0.25">
      <c r="A1" t="s">
        <v>239</v>
      </c>
    </row>
    <row r="3" spans="1:3" s="33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 s="46">
        <v>100</v>
      </c>
      <c r="B7" t="s">
        <v>240</v>
      </c>
      <c r="C7" t="s">
        <v>239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E7" sqref="E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8" t="s">
        <v>98</v>
      </c>
      <c r="B2" s="58"/>
      <c r="C2" s="58"/>
      <c r="D2" s="58"/>
      <c r="F2" s="59" t="str">
        <f>IF(ISNUMBER(C5),"","Man. Number must be set")</f>
        <v/>
      </c>
      <c r="G2" s="59"/>
      <c r="H2" s="59"/>
    </row>
    <row r="4" spans="1:23" x14ac:dyDescent="0.25">
      <c r="A4" s="14" t="s">
        <v>37</v>
      </c>
      <c r="B4" s="14" t="s">
        <v>63</v>
      </c>
      <c r="C4" s="14" t="s">
        <v>166</v>
      </c>
      <c r="D4" s="14" t="s">
        <v>6</v>
      </c>
      <c r="E4" s="14" t="s">
        <v>4</v>
      </c>
      <c r="F4" s="14" t="s">
        <v>2</v>
      </c>
      <c r="G4" s="14" t="s">
        <v>7</v>
      </c>
      <c r="H4" s="14" t="s">
        <v>62</v>
      </c>
      <c r="O4" s="13" t="s">
        <v>95</v>
      </c>
      <c r="P4" t="s">
        <v>37</v>
      </c>
      <c r="Q4" t="s">
        <v>63</v>
      </c>
      <c r="R4" t="s">
        <v>0</v>
      </c>
      <c r="S4" t="s">
        <v>6</v>
      </c>
      <c r="T4" t="s">
        <v>4</v>
      </c>
      <c r="U4" t="s">
        <v>2</v>
      </c>
      <c r="V4" t="s">
        <v>7</v>
      </c>
      <c r="W4" t="s">
        <v>62</v>
      </c>
    </row>
    <row r="5" spans="1:23" x14ac:dyDescent="0.25">
      <c r="A5" s="12">
        <v>2</v>
      </c>
      <c r="B5" s="12">
        <v>4</v>
      </c>
      <c r="C5" s="12">
        <v>3</v>
      </c>
      <c r="D5" s="12" t="s">
        <v>61</v>
      </c>
      <c r="E5" s="12" t="s">
        <v>32</v>
      </c>
      <c r="F5" s="12">
        <v>5</v>
      </c>
      <c r="G5" s="12">
        <v>8</v>
      </c>
      <c r="H5" s="12">
        <v>2</v>
      </c>
      <c r="O5" s="7"/>
      <c r="P5" s="7">
        <v>2</v>
      </c>
      <c r="Q5" s="7">
        <v>4</v>
      </c>
      <c r="R5" s="7">
        <v>3</v>
      </c>
      <c r="S5" s="7" t="s">
        <v>61</v>
      </c>
      <c r="T5" s="7" t="s">
        <v>32</v>
      </c>
      <c r="U5" s="7">
        <v>5</v>
      </c>
      <c r="V5" s="7">
        <v>8</v>
      </c>
      <c r="W5" s="7">
        <v>2</v>
      </c>
    </row>
    <row r="8" spans="1:23" x14ac:dyDescent="0.25">
      <c r="O8" s="13" t="s">
        <v>110</v>
      </c>
      <c r="P8" t="s">
        <v>37</v>
      </c>
      <c r="Q8" t="s">
        <v>63</v>
      </c>
      <c r="R8" t="s">
        <v>0</v>
      </c>
      <c r="S8" t="s">
        <v>6</v>
      </c>
      <c r="T8" t="s">
        <v>4</v>
      </c>
      <c r="U8" t="s">
        <v>2</v>
      </c>
      <c r="V8" t="s">
        <v>7</v>
      </c>
      <c r="W8" t="s">
        <v>62</v>
      </c>
    </row>
    <row r="9" spans="1:23" x14ac:dyDescent="0.25">
      <c r="O9" s="19"/>
      <c r="P9" s="19">
        <v>8</v>
      </c>
      <c r="Q9" s="19">
        <v>3</v>
      </c>
      <c r="R9" s="19">
        <v>1</v>
      </c>
      <c r="S9" s="19">
        <v>2</v>
      </c>
      <c r="T9" s="19" t="s">
        <v>32</v>
      </c>
      <c r="U9" s="19">
        <v>13</v>
      </c>
      <c r="V9" s="19">
        <v>9</v>
      </c>
      <c r="W9" s="19">
        <v>2</v>
      </c>
    </row>
    <row r="11" spans="1:23" x14ac:dyDescent="0.25">
      <c r="O11" s="13" t="s">
        <v>168</v>
      </c>
      <c r="P11" s="42" t="s">
        <v>37</v>
      </c>
      <c r="Q11" s="42" t="s">
        <v>63</v>
      </c>
      <c r="R11" s="42" t="s">
        <v>0</v>
      </c>
      <c r="S11" s="42" t="s">
        <v>6</v>
      </c>
      <c r="T11" s="42" t="s">
        <v>4</v>
      </c>
      <c r="U11" s="42" t="s">
        <v>2</v>
      </c>
      <c r="V11" s="42" t="s">
        <v>7</v>
      </c>
      <c r="W11" s="42" t="s">
        <v>62</v>
      </c>
    </row>
    <row r="12" spans="1:23" x14ac:dyDescent="0.25">
      <c r="P12" s="42" t="s">
        <v>167</v>
      </c>
      <c r="Q12" s="42">
        <v>4</v>
      </c>
      <c r="R12" s="42">
        <v>3</v>
      </c>
      <c r="S12" s="42">
        <v>5</v>
      </c>
      <c r="T12" s="42" t="s">
        <v>32</v>
      </c>
      <c r="U12" s="42">
        <v>6</v>
      </c>
      <c r="V12" s="42">
        <v>9</v>
      </c>
      <c r="W12" s="42">
        <v>2</v>
      </c>
    </row>
    <row r="14" spans="1:23" x14ac:dyDescent="0.25">
      <c r="O14" s="13" t="s">
        <v>235</v>
      </c>
      <c r="P14" s="49" t="s">
        <v>37</v>
      </c>
      <c r="Q14" s="49" t="s">
        <v>63</v>
      </c>
      <c r="R14" s="49" t="s">
        <v>0</v>
      </c>
      <c r="S14" s="49" t="s">
        <v>6</v>
      </c>
      <c r="T14" s="49" t="s">
        <v>4</v>
      </c>
      <c r="U14" s="49" t="s">
        <v>2</v>
      </c>
      <c r="V14" s="49" t="s">
        <v>7</v>
      </c>
      <c r="W14" s="49" t="s">
        <v>62</v>
      </c>
    </row>
    <row r="15" spans="1:23" x14ac:dyDescent="0.25">
      <c r="P15" s="49" t="s">
        <v>167</v>
      </c>
      <c r="Q15" s="49">
        <v>4</v>
      </c>
      <c r="R15" s="49">
        <v>3</v>
      </c>
      <c r="S15" s="49">
        <v>5</v>
      </c>
      <c r="T15" s="49" t="s">
        <v>32</v>
      </c>
      <c r="U15" s="49">
        <v>6</v>
      </c>
      <c r="V15" s="49">
        <v>9</v>
      </c>
      <c r="W15" s="49">
        <v>2</v>
      </c>
    </row>
  </sheetData>
  <mergeCells count="2">
    <mergeCell ref="A2:D2"/>
    <mergeCell ref="F2:H2"/>
  </mergeCells>
  <conditionalFormatting sqref="F2:H2">
    <cfRule type="cellIs" dxfId="99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D34" sqref="D34"/>
    </sheetView>
  </sheetViews>
  <sheetFormatPr defaultColWidth="20.7109375" defaultRowHeight="15" x14ac:dyDescent="0.25"/>
  <cols>
    <col min="2" max="4" width="20.7109375" style="15"/>
    <col min="5" max="5" width="35.42578125" style="15" bestFit="1" customWidth="1"/>
    <col min="6" max="12" width="20.7109375" style="15"/>
    <col min="14" max="16384" width="20.7109375" style="15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2020-10-26T08:14:35Z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