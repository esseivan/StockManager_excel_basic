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34AEBBF9-04B0-45AE-A843-17ADCB5CEAC6}" xr6:coauthVersionLast="45" xr6:coauthVersionMax="45" xr10:uidLastSave="{00000000-0000-0000-0000-000000000000}"/>
  <bookViews>
    <workbookView xWindow="28680" yWindow="-120" windowWidth="29040" windowHeight="158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4" sheetId="22" r:id="rId8"/>
    <sheet name="USB_Tool_v1" sheetId="16" state="hidden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9" hidden="1">ProductTemplate!$A$1:$F$2</definedName>
    <definedName name="_xlnm._FilterDatabase" localSheetId="8" hidden="1">USB_Tool_v1!$A$1:$F$26</definedName>
    <definedName name="_xlnm._FilterDatabase" localSheetId="7" hidden="1">USB_Tool_v4!$A$1:$F$30</definedName>
    <definedName name="RF_Transceiver" localSheetId="5">OrderAdder_work!#REF!</definedName>
    <definedName name="RF_Transceiver" localSheetId="4">OrderAdder_work!#REF!</definedName>
    <definedName name="RF_Transceiver" localSheetId="7">OrderAdder_work!#REF!</definedName>
    <definedName name="RF_Transceiver">OrderAdder_work!#REF!</definedName>
    <definedName name="RF_Transceiver2" localSheetId="4">OrderAdder_work!#REF!</definedName>
    <definedName name="RF_Transceiver2" localSheetId="7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02" i="19" l="1"/>
  <c r="J402" i="19"/>
  <c r="P402" i="19"/>
  <c r="S402" i="19"/>
  <c r="T402" i="19"/>
  <c r="W402" i="19"/>
  <c r="X402" i="19"/>
  <c r="AA402" i="19"/>
  <c r="AE402" i="19"/>
  <c r="AF402" i="19"/>
  <c r="AI402" i="19"/>
  <c r="AJ402" i="19"/>
  <c r="AM402" i="19"/>
  <c r="AN402" i="19"/>
  <c r="AQ402" i="19"/>
  <c r="AR402" i="19"/>
  <c r="AU402" i="19"/>
  <c r="AV402" i="19"/>
  <c r="AW402" i="19"/>
  <c r="K402" i="19" s="1"/>
  <c r="AZ402" i="19"/>
  <c r="BB402" i="19"/>
  <c r="BD402" i="19"/>
  <c r="I401" i="19"/>
  <c r="J401" i="19"/>
  <c r="P401" i="19"/>
  <c r="S401" i="19"/>
  <c r="T401" i="19"/>
  <c r="W401" i="19"/>
  <c r="X401" i="19"/>
  <c r="AA401" i="19"/>
  <c r="AE401" i="19"/>
  <c r="AF401" i="19"/>
  <c r="AI401" i="19"/>
  <c r="AJ401" i="19"/>
  <c r="AM401" i="19"/>
  <c r="AN401" i="19"/>
  <c r="AQ401" i="19"/>
  <c r="AR401" i="19"/>
  <c r="AU401" i="19"/>
  <c r="AV401" i="19"/>
  <c r="AW401" i="19"/>
  <c r="K401" i="19" s="1"/>
  <c r="AZ401" i="19"/>
  <c r="BB401" i="19"/>
  <c r="BD401" i="19"/>
  <c r="I400" i="19"/>
  <c r="J400" i="19"/>
  <c r="P400" i="19"/>
  <c r="S400" i="19"/>
  <c r="T400" i="19"/>
  <c r="W400" i="19"/>
  <c r="X400" i="19"/>
  <c r="AA400" i="19"/>
  <c r="AE400" i="19"/>
  <c r="AF400" i="19"/>
  <c r="AI400" i="19"/>
  <c r="AJ400" i="19"/>
  <c r="AM400" i="19"/>
  <c r="AN400" i="19"/>
  <c r="AQ400" i="19"/>
  <c r="AR400" i="19"/>
  <c r="AU400" i="19"/>
  <c r="AV400" i="19"/>
  <c r="AW400" i="19"/>
  <c r="K400" i="19" s="1"/>
  <c r="AZ400" i="19"/>
  <c r="BB400" i="19"/>
  <c r="BD400" i="19"/>
  <c r="I399" i="19"/>
  <c r="J399" i="19"/>
  <c r="P399" i="19"/>
  <c r="S399" i="19"/>
  <c r="T399" i="19"/>
  <c r="W399" i="19"/>
  <c r="X399" i="19"/>
  <c r="AA399" i="19"/>
  <c r="AE399" i="19"/>
  <c r="AF399" i="19"/>
  <c r="AI399" i="19"/>
  <c r="AJ399" i="19"/>
  <c r="AM399" i="19"/>
  <c r="AN399" i="19"/>
  <c r="AQ399" i="19"/>
  <c r="AR399" i="19"/>
  <c r="AU399" i="19"/>
  <c r="AV399" i="19"/>
  <c r="AW399" i="19"/>
  <c r="K399" i="19" s="1"/>
  <c r="AZ399" i="19"/>
  <c r="BB399" i="19"/>
  <c r="BD399" i="19"/>
  <c r="I398" i="19"/>
  <c r="J398" i="19"/>
  <c r="P398" i="19"/>
  <c r="S398" i="19"/>
  <c r="T398" i="19"/>
  <c r="W398" i="19"/>
  <c r="X398" i="19"/>
  <c r="AA398" i="19"/>
  <c r="AE398" i="19"/>
  <c r="AF398" i="19"/>
  <c r="AI398" i="19"/>
  <c r="AJ398" i="19"/>
  <c r="AM398" i="19"/>
  <c r="AN398" i="19"/>
  <c r="AQ398" i="19"/>
  <c r="AR398" i="19"/>
  <c r="AU398" i="19"/>
  <c r="AV398" i="19"/>
  <c r="AW398" i="19"/>
  <c r="K398" i="19" s="1"/>
  <c r="AZ398" i="19"/>
  <c r="BB398" i="19"/>
  <c r="BD398" i="19"/>
  <c r="I397" i="19"/>
  <c r="J397" i="19"/>
  <c r="P397" i="19"/>
  <c r="S397" i="19"/>
  <c r="T397" i="19"/>
  <c r="W397" i="19"/>
  <c r="X397" i="19"/>
  <c r="AA397" i="19"/>
  <c r="AE397" i="19"/>
  <c r="AF397" i="19"/>
  <c r="AI397" i="19"/>
  <c r="AJ397" i="19"/>
  <c r="AM397" i="19"/>
  <c r="AN397" i="19"/>
  <c r="AQ397" i="19"/>
  <c r="AR397" i="19"/>
  <c r="AU397" i="19"/>
  <c r="AV397" i="19"/>
  <c r="AW397" i="19"/>
  <c r="K397" i="19" s="1"/>
  <c r="AZ397" i="19"/>
  <c r="BB397" i="19"/>
  <c r="BD397" i="19"/>
  <c r="I396" i="19"/>
  <c r="J396" i="19"/>
  <c r="P396" i="19"/>
  <c r="S396" i="19"/>
  <c r="T396" i="19"/>
  <c r="W396" i="19"/>
  <c r="X396" i="19"/>
  <c r="AA396" i="19"/>
  <c r="AE396" i="19"/>
  <c r="AF396" i="19"/>
  <c r="AI396" i="19"/>
  <c r="AJ396" i="19"/>
  <c r="AM396" i="19"/>
  <c r="AN396" i="19"/>
  <c r="AQ396" i="19"/>
  <c r="AR396" i="19"/>
  <c r="AU396" i="19"/>
  <c r="AV396" i="19"/>
  <c r="AW396" i="19"/>
  <c r="K396" i="19" s="1"/>
  <c r="AZ396" i="19"/>
  <c r="BB396" i="19"/>
  <c r="BD396" i="19"/>
  <c r="I395" i="19"/>
  <c r="J395" i="19"/>
  <c r="P395" i="19"/>
  <c r="S395" i="19"/>
  <c r="T395" i="19"/>
  <c r="W395" i="19"/>
  <c r="X395" i="19"/>
  <c r="AA395" i="19"/>
  <c r="AE395" i="19"/>
  <c r="AF395" i="19"/>
  <c r="AI395" i="19"/>
  <c r="AJ395" i="19"/>
  <c r="AM395" i="19"/>
  <c r="AN395" i="19"/>
  <c r="AQ395" i="19"/>
  <c r="AR395" i="19"/>
  <c r="AU395" i="19"/>
  <c r="AV395" i="19"/>
  <c r="AW395" i="19"/>
  <c r="K395" i="19" s="1"/>
  <c r="AZ395" i="19"/>
  <c r="BB395" i="19"/>
  <c r="BD395" i="19"/>
  <c r="I394" i="19"/>
  <c r="J394" i="19"/>
  <c r="O394" i="19"/>
  <c r="P394" i="19"/>
  <c r="S394" i="19"/>
  <c r="T394" i="19"/>
  <c r="W394" i="19"/>
  <c r="X394" i="19"/>
  <c r="AA394" i="19"/>
  <c r="AF394" i="19"/>
  <c r="AI394" i="19"/>
  <c r="AJ394" i="19"/>
  <c r="AM394" i="19"/>
  <c r="AN394" i="19"/>
  <c r="AQ394" i="19"/>
  <c r="AR394" i="19"/>
  <c r="AU394" i="19"/>
  <c r="AV394" i="19"/>
  <c r="AW394" i="19"/>
  <c r="K394" i="19" s="1"/>
  <c r="AZ394" i="19"/>
  <c r="BB394" i="19"/>
  <c r="BD394" i="19"/>
  <c r="I393" i="19"/>
  <c r="J393" i="19"/>
  <c r="O393" i="19"/>
  <c r="P393" i="19"/>
  <c r="S393" i="19"/>
  <c r="T393" i="19"/>
  <c r="X393" i="19"/>
  <c r="AA393" i="19"/>
  <c r="AE393" i="19"/>
  <c r="AF393" i="19"/>
  <c r="AI393" i="19"/>
  <c r="AJ393" i="19"/>
  <c r="AM393" i="19"/>
  <c r="AN393" i="19"/>
  <c r="AQ393" i="19"/>
  <c r="AR393" i="19"/>
  <c r="AU393" i="19"/>
  <c r="AV393" i="19"/>
  <c r="AW393" i="19"/>
  <c r="K393" i="19" s="1"/>
  <c r="AZ393" i="19"/>
  <c r="BB393" i="19"/>
  <c r="BD393" i="19"/>
  <c r="I392" i="19"/>
  <c r="J392" i="19"/>
  <c r="O392" i="19"/>
  <c r="P392" i="19"/>
  <c r="S392" i="19"/>
  <c r="T392" i="19"/>
  <c r="W392" i="19"/>
  <c r="X392" i="19"/>
  <c r="AA392" i="19"/>
  <c r="L392" i="19" s="1"/>
  <c r="AE392" i="19"/>
  <c r="AF392" i="19"/>
  <c r="AI392" i="19"/>
  <c r="AJ392" i="19"/>
  <c r="AM392" i="19"/>
  <c r="AN392" i="19"/>
  <c r="AQ392" i="19"/>
  <c r="AR392" i="19"/>
  <c r="AU392" i="19"/>
  <c r="AV392" i="19"/>
  <c r="AW392" i="19"/>
  <c r="K392" i="19" s="1"/>
  <c r="AZ392" i="19"/>
  <c r="BB392" i="19"/>
  <c r="BD392" i="19"/>
  <c r="I391" i="19"/>
  <c r="J391" i="19"/>
  <c r="P391" i="19"/>
  <c r="S391" i="19"/>
  <c r="T391" i="19"/>
  <c r="W391" i="19"/>
  <c r="X391" i="19"/>
  <c r="AA391" i="19"/>
  <c r="AE391" i="19"/>
  <c r="AF391" i="19"/>
  <c r="AI391" i="19"/>
  <c r="AJ391" i="19"/>
  <c r="AM391" i="19"/>
  <c r="AN391" i="19"/>
  <c r="AQ391" i="19"/>
  <c r="AR391" i="19"/>
  <c r="AU391" i="19"/>
  <c r="AV391" i="19"/>
  <c r="AW391" i="19"/>
  <c r="K391" i="19" s="1"/>
  <c r="AZ391" i="19"/>
  <c r="BB391" i="19"/>
  <c r="BD391" i="19"/>
  <c r="I390" i="19"/>
  <c r="J390" i="19"/>
  <c r="O390" i="19"/>
  <c r="P390" i="19"/>
  <c r="S390" i="19"/>
  <c r="T390" i="19"/>
  <c r="X390" i="19"/>
  <c r="AA390" i="19"/>
  <c r="AE390" i="19"/>
  <c r="AF390" i="19"/>
  <c r="AI390" i="19"/>
  <c r="AJ390" i="19"/>
  <c r="AM390" i="19"/>
  <c r="AN390" i="19"/>
  <c r="AQ390" i="19"/>
  <c r="AR390" i="19"/>
  <c r="AU390" i="19"/>
  <c r="AV390" i="19"/>
  <c r="AW390" i="19"/>
  <c r="K390" i="19" s="1"/>
  <c r="AZ390" i="19"/>
  <c r="BB390" i="19"/>
  <c r="BD390" i="19"/>
  <c r="I389" i="19"/>
  <c r="J389" i="19"/>
  <c r="P389" i="19"/>
  <c r="S389" i="19"/>
  <c r="T389" i="19"/>
  <c r="W389" i="19"/>
  <c r="X389" i="19"/>
  <c r="AA389" i="19"/>
  <c r="AE389" i="19"/>
  <c r="AF389" i="19"/>
  <c r="AI389" i="19"/>
  <c r="AJ389" i="19"/>
  <c r="AM389" i="19"/>
  <c r="AN389" i="19"/>
  <c r="AQ389" i="19"/>
  <c r="AR389" i="19"/>
  <c r="AU389" i="19"/>
  <c r="AV389" i="19"/>
  <c r="AW389" i="19"/>
  <c r="K389" i="19" s="1"/>
  <c r="AZ389" i="19"/>
  <c r="BB389" i="19"/>
  <c r="BD389" i="19"/>
  <c r="I388" i="19"/>
  <c r="J388" i="19"/>
  <c r="P388" i="19"/>
  <c r="S388" i="19"/>
  <c r="T388" i="19"/>
  <c r="W388" i="19"/>
  <c r="X388" i="19"/>
  <c r="AA388" i="19"/>
  <c r="AE388" i="19"/>
  <c r="AF388" i="19"/>
  <c r="AI388" i="19"/>
  <c r="AJ388" i="19"/>
  <c r="AM388" i="19"/>
  <c r="AN388" i="19"/>
  <c r="AQ388" i="19"/>
  <c r="AR388" i="19"/>
  <c r="AU388" i="19"/>
  <c r="AV388" i="19"/>
  <c r="AW388" i="19"/>
  <c r="K388" i="19" s="1"/>
  <c r="AZ388" i="19"/>
  <c r="BB388" i="19"/>
  <c r="BD388" i="19"/>
  <c r="I387" i="19"/>
  <c r="J387" i="19"/>
  <c r="P387" i="19"/>
  <c r="S387" i="19"/>
  <c r="T387" i="19"/>
  <c r="W387" i="19"/>
  <c r="X387" i="19"/>
  <c r="AA387" i="19"/>
  <c r="AE387" i="19"/>
  <c r="AF387" i="19"/>
  <c r="AI387" i="19"/>
  <c r="AJ387" i="19"/>
  <c r="AM387" i="19"/>
  <c r="AN387" i="19"/>
  <c r="AQ387" i="19"/>
  <c r="AR387" i="19"/>
  <c r="AU387" i="19"/>
  <c r="AV387" i="19"/>
  <c r="AW387" i="19"/>
  <c r="K387" i="19" s="1"/>
  <c r="AZ387" i="19"/>
  <c r="BB387" i="19"/>
  <c r="BD387" i="19"/>
  <c r="I386" i="19"/>
  <c r="J386" i="19"/>
  <c r="O386" i="19"/>
  <c r="P386" i="19"/>
  <c r="T386" i="19"/>
  <c r="W386" i="19"/>
  <c r="X386" i="19"/>
  <c r="AA386" i="19"/>
  <c r="AE386" i="19"/>
  <c r="AF386" i="19"/>
  <c r="AI386" i="19"/>
  <c r="AJ386" i="19"/>
  <c r="AM386" i="19"/>
  <c r="AN386" i="19"/>
  <c r="AQ386" i="19"/>
  <c r="AR386" i="19"/>
  <c r="AU386" i="19"/>
  <c r="AV386" i="19"/>
  <c r="AW386" i="19"/>
  <c r="K386" i="19" s="1"/>
  <c r="AZ386" i="19"/>
  <c r="BB386" i="19"/>
  <c r="BD386" i="19"/>
  <c r="I385" i="19"/>
  <c r="J385" i="19"/>
  <c r="P385" i="19"/>
  <c r="S385" i="19"/>
  <c r="T385" i="19"/>
  <c r="W385" i="19"/>
  <c r="X385" i="19"/>
  <c r="AA385" i="19"/>
  <c r="AE385" i="19"/>
  <c r="AF385" i="19"/>
  <c r="AI385" i="19"/>
  <c r="AJ385" i="19"/>
  <c r="AM385" i="19"/>
  <c r="AN385" i="19"/>
  <c r="AQ385" i="19"/>
  <c r="AR385" i="19"/>
  <c r="AU385" i="19"/>
  <c r="AV385" i="19"/>
  <c r="AW385" i="19"/>
  <c r="K385" i="19" s="1"/>
  <c r="AZ385" i="19"/>
  <c r="BB385" i="19"/>
  <c r="BD385" i="19"/>
  <c r="I384" i="19"/>
  <c r="J384" i="19"/>
  <c r="P384" i="19"/>
  <c r="S384" i="19"/>
  <c r="T384" i="19"/>
  <c r="W384" i="19"/>
  <c r="X384" i="19"/>
  <c r="AA384" i="19"/>
  <c r="AE384" i="19"/>
  <c r="AF384" i="19"/>
  <c r="AI384" i="19"/>
  <c r="AJ384" i="19"/>
  <c r="AM384" i="19"/>
  <c r="AN384" i="19"/>
  <c r="AQ384" i="19"/>
  <c r="AR384" i="19"/>
  <c r="AU384" i="19"/>
  <c r="AV384" i="19"/>
  <c r="AW384" i="19"/>
  <c r="K384" i="19" s="1"/>
  <c r="AZ384" i="19"/>
  <c r="BB384" i="19"/>
  <c r="BD384" i="19"/>
  <c r="I383" i="19"/>
  <c r="J383" i="19"/>
  <c r="P383" i="19"/>
  <c r="S383" i="19"/>
  <c r="T383" i="19"/>
  <c r="W383" i="19"/>
  <c r="X383" i="19"/>
  <c r="AA383" i="19"/>
  <c r="AE383" i="19"/>
  <c r="AF383" i="19"/>
  <c r="AI383" i="19"/>
  <c r="AJ383" i="19"/>
  <c r="AM383" i="19"/>
  <c r="AN383" i="19"/>
  <c r="AQ383" i="19"/>
  <c r="AR383" i="19"/>
  <c r="AU383" i="19"/>
  <c r="AV383" i="19"/>
  <c r="AW383" i="19"/>
  <c r="K383" i="19" s="1"/>
  <c r="AZ383" i="19"/>
  <c r="BB383" i="19"/>
  <c r="BD383" i="19"/>
  <c r="I382" i="19"/>
  <c r="J382" i="19"/>
  <c r="P382" i="19"/>
  <c r="S382" i="19"/>
  <c r="T382" i="19"/>
  <c r="W382" i="19"/>
  <c r="X382" i="19"/>
  <c r="AA382" i="19"/>
  <c r="AE382" i="19"/>
  <c r="AF382" i="19"/>
  <c r="AI382" i="19"/>
  <c r="AJ382" i="19"/>
  <c r="AM382" i="19"/>
  <c r="AN382" i="19"/>
  <c r="AQ382" i="19"/>
  <c r="AR382" i="19"/>
  <c r="AU382" i="19"/>
  <c r="AV382" i="19"/>
  <c r="AW382" i="19"/>
  <c r="K382" i="19" s="1"/>
  <c r="AZ382" i="19"/>
  <c r="BB382" i="19"/>
  <c r="BD382" i="19"/>
  <c r="I381" i="19"/>
  <c r="J381" i="19"/>
  <c r="P381" i="19"/>
  <c r="S381" i="19"/>
  <c r="T381" i="19"/>
  <c r="W381" i="19"/>
  <c r="X381" i="19"/>
  <c r="AA381" i="19"/>
  <c r="AE381" i="19"/>
  <c r="AF381" i="19"/>
  <c r="AI381" i="19"/>
  <c r="AJ381" i="19"/>
  <c r="AM381" i="19"/>
  <c r="AN381" i="19"/>
  <c r="AQ381" i="19"/>
  <c r="AR381" i="19"/>
  <c r="AU381" i="19"/>
  <c r="AV381" i="19"/>
  <c r="AW381" i="19"/>
  <c r="K381" i="19" s="1"/>
  <c r="AZ381" i="19"/>
  <c r="BB381" i="19"/>
  <c r="BD381" i="19"/>
  <c r="I380" i="19"/>
  <c r="J380" i="19"/>
  <c r="P380" i="19"/>
  <c r="S380" i="19"/>
  <c r="T380" i="19"/>
  <c r="W380" i="19"/>
  <c r="X380" i="19"/>
  <c r="AA380" i="19"/>
  <c r="AE380" i="19"/>
  <c r="AF380" i="19"/>
  <c r="AI380" i="19"/>
  <c r="AJ380" i="19"/>
  <c r="AM380" i="19"/>
  <c r="AN380" i="19"/>
  <c r="AQ380" i="19"/>
  <c r="AR380" i="19"/>
  <c r="AU380" i="19"/>
  <c r="AV380" i="19"/>
  <c r="AW380" i="19"/>
  <c r="K380" i="19" s="1"/>
  <c r="AZ380" i="19"/>
  <c r="BB380" i="19"/>
  <c r="BD380" i="19"/>
  <c r="I379" i="19"/>
  <c r="J379" i="19"/>
  <c r="P379" i="19"/>
  <c r="S379" i="19"/>
  <c r="T379" i="19"/>
  <c r="W379" i="19"/>
  <c r="X379" i="19"/>
  <c r="AA379" i="19"/>
  <c r="AE379" i="19"/>
  <c r="AF379" i="19"/>
  <c r="AI379" i="19"/>
  <c r="AJ379" i="19"/>
  <c r="AM379" i="19"/>
  <c r="AN379" i="19"/>
  <c r="AQ379" i="19"/>
  <c r="AR379" i="19"/>
  <c r="AU379" i="19"/>
  <c r="AV379" i="19"/>
  <c r="AW379" i="19"/>
  <c r="K379" i="19" s="1"/>
  <c r="AZ379" i="19"/>
  <c r="BB379" i="19"/>
  <c r="BD379" i="19"/>
  <c r="I378" i="19"/>
  <c r="J378" i="19"/>
  <c r="P378" i="19"/>
  <c r="S378" i="19"/>
  <c r="T378" i="19"/>
  <c r="W378" i="19"/>
  <c r="X378" i="19"/>
  <c r="AA378" i="19"/>
  <c r="AE378" i="19"/>
  <c r="AF378" i="19"/>
  <c r="AI378" i="19"/>
  <c r="AJ378" i="19"/>
  <c r="AM378" i="19"/>
  <c r="AN378" i="19"/>
  <c r="AQ378" i="19"/>
  <c r="AR378" i="19"/>
  <c r="AU378" i="19"/>
  <c r="AV378" i="19"/>
  <c r="AW378" i="19"/>
  <c r="K378" i="19" s="1"/>
  <c r="AZ378" i="19"/>
  <c r="BB378" i="19"/>
  <c r="BD378" i="19"/>
  <c r="I377" i="19"/>
  <c r="J377" i="19"/>
  <c r="P377" i="19"/>
  <c r="S377" i="19"/>
  <c r="T377" i="19"/>
  <c r="W377" i="19"/>
  <c r="X377" i="19"/>
  <c r="AA377" i="19"/>
  <c r="AE377" i="19"/>
  <c r="AF377" i="19"/>
  <c r="AI377" i="19"/>
  <c r="AJ377" i="19"/>
  <c r="AM377" i="19"/>
  <c r="AN377" i="19"/>
  <c r="AQ377" i="19"/>
  <c r="AR377" i="19"/>
  <c r="AU377" i="19"/>
  <c r="AV377" i="19"/>
  <c r="AW377" i="19"/>
  <c r="K377" i="19" s="1"/>
  <c r="AZ377" i="19"/>
  <c r="BB377" i="19"/>
  <c r="BD377" i="19"/>
  <c r="I376" i="19"/>
  <c r="J376" i="19"/>
  <c r="P376" i="19"/>
  <c r="S376" i="19"/>
  <c r="T376" i="19"/>
  <c r="W376" i="19"/>
  <c r="X376" i="19"/>
  <c r="AA376" i="19"/>
  <c r="AE376" i="19"/>
  <c r="AF376" i="19"/>
  <c r="AI376" i="19"/>
  <c r="AJ376" i="19"/>
  <c r="AM376" i="19"/>
  <c r="AN376" i="19"/>
  <c r="AQ376" i="19"/>
  <c r="AR376" i="19"/>
  <c r="AU376" i="19"/>
  <c r="AV376" i="19"/>
  <c r="AW376" i="19"/>
  <c r="K376" i="19" s="1"/>
  <c r="AZ376" i="19"/>
  <c r="BB376" i="19"/>
  <c r="BD376" i="19"/>
  <c r="I375" i="19"/>
  <c r="J375" i="19"/>
  <c r="P375" i="19"/>
  <c r="S375" i="19"/>
  <c r="T375" i="19"/>
  <c r="W375" i="19"/>
  <c r="X375" i="19"/>
  <c r="AA375" i="19"/>
  <c r="AE375" i="19"/>
  <c r="AF375" i="19"/>
  <c r="AI375" i="19"/>
  <c r="AJ375" i="19"/>
  <c r="AM375" i="19"/>
  <c r="AN375" i="19"/>
  <c r="AQ375" i="19"/>
  <c r="AR375" i="19"/>
  <c r="AU375" i="19"/>
  <c r="AV375" i="19"/>
  <c r="AW375" i="19"/>
  <c r="K375" i="19" s="1"/>
  <c r="AZ375" i="19"/>
  <c r="BB375" i="19"/>
  <c r="BD375" i="19"/>
  <c r="I374" i="19"/>
  <c r="J374" i="19"/>
  <c r="P374" i="19"/>
  <c r="S374" i="19"/>
  <c r="T374" i="19"/>
  <c r="W374" i="19"/>
  <c r="X374" i="19"/>
  <c r="AA374" i="19"/>
  <c r="AE374" i="19"/>
  <c r="AF374" i="19"/>
  <c r="AI374" i="19"/>
  <c r="AJ374" i="19"/>
  <c r="AM374" i="19"/>
  <c r="AN374" i="19"/>
  <c r="AQ374" i="19"/>
  <c r="AR374" i="19"/>
  <c r="AU374" i="19"/>
  <c r="AV374" i="19"/>
  <c r="AW374" i="19"/>
  <c r="K374" i="19" s="1"/>
  <c r="AZ374" i="19"/>
  <c r="BB374" i="19"/>
  <c r="BD374" i="19"/>
  <c r="I373" i="19"/>
  <c r="J373" i="19"/>
  <c r="P373" i="19"/>
  <c r="S373" i="19"/>
  <c r="T373" i="19"/>
  <c r="W373" i="19"/>
  <c r="X373" i="19"/>
  <c r="AA373" i="19"/>
  <c r="AE373" i="19"/>
  <c r="AF373" i="19"/>
  <c r="AI373" i="19"/>
  <c r="AJ373" i="19"/>
  <c r="AM373" i="19"/>
  <c r="AN373" i="19"/>
  <c r="AQ373" i="19"/>
  <c r="AR373" i="19"/>
  <c r="AU373" i="19"/>
  <c r="AV373" i="19"/>
  <c r="AW373" i="19"/>
  <c r="K373" i="19" s="1"/>
  <c r="AZ373" i="19"/>
  <c r="BB373" i="19"/>
  <c r="BD373" i="19"/>
  <c r="I372" i="19"/>
  <c r="J372" i="19"/>
  <c r="P372" i="19"/>
  <c r="S372" i="19"/>
  <c r="T372" i="19"/>
  <c r="W372" i="19"/>
  <c r="X372" i="19"/>
  <c r="AA372" i="19"/>
  <c r="AE372" i="19"/>
  <c r="AF372" i="19"/>
  <c r="AI372" i="19"/>
  <c r="AJ372" i="19"/>
  <c r="AM372" i="19"/>
  <c r="AN372" i="19"/>
  <c r="AQ372" i="19"/>
  <c r="AR372" i="19"/>
  <c r="AU372" i="19"/>
  <c r="AV372" i="19"/>
  <c r="AW372" i="19"/>
  <c r="K372" i="19" s="1"/>
  <c r="AZ372" i="19"/>
  <c r="BB372" i="19"/>
  <c r="BD372" i="19"/>
  <c r="I371" i="19"/>
  <c r="J371" i="19"/>
  <c r="P371" i="19"/>
  <c r="S371" i="19"/>
  <c r="T371" i="19"/>
  <c r="W371" i="19"/>
  <c r="X371" i="19"/>
  <c r="AA371" i="19"/>
  <c r="AE371" i="19"/>
  <c r="AF371" i="19"/>
  <c r="AI371" i="19"/>
  <c r="AJ371" i="19"/>
  <c r="AM371" i="19"/>
  <c r="AN371" i="19"/>
  <c r="AQ371" i="19"/>
  <c r="AR371" i="19"/>
  <c r="AU371" i="19"/>
  <c r="AV371" i="19"/>
  <c r="AW371" i="19"/>
  <c r="K371" i="19" s="1"/>
  <c r="AZ371" i="19"/>
  <c r="BB371" i="19"/>
  <c r="BD371" i="19"/>
  <c r="I370" i="19"/>
  <c r="J370" i="19"/>
  <c r="P370" i="19"/>
  <c r="S370" i="19"/>
  <c r="T370" i="19"/>
  <c r="W370" i="19"/>
  <c r="X370" i="19"/>
  <c r="AA370" i="19"/>
  <c r="AE370" i="19"/>
  <c r="AF370" i="19"/>
  <c r="AI370" i="19"/>
  <c r="AJ370" i="19"/>
  <c r="AM370" i="19"/>
  <c r="AN370" i="19"/>
  <c r="AQ370" i="19"/>
  <c r="AR370" i="19"/>
  <c r="AU370" i="19"/>
  <c r="AV370" i="19"/>
  <c r="AW370" i="19"/>
  <c r="K370" i="19" s="1"/>
  <c r="AZ370" i="19"/>
  <c r="BB370" i="19"/>
  <c r="BD370" i="19"/>
  <c r="I369" i="19"/>
  <c r="J369" i="19"/>
  <c r="P369" i="19"/>
  <c r="S369" i="19"/>
  <c r="T369" i="19"/>
  <c r="W369" i="19"/>
  <c r="X369" i="19"/>
  <c r="AA369" i="19"/>
  <c r="AE369" i="19"/>
  <c r="AF369" i="19"/>
  <c r="AI369" i="19"/>
  <c r="AJ369" i="19"/>
  <c r="AM369" i="19"/>
  <c r="AN369" i="19"/>
  <c r="AQ369" i="19"/>
  <c r="AR369" i="19"/>
  <c r="AU369" i="19"/>
  <c r="AV369" i="19"/>
  <c r="AW369" i="19"/>
  <c r="K369" i="19" s="1"/>
  <c r="AZ369" i="19"/>
  <c r="BB369" i="19"/>
  <c r="BD369" i="19"/>
  <c r="I368" i="19"/>
  <c r="J368" i="19"/>
  <c r="O368" i="19"/>
  <c r="P368" i="19"/>
  <c r="T368" i="19"/>
  <c r="W368" i="19"/>
  <c r="X368" i="19"/>
  <c r="AA368" i="19"/>
  <c r="AE368" i="19"/>
  <c r="AF368" i="19"/>
  <c r="AI368" i="19"/>
  <c r="AJ368" i="19"/>
  <c r="AM368" i="19"/>
  <c r="AN368" i="19"/>
  <c r="AQ368" i="19"/>
  <c r="AR368" i="19"/>
  <c r="AU368" i="19"/>
  <c r="AV368" i="19"/>
  <c r="AW368" i="19"/>
  <c r="K368" i="19" s="1"/>
  <c r="AZ368" i="19"/>
  <c r="BB368" i="19"/>
  <c r="BD368" i="19"/>
  <c r="I367" i="19"/>
  <c r="J367" i="19"/>
  <c r="O367" i="19"/>
  <c r="P367" i="19"/>
  <c r="T367" i="19"/>
  <c r="W367" i="19"/>
  <c r="X367" i="19"/>
  <c r="AA367" i="19"/>
  <c r="AE367" i="19"/>
  <c r="AF367" i="19"/>
  <c r="AI367" i="19"/>
  <c r="AJ367" i="19"/>
  <c r="AM367" i="19"/>
  <c r="AN367" i="19"/>
  <c r="AQ367" i="19"/>
  <c r="AR367" i="19"/>
  <c r="AU367" i="19"/>
  <c r="AV367" i="19"/>
  <c r="AW367" i="19"/>
  <c r="K367" i="19" s="1"/>
  <c r="AZ367" i="19"/>
  <c r="BB367" i="19"/>
  <c r="BD367" i="19"/>
  <c r="I366" i="19"/>
  <c r="J366" i="19"/>
  <c r="O366" i="19"/>
  <c r="P366" i="19"/>
  <c r="T366" i="19"/>
  <c r="W366" i="19"/>
  <c r="X366" i="19"/>
  <c r="AA366" i="19"/>
  <c r="AE366" i="19"/>
  <c r="AF366" i="19"/>
  <c r="AI366" i="19"/>
  <c r="AJ366" i="19"/>
  <c r="AM366" i="19"/>
  <c r="AN366" i="19"/>
  <c r="AQ366" i="19"/>
  <c r="AR366" i="19"/>
  <c r="AU366" i="19"/>
  <c r="AV366" i="19"/>
  <c r="AW366" i="19"/>
  <c r="K366" i="19" s="1"/>
  <c r="AZ366" i="19"/>
  <c r="BB366" i="19"/>
  <c r="BD366" i="19"/>
  <c r="I365" i="19"/>
  <c r="J365" i="19"/>
  <c r="O365" i="19"/>
  <c r="P365" i="19"/>
  <c r="T365" i="19"/>
  <c r="W365" i="19"/>
  <c r="X365" i="19"/>
  <c r="AA365" i="19"/>
  <c r="AE365" i="19"/>
  <c r="AF365" i="19"/>
  <c r="AI365" i="19"/>
  <c r="AJ365" i="19"/>
  <c r="AM365" i="19"/>
  <c r="AN365" i="19"/>
  <c r="AQ365" i="19"/>
  <c r="AR365" i="19"/>
  <c r="AU365" i="19"/>
  <c r="AV365" i="19"/>
  <c r="AW365" i="19"/>
  <c r="K365" i="19" s="1"/>
  <c r="AZ365" i="19"/>
  <c r="BB365" i="19"/>
  <c r="BD365" i="19"/>
  <c r="I364" i="19"/>
  <c r="J364" i="19"/>
  <c r="O364" i="19"/>
  <c r="P364" i="19"/>
  <c r="T364" i="19"/>
  <c r="W364" i="19"/>
  <c r="X364" i="19"/>
  <c r="AA364" i="19"/>
  <c r="AE364" i="19"/>
  <c r="AF364" i="19"/>
  <c r="AI364" i="19"/>
  <c r="AJ364" i="19"/>
  <c r="AM364" i="19"/>
  <c r="AN364" i="19"/>
  <c r="AQ364" i="19"/>
  <c r="AR364" i="19"/>
  <c r="AU364" i="19"/>
  <c r="AV364" i="19"/>
  <c r="AW364" i="19"/>
  <c r="K364" i="19" s="1"/>
  <c r="AZ364" i="19"/>
  <c r="BB364" i="19"/>
  <c r="BD364" i="19"/>
  <c r="I363" i="19"/>
  <c r="J363" i="19"/>
  <c r="P363" i="19"/>
  <c r="S363" i="19"/>
  <c r="T363" i="19"/>
  <c r="W363" i="19"/>
  <c r="X363" i="19"/>
  <c r="AA363" i="19"/>
  <c r="AE363" i="19"/>
  <c r="AF363" i="19"/>
  <c r="AI363" i="19"/>
  <c r="AJ363" i="19"/>
  <c r="AM363" i="19"/>
  <c r="AN363" i="19"/>
  <c r="AQ363" i="19"/>
  <c r="AR363" i="19"/>
  <c r="AU363" i="19"/>
  <c r="AV363" i="19"/>
  <c r="AW363" i="19"/>
  <c r="K363" i="19" s="1"/>
  <c r="AZ363" i="19"/>
  <c r="BB363" i="19"/>
  <c r="BD363" i="19"/>
  <c r="I362" i="19"/>
  <c r="J362" i="19"/>
  <c r="P362" i="19"/>
  <c r="S362" i="19"/>
  <c r="T362" i="19"/>
  <c r="W362" i="19"/>
  <c r="X362" i="19"/>
  <c r="AA362" i="19"/>
  <c r="AE362" i="19"/>
  <c r="AF362" i="19"/>
  <c r="AI362" i="19"/>
  <c r="AJ362" i="19"/>
  <c r="AM362" i="19"/>
  <c r="AN362" i="19"/>
  <c r="AQ362" i="19"/>
  <c r="AR362" i="19"/>
  <c r="AU362" i="19"/>
  <c r="AV362" i="19"/>
  <c r="AW362" i="19"/>
  <c r="K362" i="19" s="1"/>
  <c r="AZ362" i="19"/>
  <c r="BB362" i="19"/>
  <c r="BD362" i="19"/>
  <c r="I361" i="19"/>
  <c r="J361" i="19"/>
  <c r="P361" i="19"/>
  <c r="S361" i="19"/>
  <c r="T361" i="19"/>
  <c r="W361" i="19"/>
  <c r="X361" i="19"/>
  <c r="AA361" i="19"/>
  <c r="AE361" i="19"/>
  <c r="AF361" i="19"/>
  <c r="AI361" i="19"/>
  <c r="AJ361" i="19"/>
  <c r="AM361" i="19"/>
  <c r="AN361" i="19"/>
  <c r="AQ361" i="19"/>
  <c r="AR361" i="19"/>
  <c r="AU361" i="19"/>
  <c r="AV361" i="19"/>
  <c r="AW361" i="19"/>
  <c r="K361" i="19" s="1"/>
  <c r="AZ361" i="19"/>
  <c r="BB361" i="19"/>
  <c r="BD361" i="19"/>
  <c r="I360" i="19"/>
  <c r="J360" i="19"/>
  <c r="P360" i="19"/>
  <c r="S360" i="19"/>
  <c r="T360" i="19"/>
  <c r="W360" i="19"/>
  <c r="X360" i="19"/>
  <c r="AA360" i="19"/>
  <c r="AE360" i="19"/>
  <c r="AF360" i="19"/>
  <c r="AI360" i="19"/>
  <c r="AJ360" i="19"/>
  <c r="AM360" i="19"/>
  <c r="AN360" i="19"/>
  <c r="AQ360" i="19"/>
  <c r="AR360" i="19"/>
  <c r="AU360" i="19"/>
  <c r="AV360" i="19"/>
  <c r="AW360" i="19"/>
  <c r="K360" i="19" s="1"/>
  <c r="AZ360" i="19"/>
  <c r="BB360" i="19"/>
  <c r="BD360" i="19"/>
  <c r="I359" i="19"/>
  <c r="J359" i="19"/>
  <c r="P359" i="19"/>
  <c r="S359" i="19"/>
  <c r="T359" i="19"/>
  <c r="W359" i="19"/>
  <c r="X359" i="19"/>
  <c r="AA359" i="19"/>
  <c r="AE359" i="19"/>
  <c r="AF359" i="19"/>
  <c r="AI359" i="19"/>
  <c r="AJ359" i="19"/>
  <c r="AM359" i="19"/>
  <c r="AN359" i="19"/>
  <c r="AQ359" i="19"/>
  <c r="AR359" i="19"/>
  <c r="AU359" i="19"/>
  <c r="AV359" i="19"/>
  <c r="AW359" i="19"/>
  <c r="K359" i="19" s="1"/>
  <c r="AZ359" i="19"/>
  <c r="BB359" i="19"/>
  <c r="BD359" i="19"/>
  <c r="I358" i="19"/>
  <c r="J358" i="19"/>
  <c r="P358" i="19"/>
  <c r="S358" i="19"/>
  <c r="T358" i="19"/>
  <c r="W358" i="19"/>
  <c r="X358" i="19"/>
  <c r="AA358" i="19"/>
  <c r="AE358" i="19"/>
  <c r="AF358" i="19"/>
  <c r="AI358" i="19"/>
  <c r="AJ358" i="19"/>
  <c r="AM358" i="19"/>
  <c r="AN358" i="19"/>
  <c r="AQ358" i="19"/>
  <c r="AR358" i="19"/>
  <c r="AU358" i="19"/>
  <c r="AV358" i="19"/>
  <c r="AW358" i="19"/>
  <c r="K358" i="19" s="1"/>
  <c r="AZ358" i="19"/>
  <c r="BB358" i="19"/>
  <c r="BD358" i="19"/>
  <c r="I357" i="19"/>
  <c r="J357" i="19"/>
  <c r="P357" i="19"/>
  <c r="S357" i="19"/>
  <c r="T357" i="19"/>
  <c r="W357" i="19"/>
  <c r="X357" i="19"/>
  <c r="AA357" i="19"/>
  <c r="AE357" i="19"/>
  <c r="AF357" i="19"/>
  <c r="AI357" i="19"/>
  <c r="AJ357" i="19"/>
  <c r="AM357" i="19"/>
  <c r="AN357" i="19"/>
  <c r="AQ357" i="19"/>
  <c r="AR357" i="19"/>
  <c r="AU357" i="19"/>
  <c r="AV357" i="19"/>
  <c r="AW357" i="19"/>
  <c r="K357" i="19" s="1"/>
  <c r="AZ357" i="19"/>
  <c r="BB357" i="19"/>
  <c r="BD357" i="19"/>
  <c r="I356" i="19"/>
  <c r="J356" i="19"/>
  <c r="P356" i="19"/>
  <c r="S356" i="19"/>
  <c r="T356" i="19"/>
  <c r="W356" i="19"/>
  <c r="X356" i="19"/>
  <c r="AA356" i="19"/>
  <c r="AE356" i="19"/>
  <c r="AF356" i="19"/>
  <c r="AI356" i="19"/>
  <c r="AJ356" i="19"/>
  <c r="AM356" i="19"/>
  <c r="AN356" i="19"/>
  <c r="AQ356" i="19"/>
  <c r="AR356" i="19"/>
  <c r="AU356" i="19"/>
  <c r="AV356" i="19"/>
  <c r="AW356" i="19"/>
  <c r="K356" i="19" s="1"/>
  <c r="AZ356" i="19"/>
  <c r="BB356" i="19"/>
  <c r="BD356" i="19"/>
  <c r="I355" i="19"/>
  <c r="J355" i="19"/>
  <c r="P355" i="19"/>
  <c r="S355" i="19"/>
  <c r="T355" i="19"/>
  <c r="W355" i="19"/>
  <c r="X355" i="19"/>
  <c r="AA355" i="19"/>
  <c r="AE355" i="19"/>
  <c r="AF355" i="19"/>
  <c r="AI355" i="19"/>
  <c r="AJ355" i="19"/>
  <c r="AM355" i="19"/>
  <c r="AN355" i="19"/>
  <c r="AQ355" i="19"/>
  <c r="AR355" i="19"/>
  <c r="AU355" i="19"/>
  <c r="AV355" i="19"/>
  <c r="AW355" i="19"/>
  <c r="K355" i="19" s="1"/>
  <c r="AZ355" i="19"/>
  <c r="BB355" i="19"/>
  <c r="BD355" i="19"/>
  <c r="I354" i="19"/>
  <c r="J354" i="19"/>
  <c r="P354" i="19"/>
  <c r="S354" i="19"/>
  <c r="T354" i="19"/>
  <c r="W354" i="19"/>
  <c r="X354" i="19"/>
  <c r="AA354" i="19"/>
  <c r="AE354" i="19"/>
  <c r="AF354" i="19"/>
  <c r="AI354" i="19"/>
  <c r="AJ354" i="19"/>
  <c r="AM354" i="19"/>
  <c r="AN354" i="19"/>
  <c r="AQ354" i="19"/>
  <c r="AR354" i="19"/>
  <c r="AU354" i="19"/>
  <c r="AV354" i="19"/>
  <c r="AW354" i="19"/>
  <c r="K354" i="19" s="1"/>
  <c r="AZ354" i="19"/>
  <c r="BB354" i="19"/>
  <c r="BD354" i="19"/>
  <c r="I353" i="19"/>
  <c r="J353" i="19"/>
  <c r="P353" i="19"/>
  <c r="S353" i="19"/>
  <c r="T353" i="19"/>
  <c r="W353" i="19"/>
  <c r="X353" i="19"/>
  <c r="AA353" i="19"/>
  <c r="AE353" i="19"/>
  <c r="AF353" i="19"/>
  <c r="AI353" i="19"/>
  <c r="AJ353" i="19"/>
  <c r="AM353" i="19"/>
  <c r="AN353" i="19"/>
  <c r="AQ353" i="19"/>
  <c r="AR353" i="19"/>
  <c r="AU353" i="19"/>
  <c r="AV353" i="19"/>
  <c r="AW353" i="19"/>
  <c r="K353" i="19" s="1"/>
  <c r="AZ353" i="19"/>
  <c r="BB353" i="19"/>
  <c r="BD353" i="19"/>
  <c r="I352" i="19"/>
  <c r="J352" i="19"/>
  <c r="K352" i="19"/>
  <c r="P352" i="19"/>
  <c r="S352" i="19"/>
  <c r="T352" i="19"/>
  <c r="W352" i="19"/>
  <c r="X352" i="19"/>
  <c r="AA352" i="19"/>
  <c r="AE352" i="19"/>
  <c r="AF352" i="19"/>
  <c r="AI352" i="19"/>
  <c r="AJ352" i="19"/>
  <c r="AM352" i="19"/>
  <c r="AN352" i="19"/>
  <c r="AQ352" i="19"/>
  <c r="AR352" i="19"/>
  <c r="AU352" i="19"/>
  <c r="AV352" i="19"/>
  <c r="AW352" i="19"/>
  <c r="AZ352" i="19"/>
  <c r="BB352" i="19"/>
  <c r="BD352" i="19"/>
  <c r="I351" i="19"/>
  <c r="J351" i="19"/>
  <c r="P351" i="19"/>
  <c r="S351" i="19"/>
  <c r="T351" i="19"/>
  <c r="W351" i="19"/>
  <c r="X351" i="19"/>
  <c r="AA351" i="19"/>
  <c r="AE351" i="19"/>
  <c r="AF351" i="19"/>
  <c r="AI351" i="19"/>
  <c r="AJ351" i="19"/>
  <c r="AM351" i="19"/>
  <c r="AN351" i="19"/>
  <c r="AQ351" i="19"/>
  <c r="AR351" i="19"/>
  <c r="AU351" i="19"/>
  <c r="AV351" i="19"/>
  <c r="AW351" i="19"/>
  <c r="K351" i="19" s="1"/>
  <c r="AZ351" i="19"/>
  <c r="BB351" i="19"/>
  <c r="BD351" i="19"/>
  <c r="I350" i="19"/>
  <c r="J350" i="19"/>
  <c r="P350" i="19"/>
  <c r="S350" i="19"/>
  <c r="T350" i="19"/>
  <c r="W350" i="19"/>
  <c r="X350" i="19"/>
  <c r="AA350" i="19"/>
  <c r="AE350" i="19"/>
  <c r="AF350" i="19"/>
  <c r="AI350" i="19"/>
  <c r="AJ350" i="19"/>
  <c r="AM350" i="19"/>
  <c r="AN350" i="19"/>
  <c r="AQ350" i="19"/>
  <c r="AR350" i="19"/>
  <c r="AU350" i="19"/>
  <c r="AV350" i="19"/>
  <c r="AW350" i="19"/>
  <c r="K350" i="19" s="1"/>
  <c r="AZ350" i="19"/>
  <c r="BB350" i="19"/>
  <c r="BD350" i="19"/>
  <c r="I349" i="19"/>
  <c r="J349" i="19"/>
  <c r="P349" i="19"/>
  <c r="S349" i="19"/>
  <c r="T349" i="19"/>
  <c r="W349" i="19"/>
  <c r="X349" i="19"/>
  <c r="AA349" i="19"/>
  <c r="AE349" i="19"/>
  <c r="AF349" i="19"/>
  <c r="AI349" i="19"/>
  <c r="AJ349" i="19"/>
  <c r="AM349" i="19"/>
  <c r="AN349" i="19"/>
  <c r="AQ349" i="19"/>
  <c r="AR349" i="19"/>
  <c r="AU349" i="19"/>
  <c r="AV349" i="19"/>
  <c r="AW349" i="19"/>
  <c r="K349" i="19" s="1"/>
  <c r="AZ349" i="19"/>
  <c r="BB349" i="19"/>
  <c r="BD349" i="19"/>
  <c r="I348" i="19"/>
  <c r="J348" i="19"/>
  <c r="P348" i="19"/>
  <c r="S348" i="19"/>
  <c r="T348" i="19"/>
  <c r="W348" i="19"/>
  <c r="X348" i="19"/>
  <c r="AA348" i="19"/>
  <c r="AE348" i="19"/>
  <c r="AF348" i="19"/>
  <c r="AI348" i="19"/>
  <c r="AJ348" i="19"/>
  <c r="AM348" i="19"/>
  <c r="AN348" i="19"/>
  <c r="AQ348" i="19"/>
  <c r="AR348" i="19"/>
  <c r="AU348" i="19"/>
  <c r="AV348" i="19"/>
  <c r="AW348" i="19"/>
  <c r="K348" i="19" s="1"/>
  <c r="AZ348" i="19"/>
  <c r="BB348" i="19"/>
  <c r="BD348" i="19"/>
  <c r="I347" i="19"/>
  <c r="J347" i="19"/>
  <c r="P347" i="19"/>
  <c r="S347" i="19"/>
  <c r="T347" i="19"/>
  <c r="W347" i="19"/>
  <c r="X347" i="19"/>
  <c r="AA347" i="19"/>
  <c r="AE347" i="19"/>
  <c r="AF347" i="19"/>
  <c r="AI347" i="19"/>
  <c r="AJ347" i="19"/>
  <c r="AM347" i="19"/>
  <c r="AN347" i="19"/>
  <c r="AQ347" i="19"/>
  <c r="AR347" i="19"/>
  <c r="AU347" i="19"/>
  <c r="AV347" i="19"/>
  <c r="AW347" i="19"/>
  <c r="K347" i="19" s="1"/>
  <c r="AZ347" i="19"/>
  <c r="BB347" i="19"/>
  <c r="BD347" i="19"/>
  <c r="I346" i="19"/>
  <c r="J346" i="19"/>
  <c r="P346" i="19"/>
  <c r="S346" i="19"/>
  <c r="T346" i="19"/>
  <c r="W346" i="19"/>
  <c r="X346" i="19"/>
  <c r="AA346" i="19"/>
  <c r="AE346" i="19"/>
  <c r="AF346" i="19"/>
  <c r="AI346" i="19"/>
  <c r="AJ346" i="19"/>
  <c r="AM346" i="19"/>
  <c r="AN346" i="19"/>
  <c r="AQ346" i="19"/>
  <c r="AR346" i="19"/>
  <c r="AU346" i="19"/>
  <c r="AV346" i="19"/>
  <c r="AW346" i="19"/>
  <c r="K346" i="19" s="1"/>
  <c r="AZ346" i="19"/>
  <c r="BB346" i="19"/>
  <c r="BD346" i="19"/>
  <c r="I345" i="19"/>
  <c r="J345" i="19"/>
  <c r="P345" i="19"/>
  <c r="S345" i="19"/>
  <c r="T345" i="19"/>
  <c r="W345" i="19"/>
  <c r="X345" i="19"/>
  <c r="AA345" i="19"/>
  <c r="AE345" i="19"/>
  <c r="AF345" i="19"/>
  <c r="AI345" i="19"/>
  <c r="AJ345" i="19"/>
  <c r="AM345" i="19"/>
  <c r="AN345" i="19"/>
  <c r="AQ345" i="19"/>
  <c r="AR345" i="19"/>
  <c r="AU345" i="19"/>
  <c r="AV345" i="19"/>
  <c r="AW345" i="19"/>
  <c r="K345" i="19" s="1"/>
  <c r="AZ345" i="19"/>
  <c r="BB345" i="19"/>
  <c r="BD345" i="19"/>
  <c r="I344" i="19"/>
  <c r="J344" i="19"/>
  <c r="P344" i="19"/>
  <c r="S344" i="19"/>
  <c r="T344" i="19"/>
  <c r="W344" i="19"/>
  <c r="X344" i="19"/>
  <c r="AA344" i="19"/>
  <c r="AE344" i="19"/>
  <c r="AF344" i="19"/>
  <c r="AI344" i="19"/>
  <c r="AJ344" i="19"/>
  <c r="AM344" i="19"/>
  <c r="AN344" i="19"/>
  <c r="AQ344" i="19"/>
  <c r="AR344" i="19"/>
  <c r="AU344" i="19"/>
  <c r="AV344" i="19"/>
  <c r="AW344" i="19"/>
  <c r="K344" i="19" s="1"/>
  <c r="AZ344" i="19"/>
  <c r="BB344" i="19"/>
  <c r="BD344" i="19"/>
  <c r="I343" i="19"/>
  <c r="J343" i="19"/>
  <c r="P343" i="19"/>
  <c r="S343" i="19"/>
  <c r="T343" i="19"/>
  <c r="W343" i="19"/>
  <c r="X343" i="19"/>
  <c r="AA343" i="19"/>
  <c r="AE343" i="19"/>
  <c r="AF343" i="19"/>
  <c r="AI343" i="19"/>
  <c r="AJ343" i="19"/>
  <c r="AM343" i="19"/>
  <c r="AN343" i="19"/>
  <c r="AQ343" i="19"/>
  <c r="AR343" i="19"/>
  <c r="AU343" i="19"/>
  <c r="AV343" i="19"/>
  <c r="AW343" i="19"/>
  <c r="K343" i="19" s="1"/>
  <c r="AZ343" i="19"/>
  <c r="BB343" i="19"/>
  <c r="BD343" i="19"/>
  <c r="I342" i="19"/>
  <c r="J342" i="19"/>
  <c r="P342" i="19"/>
  <c r="S342" i="19"/>
  <c r="T342" i="19"/>
  <c r="W342" i="19"/>
  <c r="X342" i="19"/>
  <c r="AA342" i="19"/>
  <c r="AE342" i="19"/>
  <c r="AF342" i="19"/>
  <c r="AI342" i="19"/>
  <c r="AJ342" i="19"/>
  <c r="AM342" i="19"/>
  <c r="AN342" i="19"/>
  <c r="AQ342" i="19"/>
  <c r="AR342" i="19"/>
  <c r="AU342" i="19"/>
  <c r="AV342" i="19"/>
  <c r="AW342" i="19"/>
  <c r="K342" i="19" s="1"/>
  <c r="AZ342" i="19"/>
  <c r="BB342" i="19"/>
  <c r="BD342" i="19"/>
  <c r="I341" i="19"/>
  <c r="J341" i="19"/>
  <c r="P341" i="19"/>
  <c r="S341" i="19"/>
  <c r="T341" i="19"/>
  <c r="W341" i="19"/>
  <c r="X341" i="19"/>
  <c r="AA341" i="19"/>
  <c r="AE341" i="19"/>
  <c r="AF341" i="19"/>
  <c r="AI341" i="19"/>
  <c r="AJ341" i="19"/>
  <c r="AM341" i="19"/>
  <c r="AN341" i="19"/>
  <c r="AQ341" i="19"/>
  <c r="AR341" i="19"/>
  <c r="AU341" i="19"/>
  <c r="AV341" i="19"/>
  <c r="AW341" i="19"/>
  <c r="K341" i="19" s="1"/>
  <c r="AZ341" i="19"/>
  <c r="BB341" i="19"/>
  <c r="BD341" i="19"/>
  <c r="I340" i="19"/>
  <c r="J340" i="19"/>
  <c r="P340" i="19"/>
  <c r="S340" i="19"/>
  <c r="T340" i="19"/>
  <c r="W340" i="19"/>
  <c r="X340" i="19"/>
  <c r="AA340" i="19"/>
  <c r="AE340" i="19"/>
  <c r="AF340" i="19"/>
  <c r="AI340" i="19"/>
  <c r="AJ340" i="19"/>
  <c r="AM340" i="19"/>
  <c r="AN340" i="19"/>
  <c r="AQ340" i="19"/>
  <c r="AR340" i="19"/>
  <c r="AU340" i="19"/>
  <c r="AV340" i="19"/>
  <c r="AW340" i="19"/>
  <c r="K340" i="19" s="1"/>
  <c r="AZ340" i="19"/>
  <c r="BB340" i="19"/>
  <c r="BD340" i="19"/>
  <c r="I339" i="19"/>
  <c r="J339" i="19"/>
  <c r="P339" i="19"/>
  <c r="S339" i="19"/>
  <c r="T339" i="19"/>
  <c r="W339" i="19"/>
  <c r="X339" i="19"/>
  <c r="AA339" i="19"/>
  <c r="AE339" i="19"/>
  <c r="AF339" i="19"/>
  <c r="AI339" i="19"/>
  <c r="AJ339" i="19"/>
  <c r="AM339" i="19"/>
  <c r="AN339" i="19"/>
  <c r="AQ339" i="19"/>
  <c r="AR339" i="19"/>
  <c r="AU339" i="19"/>
  <c r="AV339" i="19"/>
  <c r="AW339" i="19"/>
  <c r="K339" i="19" s="1"/>
  <c r="AZ339" i="19"/>
  <c r="BB339" i="19"/>
  <c r="BD339" i="19"/>
  <c r="I338" i="19"/>
  <c r="J338" i="19"/>
  <c r="P338" i="19"/>
  <c r="S338" i="19"/>
  <c r="T338" i="19"/>
  <c r="W338" i="19"/>
  <c r="X338" i="19"/>
  <c r="AA338" i="19"/>
  <c r="AE338" i="19"/>
  <c r="AF338" i="19"/>
  <c r="AI338" i="19"/>
  <c r="AJ338" i="19"/>
  <c r="AM338" i="19"/>
  <c r="AN338" i="19"/>
  <c r="AQ338" i="19"/>
  <c r="AR338" i="19"/>
  <c r="AU338" i="19"/>
  <c r="AV338" i="19"/>
  <c r="AW338" i="19"/>
  <c r="K338" i="19" s="1"/>
  <c r="AZ338" i="19"/>
  <c r="BB338" i="19"/>
  <c r="BD338" i="19"/>
  <c r="I337" i="19"/>
  <c r="J337" i="19"/>
  <c r="P337" i="19"/>
  <c r="S337" i="19"/>
  <c r="T337" i="19"/>
  <c r="W337" i="19"/>
  <c r="X337" i="19"/>
  <c r="AA337" i="19"/>
  <c r="AE337" i="19"/>
  <c r="AF337" i="19"/>
  <c r="AI337" i="19"/>
  <c r="AJ337" i="19"/>
  <c r="AM337" i="19"/>
  <c r="AN337" i="19"/>
  <c r="AQ337" i="19"/>
  <c r="AR337" i="19"/>
  <c r="AU337" i="19"/>
  <c r="AV337" i="19"/>
  <c r="AW337" i="19"/>
  <c r="K337" i="19" s="1"/>
  <c r="AZ337" i="19"/>
  <c r="BB337" i="19"/>
  <c r="BD337" i="19"/>
  <c r="I336" i="19"/>
  <c r="J336" i="19"/>
  <c r="P336" i="19"/>
  <c r="S336" i="19"/>
  <c r="T336" i="19"/>
  <c r="W336" i="19"/>
  <c r="X336" i="19"/>
  <c r="AA336" i="19"/>
  <c r="AE336" i="19"/>
  <c r="AF336" i="19"/>
  <c r="AI336" i="19"/>
  <c r="AJ336" i="19"/>
  <c r="AM336" i="19"/>
  <c r="AN336" i="19"/>
  <c r="AQ336" i="19"/>
  <c r="AR336" i="19"/>
  <c r="AU336" i="19"/>
  <c r="AV336" i="19"/>
  <c r="AW336" i="19"/>
  <c r="K336" i="19" s="1"/>
  <c r="AZ336" i="19"/>
  <c r="BB336" i="19"/>
  <c r="BD336" i="19"/>
  <c r="I335" i="19"/>
  <c r="J335" i="19"/>
  <c r="P335" i="19"/>
  <c r="S335" i="19"/>
  <c r="T335" i="19"/>
  <c r="W335" i="19"/>
  <c r="X335" i="19"/>
  <c r="AA335" i="19"/>
  <c r="AE335" i="19"/>
  <c r="AF335" i="19"/>
  <c r="AI335" i="19"/>
  <c r="AJ335" i="19"/>
  <c r="AM335" i="19"/>
  <c r="AN335" i="19"/>
  <c r="AQ335" i="19"/>
  <c r="AR335" i="19"/>
  <c r="AU335" i="19"/>
  <c r="AV335" i="19"/>
  <c r="AW335" i="19"/>
  <c r="K335" i="19" s="1"/>
  <c r="AZ335" i="19"/>
  <c r="BB335" i="19"/>
  <c r="BD335" i="19"/>
  <c r="I334" i="19"/>
  <c r="J334" i="19"/>
  <c r="P334" i="19"/>
  <c r="S334" i="19"/>
  <c r="T334" i="19"/>
  <c r="W334" i="19"/>
  <c r="X334" i="19"/>
  <c r="AA334" i="19"/>
  <c r="AE334" i="19"/>
  <c r="AF334" i="19"/>
  <c r="AI334" i="19"/>
  <c r="AJ334" i="19"/>
  <c r="AM334" i="19"/>
  <c r="AN334" i="19"/>
  <c r="AQ334" i="19"/>
  <c r="AR334" i="19"/>
  <c r="AU334" i="19"/>
  <c r="AV334" i="19"/>
  <c r="AW334" i="19"/>
  <c r="K334" i="19" s="1"/>
  <c r="AZ334" i="19"/>
  <c r="BB334" i="19"/>
  <c r="BD334" i="19"/>
  <c r="I333" i="19"/>
  <c r="J333" i="19"/>
  <c r="P333" i="19"/>
  <c r="S333" i="19"/>
  <c r="T333" i="19"/>
  <c r="W333" i="19"/>
  <c r="X333" i="19"/>
  <c r="AA333" i="19"/>
  <c r="AE333" i="19"/>
  <c r="AF333" i="19"/>
  <c r="AI333" i="19"/>
  <c r="AJ333" i="19"/>
  <c r="AM333" i="19"/>
  <c r="AN333" i="19"/>
  <c r="AQ333" i="19"/>
  <c r="AR333" i="19"/>
  <c r="AU333" i="19"/>
  <c r="AV333" i="19"/>
  <c r="AW333" i="19"/>
  <c r="K333" i="19" s="1"/>
  <c r="AZ333" i="19"/>
  <c r="BB333" i="19"/>
  <c r="BD333" i="19"/>
  <c r="I332" i="19"/>
  <c r="J332" i="19"/>
  <c r="P332" i="19"/>
  <c r="S332" i="19"/>
  <c r="T332" i="19"/>
  <c r="W332" i="19"/>
  <c r="X332" i="19"/>
  <c r="AA332" i="19"/>
  <c r="AE332" i="19"/>
  <c r="AF332" i="19"/>
  <c r="AI332" i="19"/>
  <c r="AJ332" i="19"/>
  <c r="AM332" i="19"/>
  <c r="AN332" i="19"/>
  <c r="AQ332" i="19"/>
  <c r="AR332" i="19"/>
  <c r="AU332" i="19"/>
  <c r="AV332" i="19"/>
  <c r="AW332" i="19"/>
  <c r="K332" i="19" s="1"/>
  <c r="AZ332" i="19"/>
  <c r="BB332" i="19"/>
  <c r="BD332" i="19"/>
  <c r="I331" i="19"/>
  <c r="J331" i="19"/>
  <c r="P331" i="19"/>
  <c r="S331" i="19"/>
  <c r="T331" i="19"/>
  <c r="W331" i="19"/>
  <c r="X331" i="19"/>
  <c r="AA331" i="19"/>
  <c r="AE331" i="19"/>
  <c r="AF331" i="19"/>
  <c r="AI331" i="19"/>
  <c r="AJ331" i="19"/>
  <c r="AM331" i="19"/>
  <c r="AN331" i="19"/>
  <c r="AQ331" i="19"/>
  <c r="AR331" i="19"/>
  <c r="AU331" i="19"/>
  <c r="AV331" i="19"/>
  <c r="AW331" i="19"/>
  <c r="K331" i="19" s="1"/>
  <c r="AZ331" i="19"/>
  <c r="BB331" i="19"/>
  <c r="BD331" i="19"/>
  <c r="I330" i="19"/>
  <c r="J330" i="19"/>
  <c r="P330" i="19"/>
  <c r="S330" i="19"/>
  <c r="T330" i="19"/>
  <c r="W330" i="19"/>
  <c r="X330" i="19"/>
  <c r="AA330" i="19"/>
  <c r="AE330" i="19"/>
  <c r="AF330" i="19"/>
  <c r="AI330" i="19"/>
  <c r="AJ330" i="19"/>
  <c r="AM330" i="19"/>
  <c r="AN330" i="19"/>
  <c r="AQ330" i="19"/>
  <c r="AR330" i="19"/>
  <c r="AU330" i="19"/>
  <c r="AV330" i="19"/>
  <c r="AW330" i="19"/>
  <c r="K330" i="19" s="1"/>
  <c r="AZ330" i="19"/>
  <c r="BB330" i="19"/>
  <c r="BD330" i="19"/>
  <c r="I329" i="19"/>
  <c r="J329" i="19"/>
  <c r="P329" i="19"/>
  <c r="S329" i="19"/>
  <c r="T329" i="19"/>
  <c r="W329" i="19"/>
  <c r="X329" i="19"/>
  <c r="AA329" i="19"/>
  <c r="AE329" i="19"/>
  <c r="AF329" i="19"/>
  <c r="AI329" i="19"/>
  <c r="AJ329" i="19"/>
  <c r="AM329" i="19"/>
  <c r="AN329" i="19"/>
  <c r="AQ329" i="19"/>
  <c r="AR329" i="19"/>
  <c r="AU329" i="19"/>
  <c r="AV329" i="19"/>
  <c r="AW329" i="19"/>
  <c r="K329" i="19" s="1"/>
  <c r="AZ329" i="19"/>
  <c r="BB329" i="19"/>
  <c r="BD329" i="19"/>
  <c r="I328" i="19"/>
  <c r="J328" i="19"/>
  <c r="P328" i="19"/>
  <c r="S328" i="19"/>
  <c r="T328" i="19"/>
  <c r="W328" i="19"/>
  <c r="X328" i="19"/>
  <c r="AA328" i="19"/>
  <c r="AE328" i="19"/>
  <c r="AF328" i="19"/>
  <c r="AI328" i="19"/>
  <c r="AJ328" i="19"/>
  <c r="AM328" i="19"/>
  <c r="AN328" i="19"/>
  <c r="AQ328" i="19"/>
  <c r="AR328" i="19"/>
  <c r="AU328" i="19"/>
  <c r="AV328" i="19"/>
  <c r="AW328" i="19"/>
  <c r="K328" i="19" s="1"/>
  <c r="AZ328" i="19"/>
  <c r="BB328" i="19"/>
  <c r="BD328" i="19"/>
  <c r="I327" i="19"/>
  <c r="J327" i="19"/>
  <c r="P327" i="19"/>
  <c r="S327" i="19"/>
  <c r="T327" i="19"/>
  <c r="W327" i="19"/>
  <c r="X327" i="19"/>
  <c r="AA327" i="19"/>
  <c r="AE327" i="19"/>
  <c r="AF327" i="19"/>
  <c r="AI327" i="19"/>
  <c r="AJ327" i="19"/>
  <c r="AM327" i="19"/>
  <c r="AN327" i="19"/>
  <c r="AQ327" i="19"/>
  <c r="AR327" i="19"/>
  <c r="AU327" i="19"/>
  <c r="AV327" i="19"/>
  <c r="AW327" i="19"/>
  <c r="K327" i="19" s="1"/>
  <c r="AZ327" i="19"/>
  <c r="BB327" i="19"/>
  <c r="BD327" i="19"/>
  <c r="I326" i="19"/>
  <c r="J326" i="19"/>
  <c r="P326" i="19"/>
  <c r="S326" i="19"/>
  <c r="T326" i="19"/>
  <c r="W326" i="19"/>
  <c r="X326" i="19"/>
  <c r="AA326" i="19"/>
  <c r="AE326" i="19"/>
  <c r="AF326" i="19"/>
  <c r="AI326" i="19"/>
  <c r="AJ326" i="19"/>
  <c r="AM326" i="19"/>
  <c r="AN326" i="19"/>
  <c r="AQ326" i="19"/>
  <c r="AR326" i="19"/>
  <c r="AU326" i="19"/>
  <c r="AV326" i="19"/>
  <c r="AW326" i="19"/>
  <c r="K326" i="19" s="1"/>
  <c r="AZ326" i="19"/>
  <c r="BB326" i="19"/>
  <c r="BD326" i="19"/>
  <c r="I325" i="19"/>
  <c r="J325" i="19"/>
  <c r="P325" i="19"/>
  <c r="S325" i="19"/>
  <c r="T325" i="19"/>
  <c r="W325" i="19"/>
  <c r="X325" i="19"/>
  <c r="AA325" i="19"/>
  <c r="AE325" i="19"/>
  <c r="AF325" i="19"/>
  <c r="AI325" i="19"/>
  <c r="AJ325" i="19"/>
  <c r="AM325" i="19"/>
  <c r="AN325" i="19"/>
  <c r="AQ325" i="19"/>
  <c r="AR325" i="19"/>
  <c r="AU325" i="19"/>
  <c r="AV325" i="19"/>
  <c r="AW325" i="19"/>
  <c r="K325" i="19" s="1"/>
  <c r="AZ325" i="19"/>
  <c r="BB325" i="19"/>
  <c r="BD325" i="19"/>
  <c r="I324" i="19"/>
  <c r="J324" i="19"/>
  <c r="P324" i="19"/>
  <c r="S324" i="19"/>
  <c r="T324" i="19"/>
  <c r="W324" i="19"/>
  <c r="X324" i="19"/>
  <c r="AA324" i="19"/>
  <c r="AE324" i="19"/>
  <c r="AF324" i="19"/>
  <c r="AI324" i="19"/>
  <c r="AJ324" i="19"/>
  <c r="AM324" i="19"/>
  <c r="AN324" i="19"/>
  <c r="AQ324" i="19"/>
  <c r="AR324" i="19"/>
  <c r="AU324" i="19"/>
  <c r="AV324" i="19"/>
  <c r="AW324" i="19"/>
  <c r="K324" i="19" s="1"/>
  <c r="AZ324" i="19"/>
  <c r="BB324" i="19"/>
  <c r="BD324" i="19"/>
  <c r="I323" i="19"/>
  <c r="J323" i="19"/>
  <c r="P323" i="19"/>
  <c r="S323" i="19"/>
  <c r="T323" i="19"/>
  <c r="W323" i="19"/>
  <c r="X323" i="19"/>
  <c r="AA323" i="19"/>
  <c r="AE323" i="19"/>
  <c r="AF323" i="19"/>
  <c r="AI323" i="19"/>
  <c r="AJ323" i="19"/>
  <c r="AM323" i="19"/>
  <c r="AN323" i="19"/>
  <c r="AQ323" i="19"/>
  <c r="AR323" i="19"/>
  <c r="AU323" i="19"/>
  <c r="AV323" i="19"/>
  <c r="AW323" i="19"/>
  <c r="K323" i="19" s="1"/>
  <c r="AZ323" i="19"/>
  <c r="BB323" i="19"/>
  <c r="BD323" i="19"/>
  <c r="I322" i="19"/>
  <c r="J322" i="19"/>
  <c r="P322" i="19"/>
  <c r="S322" i="19"/>
  <c r="T322" i="19"/>
  <c r="W322" i="19"/>
  <c r="X322" i="19"/>
  <c r="AA322" i="19"/>
  <c r="AE322" i="19"/>
  <c r="AF322" i="19"/>
  <c r="AI322" i="19"/>
  <c r="AJ322" i="19"/>
  <c r="AM322" i="19"/>
  <c r="AN322" i="19"/>
  <c r="AQ322" i="19"/>
  <c r="AR322" i="19"/>
  <c r="AU322" i="19"/>
  <c r="AV322" i="19"/>
  <c r="AW322" i="19"/>
  <c r="K322" i="19" s="1"/>
  <c r="AZ322" i="19"/>
  <c r="BB322" i="19"/>
  <c r="BD322" i="19"/>
  <c r="I321" i="19"/>
  <c r="J321" i="19"/>
  <c r="P321" i="19"/>
  <c r="O321" i="19" s="1"/>
  <c r="L321" i="19" s="1"/>
  <c r="S321" i="19"/>
  <c r="T321" i="19"/>
  <c r="W321" i="19"/>
  <c r="X321" i="19"/>
  <c r="AA321" i="19"/>
  <c r="AE321" i="19"/>
  <c r="AF321" i="19"/>
  <c r="AI321" i="19"/>
  <c r="AJ321" i="19"/>
  <c r="AM321" i="19"/>
  <c r="AN321" i="19"/>
  <c r="AQ321" i="19"/>
  <c r="AR321" i="19"/>
  <c r="AU321" i="19"/>
  <c r="AV321" i="19"/>
  <c r="AW321" i="19"/>
  <c r="K321" i="19" s="1"/>
  <c r="AZ321" i="19"/>
  <c r="BB321" i="19"/>
  <c r="BD321" i="19"/>
  <c r="I320" i="19"/>
  <c r="J320" i="19"/>
  <c r="P320" i="19"/>
  <c r="S320" i="19"/>
  <c r="T320" i="19"/>
  <c r="W320" i="19"/>
  <c r="X320" i="19"/>
  <c r="AA320" i="19"/>
  <c r="AE320" i="19"/>
  <c r="AF320" i="19"/>
  <c r="AI320" i="19"/>
  <c r="AJ320" i="19"/>
  <c r="AM320" i="19"/>
  <c r="AN320" i="19"/>
  <c r="AQ320" i="19"/>
  <c r="AR320" i="19"/>
  <c r="AU320" i="19"/>
  <c r="AV320" i="19"/>
  <c r="AW320" i="19"/>
  <c r="K320" i="19" s="1"/>
  <c r="AZ320" i="19"/>
  <c r="BB320" i="19"/>
  <c r="BD320" i="19"/>
  <c r="I319" i="19"/>
  <c r="J319" i="19"/>
  <c r="P319" i="19"/>
  <c r="S319" i="19"/>
  <c r="T319" i="19"/>
  <c r="W319" i="19"/>
  <c r="X319" i="19"/>
  <c r="AA319" i="19"/>
  <c r="AE319" i="19"/>
  <c r="AF319" i="19"/>
  <c r="AI319" i="19"/>
  <c r="AJ319" i="19"/>
  <c r="AM319" i="19"/>
  <c r="AN319" i="19"/>
  <c r="AQ319" i="19"/>
  <c r="AR319" i="19"/>
  <c r="AU319" i="19"/>
  <c r="AV319" i="19"/>
  <c r="AW319" i="19"/>
  <c r="K319" i="19" s="1"/>
  <c r="AZ319" i="19"/>
  <c r="BB319" i="19"/>
  <c r="BD319" i="19"/>
  <c r="I318" i="19"/>
  <c r="J318" i="19"/>
  <c r="P318" i="19"/>
  <c r="S318" i="19"/>
  <c r="T318" i="19"/>
  <c r="W318" i="19"/>
  <c r="X318" i="19"/>
  <c r="AA318" i="19"/>
  <c r="AE318" i="19"/>
  <c r="AF318" i="19"/>
  <c r="AI318" i="19"/>
  <c r="AJ318" i="19"/>
  <c r="AM318" i="19"/>
  <c r="AN318" i="19"/>
  <c r="AQ318" i="19"/>
  <c r="AR318" i="19"/>
  <c r="AU318" i="19"/>
  <c r="AV318" i="19"/>
  <c r="AW318" i="19"/>
  <c r="K318" i="19" s="1"/>
  <c r="AZ318" i="19"/>
  <c r="BB318" i="19"/>
  <c r="BD318" i="19"/>
  <c r="I317" i="19"/>
  <c r="J317" i="19"/>
  <c r="P317" i="19"/>
  <c r="S317" i="19"/>
  <c r="T317" i="19"/>
  <c r="W317" i="19"/>
  <c r="X317" i="19"/>
  <c r="AA317" i="19"/>
  <c r="AE317" i="19"/>
  <c r="AF317" i="19"/>
  <c r="AI317" i="19"/>
  <c r="AJ317" i="19"/>
  <c r="AM317" i="19"/>
  <c r="AN317" i="19"/>
  <c r="AQ317" i="19"/>
  <c r="AR317" i="19"/>
  <c r="AU317" i="19"/>
  <c r="AV317" i="19"/>
  <c r="AW317" i="19"/>
  <c r="K317" i="19" s="1"/>
  <c r="AZ317" i="19"/>
  <c r="BB317" i="19"/>
  <c r="BD317" i="19"/>
  <c r="I316" i="19"/>
  <c r="J316" i="19"/>
  <c r="P316" i="19"/>
  <c r="S316" i="19"/>
  <c r="T316" i="19"/>
  <c r="W316" i="19"/>
  <c r="X316" i="19"/>
  <c r="AA316" i="19"/>
  <c r="AE316" i="19"/>
  <c r="AF316" i="19"/>
  <c r="AI316" i="19"/>
  <c r="AJ316" i="19"/>
  <c r="AM316" i="19"/>
  <c r="AN316" i="19"/>
  <c r="AQ316" i="19"/>
  <c r="AR316" i="19"/>
  <c r="AU316" i="19"/>
  <c r="AV316" i="19"/>
  <c r="AW316" i="19"/>
  <c r="K316" i="19" s="1"/>
  <c r="AZ316" i="19"/>
  <c r="BB316" i="19"/>
  <c r="BD316" i="19"/>
  <c r="I315" i="19"/>
  <c r="J315" i="19"/>
  <c r="P315" i="19"/>
  <c r="S315" i="19"/>
  <c r="T315" i="19"/>
  <c r="W315" i="19"/>
  <c r="X315" i="19"/>
  <c r="AA315" i="19"/>
  <c r="AE315" i="19"/>
  <c r="AF315" i="19"/>
  <c r="AI315" i="19"/>
  <c r="AJ315" i="19"/>
  <c r="AM315" i="19"/>
  <c r="AN315" i="19"/>
  <c r="AQ315" i="19"/>
  <c r="AR315" i="19"/>
  <c r="AU315" i="19"/>
  <c r="AV315" i="19"/>
  <c r="AW315" i="19"/>
  <c r="K315" i="19" s="1"/>
  <c r="AZ315" i="19"/>
  <c r="BB315" i="19"/>
  <c r="BD315" i="19"/>
  <c r="I314" i="19"/>
  <c r="J314" i="19"/>
  <c r="P314" i="19"/>
  <c r="S314" i="19"/>
  <c r="T314" i="19"/>
  <c r="W314" i="19"/>
  <c r="X314" i="19"/>
  <c r="AA314" i="19"/>
  <c r="AE314" i="19"/>
  <c r="AF314" i="19"/>
  <c r="AI314" i="19"/>
  <c r="AJ314" i="19"/>
  <c r="AM314" i="19"/>
  <c r="AN314" i="19"/>
  <c r="AQ314" i="19"/>
  <c r="AR314" i="19"/>
  <c r="AU314" i="19"/>
  <c r="AV314" i="19"/>
  <c r="AW314" i="19"/>
  <c r="K314" i="19" s="1"/>
  <c r="AZ314" i="19"/>
  <c r="BB314" i="19"/>
  <c r="BD314" i="19"/>
  <c r="I313" i="19"/>
  <c r="J313" i="19"/>
  <c r="P313" i="19"/>
  <c r="S313" i="19"/>
  <c r="T313" i="19"/>
  <c r="W313" i="19"/>
  <c r="X313" i="19"/>
  <c r="AA313" i="19"/>
  <c r="AE313" i="19"/>
  <c r="AF313" i="19"/>
  <c r="AI313" i="19"/>
  <c r="AJ313" i="19"/>
  <c r="AM313" i="19"/>
  <c r="AN313" i="19"/>
  <c r="AQ313" i="19"/>
  <c r="AR313" i="19"/>
  <c r="AU313" i="19"/>
  <c r="AV313" i="19"/>
  <c r="AW313" i="19"/>
  <c r="K313" i="19" s="1"/>
  <c r="AZ313" i="19"/>
  <c r="BB313" i="19"/>
  <c r="BD313" i="19"/>
  <c r="I312" i="19"/>
  <c r="J312" i="19"/>
  <c r="P312" i="19"/>
  <c r="S312" i="19"/>
  <c r="T312" i="19"/>
  <c r="W312" i="19"/>
  <c r="X312" i="19"/>
  <c r="AA312" i="19"/>
  <c r="AE312" i="19"/>
  <c r="AF312" i="19"/>
  <c r="AI312" i="19"/>
  <c r="AJ312" i="19"/>
  <c r="AM312" i="19"/>
  <c r="AN312" i="19"/>
  <c r="AQ312" i="19"/>
  <c r="AR312" i="19"/>
  <c r="AU312" i="19"/>
  <c r="AV312" i="19"/>
  <c r="AW312" i="19"/>
  <c r="K312" i="19" s="1"/>
  <c r="AZ312" i="19"/>
  <c r="BB312" i="19"/>
  <c r="BD312" i="19"/>
  <c r="I311" i="19"/>
  <c r="J311" i="19"/>
  <c r="P311" i="19"/>
  <c r="S311" i="19"/>
  <c r="T311" i="19"/>
  <c r="W311" i="19"/>
  <c r="X311" i="19"/>
  <c r="AA311" i="19"/>
  <c r="AE311" i="19"/>
  <c r="AF311" i="19"/>
  <c r="AI311" i="19"/>
  <c r="AJ311" i="19"/>
  <c r="AM311" i="19"/>
  <c r="AN311" i="19"/>
  <c r="AQ311" i="19"/>
  <c r="AR311" i="19"/>
  <c r="AU311" i="19"/>
  <c r="AV311" i="19"/>
  <c r="AW311" i="19"/>
  <c r="K311" i="19" s="1"/>
  <c r="AZ311" i="19"/>
  <c r="BB311" i="19"/>
  <c r="BD311" i="19"/>
  <c r="I310" i="19"/>
  <c r="J310" i="19"/>
  <c r="P310" i="19"/>
  <c r="S310" i="19"/>
  <c r="T310" i="19"/>
  <c r="W310" i="19"/>
  <c r="X310" i="19"/>
  <c r="AA310" i="19"/>
  <c r="AE310" i="19"/>
  <c r="AF310" i="19"/>
  <c r="AI310" i="19"/>
  <c r="AJ310" i="19"/>
  <c r="AM310" i="19"/>
  <c r="AN310" i="19"/>
  <c r="AQ310" i="19"/>
  <c r="AR310" i="19"/>
  <c r="AU310" i="19"/>
  <c r="AV310" i="19"/>
  <c r="AW310" i="19"/>
  <c r="K310" i="19" s="1"/>
  <c r="AZ310" i="19"/>
  <c r="BB310" i="19"/>
  <c r="BD310" i="19"/>
  <c r="I309" i="19"/>
  <c r="J309" i="19"/>
  <c r="P309" i="19"/>
  <c r="S309" i="19"/>
  <c r="T309" i="19"/>
  <c r="W309" i="19"/>
  <c r="X309" i="19"/>
  <c r="AA309" i="19"/>
  <c r="AE309" i="19"/>
  <c r="AF309" i="19"/>
  <c r="AI309" i="19"/>
  <c r="AJ309" i="19"/>
  <c r="AM309" i="19"/>
  <c r="AN309" i="19"/>
  <c r="AQ309" i="19"/>
  <c r="AR309" i="19"/>
  <c r="AU309" i="19"/>
  <c r="AV309" i="19"/>
  <c r="AW309" i="19"/>
  <c r="K309" i="19" s="1"/>
  <c r="AZ309" i="19"/>
  <c r="BB309" i="19"/>
  <c r="BD309" i="19"/>
  <c r="I308" i="19"/>
  <c r="J308" i="19"/>
  <c r="P308" i="19"/>
  <c r="S308" i="19"/>
  <c r="T308" i="19"/>
  <c r="W308" i="19"/>
  <c r="X308" i="19"/>
  <c r="AA308" i="19"/>
  <c r="AE308" i="19"/>
  <c r="AF308" i="19"/>
  <c r="AI308" i="19"/>
  <c r="AJ308" i="19"/>
  <c r="AM308" i="19"/>
  <c r="AN308" i="19"/>
  <c r="AQ308" i="19"/>
  <c r="AR308" i="19"/>
  <c r="AU308" i="19"/>
  <c r="AV308" i="19"/>
  <c r="AW308" i="19"/>
  <c r="K308" i="19" s="1"/>
  <c r="AZ308" i="19"/>
  <c r="BB308" i="19"/>
  <c r="BD308" i="19"/>
  <c r="I307" i="19"/>
  <c r="J307" i="19"/>
  <c r="P307" i="19"/>
  <c r="S307" i="19"/>
  <c r="T307" i="19"/>
  <c r="W307" i="19"/>
  <c r="X307" i="19"/>
  <c r="AA307" i="19"/>
  <c r="AE307" i="19"/>
  <c r="AF307" i="19"/>
  <c r="AI307" i="19"/>
  <c r="AJ307" i="19"/>
  <c r="AM307" i="19"/>
  <c r="AN307" i="19"/>
  <c r="AQ307" i="19"/>
  <c r="AR307" i="19"/>
  <c r="AU307" i="19"/>
  <c r="AV307" i="19"/>
  <c r="AW307" i="19"/>
  <c r="K307" i="19" s="1"/>
  <c r="AZ307" i="19"/>
  <c r="BB307" i="19"/>
  <c r="BD307" i="19"/>
  <c r="I306" i="19"/>
  <c r="J306" i="19"/>
  <c r="P306" i="19"/>
  <c r="S306" i="19"/>
  <c r="T306" i="19"/>
  <c r="W306" i="19"/>
  <c r="X306" i="19"/>
  <c r="AA306" i="19"/>
  <c r="AE306" i="19"/>
  <c r="AF306" i="19"/>
  <c r="AI306" i="19"/>
  <c r="AJ306" i="19"/>
  <c r="AM306" i="19"/>
  <c r="AN306" i="19"/>
  <c r="AQ306" i="19"/>
  <c r="AR306" i="19"/>
  <c r="AU306" i="19"/>
  <c r="AV306" i="19"/>
  <c r="AW306" i="19"/>
  <c r="K306" i="19" s="1"/>
  <c r="AZ306" i="19"/>
  <c r="BB306" i="19"/>
  <c r="BD306" i="19"/>
  <c r="I305" i="19"/>
  <c r="J305" i="19"/>
  <c r="P305" i="19"/>
  <c r="S305" i="19"/>
  <c r="T305" i="19"/>
  <c r="W305" i="19"/>
  <c r="X305" i="19"/>
  <c r="AA305" i="19"/>
  <c r="AE305" i="19"/>
  <c r="AF305" i="19"/>
  <c r="AI305" i="19"/>
  <c r="AJ305" i="19"/>
  <c r="AM305" i="19"/>
  <c r="AN305" i="19"/>
  <c r="AQ305" i="19"/>
  <c r="AR305" i="19"/>
  <c r="AU305" i="19"/>
  <c r="AV305" i="19"/>
  <c r="AW305" i="19"/>
  <c r="K305" i="19" s="1"/>
  <c r="AZ305" i="19"/>
  <c r="BB305" i="19"/>
  <c r="BD305" i="19"/>
  <c r="I304" i="19"/>
  <c r="J304" i="19"/>
  <c r="P304" i="19"/>
  <c r="S304" i="19"/>
  <c r="T304" i="19"/>
  <c r="W304" i="19"/>
  <c r="X304" i="19"/>
  <c r="AA304" i="19"/>
  <c r="AE304" i="19"/>
  <c r="AF304" i="19"/>
  <c r="AI304" i="19"/>
  <c r="AJ304" i="19"/>
  <c r="AM304" i="19"/>
  <c r="AN304" i="19"/>
  <c r="AQ304" i="19"/>
  <c r="AR304" i="19"/>
  <c r="AU304" i="19"/>
  <c r="AV304" i="19"/>
  <c r="AW304" i="19"/>
  <c r="K304" i="19" s="1"/>
  <c r="AZ304" i="19"/>
  <c r="BB304" i="19"/>
  <c r="BD304" i="19"/>
  <c r="I303" i="19"/>
  <c r="J303" i="19"/>
  <c r="P303" i="19"/>
  <c r="S303" i="19"/>
  <c r="T303" i="19"/>
  <c r="W303" i="19"/>
  <c r="X303" i="19"/>
  <c r="AA303" i="19"/>
  <c r="AE303" i="19"/>
  <c r="AF303" i="19"/>
  <c r="AI303" i="19"/>
  <c r="AJ303" i="19"/>
  <c r="AM303" i="19"/>
  <c r="AN303" i="19"/>
  <c r="AQ303" i="19"/>
  <c r="AR303" i="19"/>
  <c r="AU303" i="19"/>
  <c r="AV303" i="19"/>
  <c r="AW303" i="19"/>
  <c r="K303" i="19" s="1"/>
  <c r="AZ303" i="19"/>
  <c r="BB303" i="19"/>
  <c r="BD303" i="19"/>
  <c r="I302" i="19"/>
  <c r="J302" i="19"/>
  <c r="P302" i="19"/>
  <c r="S302" i="19"/>
  <c r="T302" i="19"/>
  <c r="W302" i="19"/>
  <c r="X302" i="19"/>
  <c r="AA302" i="19"/>
  <c r="AE302" i="19"/>
  <c r="AF302" i="19"/>
  <c r="AI302" i="19"/>
  <c r="AJ302" i="19"/>
  <c r="AM302" i="19"/>
  <c r="AN302" i="19"/>
  <c r="AQ302" i="19"/>
  <c r="AR302" i="19"/>
  <c r="AU302" i="19"/>
  <c r="AV302" i="19"/>
  <c r="AW302" i="19"/>
  <c r="K302" i="19" s="1"/>
  <c r="AZ302" i="19"/>
  <c r="BB302" i="19"/>
  <c r="BD302" i="19"/>
  <c r="I301" i="19"/>
  <c r="J301" i="19"/>
  <c r="P301" i="19"/>
  <c r="S301" i="19"/>
  <c r="T301" i="19"/>
  <c r="W301" i="19"/>
  <c r="X301" i="19"/>
  <c r="AA301" i="19"/>
  <c r="AE301" i="19"/>
  <c r="AF301" i="19"/>
  <c r="AI301" i="19"/>
  <c r="AJ301" i="19"/>
  <c r="AM301" i="19"/>
  <c r="AN301" i="19"/>
  <c r="AQ301" i="19"/>
  <c r="AR301" i="19"/>
  <c r="AU301" i="19"/>
  <c r="AV301" i="19"/>
  <c r="AW301" i="19"/>
  <c r="K301" i="19" s="1"/>
  <c r="AZ301" i="19"/>
  <c r="BB301" i="19"/>
  <c r="BD301" i="19"/>
  <c r="I300" i="19"/>
  <c r="J300" i="19"/>
  <c r="P300" i="19"/>
  <c r="S300" i="19"/>
  <c r="T300" i="19"/>
  <c r="W300" i="19"/>
  <c r="X300" i="19"/>
  <c r="AA300" i="19"/>
  <c r="AE300" i="19"/>
  <c r="AF300" i="19"/>
  <c r="AI300" i="19"/>
  <c r="AJ300" i="19"/>
  <c r="AM300" i="19"/>
  <c r="AN300" i="19"/>
  <c r="AQ300" i="19"/>
  <c r="AR300" i="19"/>
  <c r="AU300" i="19"/>
  <c r="AV300" i="19"/>
  <c r="AW300" i="19"/>
  <c r="K300" i="19" s="1"/>
  <c r="AZ300" i="19"/>
  <c r="BB300" i="19"/>
  <c r="BD300" i="19"/>
  <c r="I299" i="19"/>
  <c r="J299" i="19"/>
  <c r="P299" i="19"/>
  <c r="S299" i="19"/>
  <c r="T299" i="19"/>
  <c r="W299" i="19"/>
  <c r="X299" i="19"/>
  <c r="AA299" i="19"/>
  <c r="AE299" i="19"/>
  <c r="AF299" i="19"/>
  <c r="AI299" i="19"/>
  <c r="AJ299" i="19"/>
  <c r="AM299" i="19"/>
  <c r="AN299" i="19"/>
  <c r="AQ299" i="19"/>
  <c r="AR299" i="19"/>
  <c r="AU299" i="19"/>
  <c r="AV299" i="19"/>
  <c r="AW299" i="19"/>
  <c r="K299" i="19" s="1"/>
  <c r="AZ299" i="19"/>
  <c r="BB299" i="19"/>
  <c r="BD299" i="19"/>
  <c r="I298" i="19"/>
  <c r="J298" i="19"/>
  <c r="P298" i="19"/>
  <c r="S298" i="19"/>
  <c r="T298" i="19"/>
  <c r="W298" i="19"/>
  <c r="X298" i="19"/>
  <c r="AA298" i="19"/>
  <c r="AE298" i="19"/>
  <c r="AF298" i="19"/>
  <c r="AI298" i="19"/>
  <c r="AJ298" i="19"/>
  <c r="AM298" i="19"/>
  <c r="AN298" i="19"/>
  <c r="AQ298" i="19"/>
  <c r="AR298" i="19"/>
  <c r="AU298" i="19"/>
  <c r="AV298" i="19"/>
  <c r="AW298" i="19"/>
  <c r="K298" i="19" s="1"/>
  <c r="AZ298" i="19"/>
  <c r="BB298" i="19"/>
  <c r="BD298" i="19"/>
  <c r="I297" i="19"/>
  <c r="J297" i="19"/>
  <c r="P297" i="19"/>
  <c r="S297" i="19"/>
  <c r="T297" i="19"/>
  <c r="W297" i="19"/>
  <c r="X297" i="19"/>
  <c r="AA297" i="19"/>
  <c r="AE297" i="19"/>
  <c r="AF297" i="19"/>
  <c r="AI297" i="19"/>
  <c r="AJ297" i="19"/>
  <c r="AM297" i="19"/>
  <c r="AN297" i="19"/>
  <c r="AQ297" i="19"/>
  <c r="AR297" i="19"/>
  <c r="AU297" i="19"/>
  <c r="AV297" i="19"/>
  <c r="AW297" i="19"/>
  <c r="K297" i="19" s="1"/>
  <c r="AZ297" i="19"/>
  <c r="BB297" i="19"/>
  <c r="BD297" i="19"/>
  <c r="I296" i="19"/>
  <c r="J296" i="19"/>
  <c r="P296" i="19"/>
  <c r="S296" i="19"/>
  <c r="T296" i="19"/>
  <c r="W296" i="19"/>
  <c r="X296" i="19"/>
  <c r="AA296" i="19"/>
  <c r="AE296" i="19"/>
  <c r="AF296" i="19"/>
  <c r="AI296" i="19"/>
  <c r="AJ296" i="19"/>
  <c r="AM296" i="19"/>
  <c r="AN296" i="19"/>
  <c r="AQ296" i="19"/>
  <c r="AR296" i="19"/>
  <c r="AU296" i="19"/>
  <c r="AV296" i="19"/>
  <c r="AW296" i="19"/>
  <c r="K296" i="19" s="1"/>
  <c r="AZ296" i="19"/>
  <c r="BB296" i="19"/>
  <c r="BD296" i="19"/>
  <c r="I295" i="19"/>
  <c r="J295" i="19"/>
  <c r="P295" i="19"/>
  <c r="S295" i="19"/>
  <c r="T295" i="19"/>
  <c r="W295" i="19"/>
  <c r="X295" i="19"/>
  <c r="AA295" i="19"/>
  <c r="AE295" i="19"/>
  <c r="AF295" i="19"/>
  <c r="AI295" i="19"/>
  <c r="AJ295" i="19"/>
  <c r="AM295" i="19"/>
  <c r="AN295" i="19"/>
  <c r="AQ295" i="19"/>
  <c r="AR295" i="19"/>
  <c r="AU295" i="19"/>
  <c r="AV295" i="19"/>
  <c r="AW295" i="19"/>
  <c r="K295" i="19" s="1"/>
  <c r="AZ295" i="19"/>
  <c r="BB295" i="19"/>
  <c r="BD295" i="19"/>
  <c r="I294" i="19"/>
  <c r="J294" i="19"/>
  <c r="P294" i="19"/>
  <c r="S294" i="19"/>
  <c r="T294" i="19"/>
  <c r="W294" i="19"/>
  <c r="X294" i="19"/>
  <c r="AA294" i="19"/>
  <c r="AE294" i="19"/>
  <c r="AF294" i="19"/>
  <c r="AI294" i="19"/>
  <c r="AJ294" i="19"/>
  <c r="AM294" i="19"/>
  <c r="AN294" i="19"/>
  <c r="AQ294" i="19"/>
  <c r="AR294" i="19"/>
  <c r="AU294" i="19"/>
  <c r="AV294" i="19"/>
  <c r="AW294" i="19"/>
  <c r="K294" i="19" s="1"/>
  <c r="AZ294" i="19"/>
  <c r="BB294" i="19"/>
  <c r="BD294" i="19"/>
  <c r="I293" i="19"/>
  <c r="J293" i="19"/>
  <c r="P293" i="19"/>
  <c r="S293" i="19"/>
  <c r="T293" i="19"/>
  <c r="W293" i="19"/>
  <c r="X293" i="19"/>
  <c r="AA293" i="19"/>
  <c r="AE293" i="19"/>
  <c r="AF293" i="19"/>
  <c r="AI293" i="19"/>
  <c r="AJ293" i="19"/>
  <c r="AM293" i="19"/>
  <c r="AN293" i="19"/>
  <c r="AQ293" i="19"/>
  <c r="AR293" i="19"/>
  <c r="AU293" i="19"/>
  <c r="AV293" i="19"/>
  <c r="AW293" i="19"/>
  <c r="K293" i="19" s="1"/>
  <c r="AZ293" i="19"/>
  <c r="BB293" i="19"/>
  <c r="BD293" i="19"/>
  <c r="I292" i="19"/>
  <c r="J292" i="19"/>
  <c r="P292" i="19"/>
  <c r="S292" i="19"/>
  <c r="T292" i="19"/>
  <c r="W292" i="19"/>
  <c r="X292" i="19"/>
  <c r="AA292" i="19"/>
  <c r="AE292" i="19"/>
  <c r="AF292" i="19"/>
  <c r="AI292" i="19"/>
  <c r="AJ292" i="19"/>
  <c r="AM292" i="19"/>
  <c r="AN292" i="19"/>
  <c r="AQ292" i="19"/>
  <c r="AR292" i="19"/>
  <c r="AU292" i="19"/>
  <c r="AV292" i="19"/>
  <c r="AW292" i="19"/>
  <c r="K292" i="19" s="1"/>
  <c r="AZ292" i="19"/>
  <c r="BB292" i="19"/>
  <c r="BD292" i="19"/>
  <c r="I291" i="19"/>
  <c r="J291" i="19"/>
  <c r="P291" i="19"/>
  <c r="S291" i="19"/>
  <c r="T291" i="19"/>
  <c r="W291" i="19"/>
  <c r="X291" i="19"/>
  <c r="AA291" i="19"/>
  <c r="AE291" i="19"/>
  <c r="AF291" i="19"/>
  <c r="AI291" i="19"/>
  <c r="AJ291" i="19"/>
  <c r="AM291" i="19"/>
  <c r="AN291" i="19"/>
  <c r="AQ291" i="19"/>
  <c r="AR291" i="19"/>
  <c r="AU291" i="19"/>
  <c r="AV291" i="19"/>
  <c r="AW291" i="19"/>
  <c r="K291" i="19" s="1"/>
  <c r="AZ291" i="19"/>
  <c r="BB291" i="19"/>
  <c r="BD291" i="19"/>
  <c r="I290" i="19"/>
  <c r="J290" i="19"/>
  <c r="P290" i="19"/>
  <c r="S290" i="19"/>
  <c r="T290" i="19"/>
  <c r="W290" i="19"/>
  <c r="X290" i="19"/>
  <c r="AA290" i="19"/>
  <c r="AE290" i="19"/>
  <c r="AF290" i="19"/>
  <c r="AI290" i="19"/>
  <c r="AJ290" i="19"/>
  <c r="AM290" i="19"/>
  <c r="AN290" i="19"/>
  <c r="AQ290" i="19"/>
  <c r="AR290" i="19"/>
  <c r="AU290" i="19"/>
  <c r="AV290" i="19"/>
  <c r="AW290" i="19"/>
  <c r="K290" i="19" s="1"/>
  <c r="AZ290" i="19"/>
  <c r="BB290" i="19"/>
  <c r="BD290" i="19"/>
  <c r="I289" i="19"/>
  <c r="J289" i="19"/>
  <c r="P289" i="19"/>
  <c r="S289" i="19"/>
  <c r="T289" i="19"/>
  <c r="W289" i="19"/>
  <c r="X289" i="19"/>
  <c r="AA289" i="19"/>
  <c r="AE289" i="19"/>
  <c r="AF289" i="19"/>
  <c r="AI289" i="19"/>
  <c r="AJ289" i="19"/>
  <c r="AM289" i="19"/>
  <c r="AN289" i="19"/>
  <c r="AQ289" i="19"/>
  <c r="AR289" i="19"/>
  <c r="AU289" i="19"/>
  <c r="AV289" i="19"/>
  <c r="AW289" i="19"/>
  <c r="K289" i="19" s="1"/>
  <c r="AZ289" i="19"/>
  <c r="BB289" i="19"/>
  <c r="BD289" i="19"/>
  <c r="I288" i="19"/>
  <c r="J288" i="19"/>
  <c r="P288" i="19"/>
  <c r="S288" i="19"/>
  <c r="T288" i="19"/>
  <c r="W288" i="19"/>
  <c r="X288" i="19"/>
  <c r="AA288" i="19"/>
  <c r="AE288" i="19"/>
  <c r="AF288" i="19"/>
  <c r="AI288" i="19"/>
  <c r="AJ288" i="19"/>
  <c r="AM288" i="19"/>
  <c r="AN288" i="19"/>
  <c r="AQ288" i="19"/>
  <c r="AR288" i="19"/>
  <c r="AU288" i="19"/>
  <c r="AV288" i="19"/>
  <c r="AW288" i="19"/>
  <c r="K288" i="19" s="1"/>
  <c r="AZ288" i="19"/>
  <c r="BB288" i="19"/>
  <c r="BD288" i="19"/>
  <c r="I287" i="19"/>
  <c r="J287" i="19"/>
  <c r="P287" i="19"/>
  <c r="S287" i="19"/>
  <c r="T287" i="19"/>
  <c r="W287" i="19"/>
  <c r="X287" i="19"/>
  <c r="AA287" i="19"/>
  <c r="AE287" i="19"/>
  <c r="AF287" i="19"/>
  <c r="AI287" i="19"/>
  <c r="AJ287" i="19"/>
  <c r="AM287" i="19"/>
  <c r="AN287" i="19"/>
  <c r="AQ287" i="19"/>
  <c r="AR287" i="19"/>
  <c r="AU287" i="19"/>
  <c r="AV287" i="19"/>
  <c r="AW287" i="19"/>
  <c r="K287" i="19" s="1"/>
  <c r="AZ287" i="19"/>
  <c r="BB287" i="19"/>
  <c r="BD287" i="19"/>
  <c r="I286" i="19"/>
  <c r="J286" i="19"/>
  <c r="P286" i="19"/>
  <c r="S286" i="19"/>
  <c r="T286" i="19"/>
  <c r="W286" i="19"/>
  <c r="X286" i="19"/>
  <c r="AA286" i="19"/>
  <c r="AE286" i="19"/>
  <c r="AF286" i="19"/>
  <c r="AI286" i="19"/>
  <c r="AJ286" i="19"/>
  <c r="AM286" i="19"/>
  <c r="AN286" i="19"/>
  <c r="AQ286" i="19"/>
  <c r="AR286" i="19"/>
  <c r="AU286" i="19"/>
  <c r="AV286" i="19"/>
  <c r="AW286" i="19"/>
  <c r="K286" i="19" s="1"/>
  <c r="AZ286" i="19"/>
  <c r="BB286" i="19"/>
  <c r="BD286" i="19"/>
  <c r="I285" i="19"/>
  <c r="J285" i="19"/>
  <c r="P285" i="19"/>
  <c r="S285" i="19"/>
  <c r="T285" i="19"/>
  <c r="W285" i="19"/>
  <c r="X285" i="19"/>
  <c r="AA285" i="19"/>
  <c r="AE285" i="19"/>
  <c r="AF285" i="19"/>
  <c r="AI285" i="19"/>
  <c r="AJ285" i="19"/>
  <c r="AM285" i="19"/>
  <c r="AN285" i="19"/>
  <c r="AQ285" i="19"/>
  <c r="AR285" i="19"/>
  <c r="AU285" i="19"/>
  <c r="AV285" i="19"/>
  <c r="AW285" i="19"/>
  <c r="K285" i="19" s="1"/>
  <c r="AZ285" i="19"/>
  <c r="BB285" i="19"/>
  <c r="BD285" i="19"/>
  <c r="I284" i="19"/>
  <c r="J284" i="19"/>
  <c r="P284" i="19"/>
  <c r="S284" i="19"/>
  <c r="T284" i="19"/>
  <c r="W284" i="19"/>
  <c r="X284" i="19"/>
  <c r="AA284" i="19"/>
  <c r="AE284" i="19"/>
  <c r="AF284" i="19"/>
  <c r="AI284" i="19"/>
  <c r="AJ284" i="19"/>
  <c r="AM284" i="19"/>
  <c r="AN284" i="19"/>
  <c r="AQ284" i="19"/>
  <c r="AR284" i="19"/>
  <c r="AU284" i="19"/>
  <c r="AV284" i="19"/>
  <c r="AW284" i="19"/>
  <c r="K284" i="19" s="1"/>
  <c r="AZ284" i="19"/>
  <c r="BB284" i="19"/>
  <c r="BD284" i="19"/>
  <c r="I283" i="19"/>
  <c r="J283" i="19"/>
  <c r="K283" i="19"/>
  <c r="P283" i="19"/>
  <c r="S283" i="19"/>
  <c r="T283" i="19"/>
  <c r="W283" i="19"/>
  <c r="X283" i="19"/>
  <c r="AA283" i="19"/>
  <c r="AE283" i="19"/>
  <c r="AF283" i="19"/>
  <c r="AI283" i="19"/>
  <c r="AJ283" i="19"/>
  <c r="AM283" i="19"/>
  <c r="AN283" i="19"/>
  <c r="AQ283" i="19"/>
  <c r="AR283" i="19"/>
  <c r="AU283" i="19"/>
  <c r="AV283" i="19"/>
  <c r="AW283" i="19"/>
  <c r="AZ283" i="19"/>
  <c r="BB283" i="19"/>
  <c r="BD283" i="19"/>
  <c r="I282" i="19"/>
  <c r="J282" i="19"/>
  <c r="P282" i="19"/>
  <c r="S282" i="19"/>
  <c r="T282" i="19"/>
  <c r="W282" i="19"/>
  <c r="X282" i="19"/>
  <c r="AA282" i="19"/>
  <c r="AE282" i="19"/>
  <c r="AF282" i="19"/>
  <c r="AI282" i="19"/>
  <c r="AJ282" i="19"/>
  <c r="AM282" i="19"/>
  <c r="AN282" i="19"/>
  <c r="AQ282" i="19"/>
  <c r="AR282" i="19"/>
  <c r="AU282" i="19"/>
  <c r="AV282" i="19"/>
  <c r="AW282" i="19"/>
  <c r="K282" i="19" s="1"/>
  <c r="AZ282" i="19"/>
  <c r="BB282" i="19"/>
  <c r="BD282" i="19"/>
  <c r="I281" i="19"/>
  <c r="J281" i="19"/>
  <c r="P281" i="19"/>
  <c r="S281" i="19"/>
  <c r="T281" i="19"/>
  <c r="W281" i="19"/>
  <c r="X281" i="19"/>
  <c r="AA281" i="19"/>
  <c r="AE281" i="19"/>
  <c r="AF281" i="19"/>
  <c r="AI281" i="19"/>
  <c r="AJ281" i="19"/>
  <c r="AM281" i="19"/>
  <c r="AN281" i="19"/>
  <c r="AQ281" i="19"/>
  <c r="AR281" i="19"/>
  <c r="AU281" i="19"/>
  <c r="AV281" i="19"/>
  <c r="AW281" i="19"/>
  <c r="K281" i="19" s="1"/>
  <c r="AZ281" i="19"/>
  <c r="BB281" i="19"/>
  <c r="BD281" i="19"/>
  <c r="I280" i="19"/>
  <c r="J280" i="19"/>
  <c r="P280" i="19"/>
  <c r="S280" i="19"/>
  <c r="T280" i="19"/>
  <c r="W280" i="19"/>
  <c r="X280" i="19"/>
  <c r="AA280" i="19"/>
  <c r="AE280" i="19"/>
  <c r="AF280" i="19"/>
  <c r="AI280" i="19"/>
  <c r="AJ280" i="19"/>
  <c r="AM280" i="19"/>
  <c r="AN280" i="19"/>
  <c r="AQ280" i="19"/>
  <c r="AR280" i="19"/>
  <c r="AU280" i="19"/>
  <c r="AV280" i="19"/>
  <c r="AW280" i="19"/>
  <c r="K280" i="19" s="1"/>
  <c r="AZ280" i="19"/>
  <c r="BB280" i="19"/>
  <c r="BD280" i="19"/>
  <c r="I279" i="19"/>
  <c r="J279" i="19"/>
  <c r="P279" i="19"/>
  <c r="S279" i="19"/>
  <c r="T279" i="19"/>
  <c r="W279" i="19"/>
  <c r="X279" i="19"/>
  <c r="AA279" i="19"/>
  <c r="AE279" i="19"/>
  <c r="AF279" i="19"/>
  <c r="AI279" i="19"/>
  <c r="AJ279" i="19"/>
  <c r="AM279" i="19"/>
  <c r="AN279" i="19"/>
  <c r="AQ279" i="19"/>
  <c r="AR279" i="19"/>
  <c r="AU279" i="19"/>
  <c r="AV279" i="19"/>
  <c r="AW279" i="19"/>
  <c r="K279" i="19" s="1"/>
  <c r="AZ279" i="19"/>
  <c r="BB279" i="19"/>
  <c r="BD279" i="19"/>
  <c r="I278" i="19"/>
  <c r="J278" i="19"/>
  <c r="P278" i="19"/>
  <c r="S278" i="19"/>
  <c r="T278" i="19"/>
  <c r="W278" i="19"/>
  <c r="X278" i="19"/>
  <c r="AA278" i="19"/>
  <c r="AE278" i="19"/>
  <c r="AF278" i="19"/>
  <c r="AI278" i="19"/>
  <c r="AJ278" i="19"/>
  <c r="AM278" i="19"/>
  <c r="AN278" i="19"/>
  <c r="AQ278" i="19"/>
  <c r="AR278" i="19"/>
  <c r="AU278" i="19"/>
  <c r="AV278" i="19"/>
  <c r="AW278" i="19"/>
  <c r="K278" i="19" s="1"/>
  <c r="AZ278" i="19"/>
  <c r="BB278" i="19"/>
  <c r="BD278" i="19"/>
  <c r="I277" i="19"/>
  <c r="J277" i="19"/>
  <c r="K277" i="19"/>
  <c r="P277" i="19"/>
  <c r="S277" i="19"/>
  <c r="T277" i="19"/>
  <c r="W277" i="19"/>
  <c r="X277" i="19"/>
  <c r="AA277" i="19"/>
  <c r="AE277" i="19"/>
  <c r="AF277" i="19"/>
  <c r="AI277" i="19"/>
  <c r="AJ277" i="19"/>
  <c r="AM277" i="19"/>
  <c r="AN277" i="19"/>
  <c r="AQ277" i="19"/>
  <c r="AR277" i="19"/>
  <c r="AU277" i="19"/>
  <c r="AV277" i="19"/>
  <c r="AW277" i="19"/>
  <c r="AZ277" i="19"/>
  <c r="BB277" i="19"/>
  <c r="BD277" i="19"/>
  <c r="I276" i="19"/>
  <c r="J276" i="19"/>
  <c r="P276" i="19"/>
  <c r="S276" i="19"/>
  <c r="T276" i="19"/>
  <c r="W276" i="19"/>
  <c r="X276" i="19"/>
  <c r="AA276" i="19"/>
  <c r="AE276" i="19"/>
  <c r="AF276" i="19"/>
  <c r="AI276" i="19"/>
  <c r="AJ276" i="19"/>
  <c r="AM276" i="19"/>
  <c r="AN276" i="19"/>
  <c r="AQ276" i="19"/>
  <c r="AR276" i="19"/>
  <c r="AU276" i="19"/>
  <c r="AV276" i="19"/>
  <c r="AW276" i="19"/>
  <c r="K276" i="19" s="1"/>
  <c r="AZ276" i="19"/>
  <c r="BB276" i="19"/>
  <c r="BD276" i="19"/>
  <c r="I275" i="19"/>
  <c r="J275" i="19"/>
  <c r="P275" i="19"/>
  <c r="S275" i="19"/>
  <c r="T275" i="19"/>
  <c r="W275" i="19"/>
  <c r="X275" i="19"/>
  <c r="AA275" i="19"/>
  <c r="AE275" i="19"/>
  <c r="AF275" i="19"/>
  <c r="AI275" i="19"/>
  <c r="AJ275" i="19"/>
  <c r="AM275" i="19"/>
  <c r="AN275" i="19"/>
  <c r="AQ275" i="19"/>
  <c r="AR275" i="19"/>
  <c r="AU275" i="19"/>
  <c r="AV275" i="19"/>
  <c r="AW275" i="19"/>
  <c r="K275" i="19" s="1"/>
  <c r="AZ275" i="19"/>
  <c r="BB275" i="19"/>
  <c r="BD275" i="19"/>
  <c r="I274" i="19"/>
  <c r="J274" i="19"/>
  <c r="P274" i="19"/>
  <c r="S274" i="19"/>
  <c r="T274" i="19"/>
  <c r="W274" i="19"/>
  <c r="X274" i="19"/>
  <c r="AA274" i="19"/>
  <c r="AE274" i="19"/>
  <c r="AF274" i="19"/>
  <c r="AI274" i="19"/>
  <c r="AJ274" i="19"/>
  <c r="AM274" i="19"/>
  <c r="AN274" i="19"/>
  <c r="AQ274" i="19"/>
  <c r="AR274" i="19"/>
  <c r="AU274" i="19"/>
  <c r="AV274" i="19"/>
  <c r="AW274" i="19"/>
  <c r="K274" i="19" s="1"/>
  <c r="AZ274" i="19"/>
  <c r="BB274" i="19"/>
  <c r="BD274" i="19"/>
  <c r="I273" i="19"/>
  <c r="J273" i="19"/>
  <c r="P273" i="19"/>
  <c r="S273" i="19"/>
  <c r="T273" i="19"/>
  <c r="W273" i="19"/>
  <c r="X273" i="19"/>
  <c r="AA273" i="19"/>
  <c r="AE273" i="19"/>
  <c r="AF273" i="19"/>
  <c r="AI273" i="19"/>
  <c r="AJ273" i="19"/>
  <c r="AM273" i="19"/>
  <c r="AN273" i="19"/>
  <c r="AQ273" i="19"/>
  <c r="AR273" i="19"/>
  <c r="AU273" i="19"/>
  <c r="AV273" i="19"/>
  <c r="AW273" i="19"/>
  <c r="K273" i="19" s="1"/>
  <c r="AZ273" i="19"/>
  <c r="BB273" i="19"/>
  <c r="BD273" i="19"/>
  <c r="I272" i="19"/>
  <c r="J272" i="19"/>
  <c r="P272" i="19"/>
  <c r="S272" i="19"/>
  <c r="T272" i="19"/>
  <c r="W272" i="19"/>
  <c r="X272" i="19"/>
  <c r="AA272" i="19"/>
  <c r="AE272" i="19"/>
  <c r="AF272" i="19"/>
  <c r="AI272" i="19"/>
  <c r="AJ272" i="19"/>
  <c r="AM272" i="19"/>
  <c r="AN272" i="19"/>
  <c r="AQ272" i="19"/>
  <c r="AR272" i="19"/>
  <c r="AU272" i="19"/>
  <c r="AV272" i="19"/>
  <c r="AW272" i="19"/>
  <c r="K272" i="19" s="1"/>
  <c r="AZ272" i="19"/>
  <c r="BB272" i="19"/>
  <c r="BD272" i="19"/>
  <c r="I271" i="19"/>
  <c r="J271" i="19"/>
  <c r="P271" i="19"/>
  <c r="S271" i="19"/>
  <c r="T271" i="19"/>
  <c r="W271" i="19"/>
  <c r="X271" i="19"/>
  <c r="AA271" i="19"/>
  <c r="AE271" i="19"/>
  <c r="AF271" i="19"/>
  <c r="AI271" i="19"/>
  <c r="AJ271" i="19"/>
  <c r="AM271" i="19"/>
  <c r="AN271" i="19"/>
  <c r="AQ271" i="19"/>
  <c r="AR271" i="19"/>
  <c r="AU271" i="19"/>
  <c r="AV271" i="19"/>
  <c r="AW271" i="19"/>
  <c r="K271" i="19" s="1"/>
  <c r="AZ271" i="19"/>
  <c r="BB271" i="19"/>
  <c r="BD271" i="19"/>
  <c r="I270" i="19"/>
  <c r="J270" i="19"/>
  <c r="P270" i="19"/>
  <c r="S270" i="19"/>
  <c r="T270" i="19"/>
  <c r="W270" i="19"/>
  <c r="X270" i="19"/>
  <c r="AA270" i="19"/>
  <c r="AE270" i="19"/>
  <c r="AF270" i="19"/>
  <c r="AI270" i="19"/>
  <c r="AJ270" i="19"/>
  <c r="AM270" i="19"/>
  <c r="AN270" i="19"/>
  <c r="AQ270" i="19"/>
  <c r="AR270" i="19"/>
  <c r="AU270" i="19"/>
  <c r="AV270" i="19"/>
  <c r="AW270" i="19"/>
  <c r="K270" i="19" s="1"/>
  <c r="AZ270" i="19"/>
  <c r="BB270" i="19"/>
  <c r="BD270" i="19"/>
  <c r="I269" i="19"/>
  <c r="J269" i="19"/>
  <c r="P269" i="19"/>
  <c r="S269" i="19"/>
  <c r="T269" i="19"/>
  <c r="W269" i="19"/>
  <c r="X269" i="19"/>
  <c r="AA269" i="19"/>
  <c r="AE269" i="19"/>
  <c r="AF269" i="19"/>
  <c r="AI269" i="19"/>
  <c r="AJ269" i="19"/>
  <c r="AM269" i="19"/>
  <c r="AN269" i="19"/>
  <c r="AQ269" i="19"/>
  <c r="AR269" i="19"/>
  <c r="AU269" i="19"/>
  <c r="AV269" i="19"/>
  <c r="AW269" i="19"/>
  <c r="K269" i="19" s="1"/>
  <c r="AZ269" i="19"/>
  <c r="BB269" i="19"/>
  <c r="BD269" i="19"/>
  <c r="I268" i="19"/>
  <c r="J268" i="19"/>
  <c r="P268" i="19"/>
  <c r="S268" i="19"/>
  <c r="T268" i="19"/>
  <c r="W268" i="19"/>
  <c r="X268" i="19"/>
  <c r="AA268" i="19"/>
  <c r="AE268" i="19"/>
  <c r="AF268" i="19"/>
  <c r="AI268" i="19"/>
  <c r="AJ268" i="19"/>
  <c r="AM268" i="19"/>
  <c r="AN268" i="19"/>
  <c r="AQ268" i="19"/>
  <c r="AR268" i="19"/>
  <c r="AU268" i="19"/>
  <c r="AV268" i="19"/>
  <c r="AW268" i="19"/>
  <c r="K268" i="19" s="1"/>
  <c r="AZ268" i="19"/>
  <c r="BB268" i="19"/>
  <c r="BD268" i="19"/>
  <c r="I267" i="19"/>
  <c r="J267" i="19"/>
  <c r="P267" i="19"/>
  <c r="S267" i="19"/>
  <c r="T267" i="19"/>
  <c r="W267" i="19"/>
  <c r="X267" i="19"/>
  <c r="AA267" i="19"/>
  <c r="AE267" i="19"/>
  <c r="AF267" i="19"/>
  <c r="AI267" i="19"/>
  <c r="AJ267" i="19"/>
  <c r="AM267" i="19"/>
  <c r="AN267" i="19"/>
  <c r="AQ267" i="19"/>
  <c r="AR267" i="19"/>
  <c r="AU267" i="19"/>
  <c r="AV267" i="19"/>
  <c r="AW267" i="19"/>
  <c r="K267" i="19" s="1"/>
  <c r="AZ267" i="19"/>
  <c r="BB267" i="19"/>
  <c r="BD267" i="19"/>
  <c r="I266" i="19"/>
  <c r="J266" i="19"/>
  <c r="P266" i="19"/>
  <c r="S266" i="19"/>
  <c r="T266" i="19"/>
  <c r="W266" i="19"/>
  <c r="X266" i="19"/>
  <c r="AA266" i="19"/>
  <c r="AE266" i="19"/>
  <c r="AF266" i="19"/>
  <c r="AI266" i="19"/>
  <c r="AJ266" i="19"/>
  <c r="AM266" i="19"/>
  <c r="AN266" i="19"/>
  <c r="AQ266" i="19"/>
  <c r="AR266" i="19"/>
  <c r="AU266" i="19"/>
  <c r="AV266" i="19"/>
  <c r="AW266" i="19"/>
  <c r="K266" i="19" s="1"/>
  <c r="AZ266" i="19"/>
  <c r="BB266" i="19"/>
  <c r="BD266" i="19"/>
  <c r="I265" i="19"/>
  <c r="J265" i="19"/>
  <c r="P265" i="19"/>
  <c r="S265" i="19"/>
  <c r="T265" i="19"/>
  <c r="W265" i="19"/>
  <c r="X265" i="19"/>
  <c r="AA265" i="19"/>
  <c r="AE265" i="19"/>
  <c r="AF265" i="19"/>
  <c r="AI265" i="19"/>
  <c r="AJ265" i="19"/>
  <c r="AM265" i="19"/>
  <c r="AN265" i="19"/>
  <c r="AQ265" i="19"/>
  <c r="AR265" i="19"/>
  <c r="AU265" i="19"/>
  <c r="AV265" i="19"/>
  <c r="AW265" i="19"/>
  <c r="K265" i="19" s="1"/>
  <c r="AZ265" i="19"/>
  <c r="BB265" i="19"/>
  <c r="BD265" i="19"/>
  <c r="I264" i="19"/>
  <c r="J264" i="19"/>
  <c r="P264" i="19"/>
  <c r="S264" i="19"/>
  <c r="T264" i="19"/>
  <c r="W264" i="19"/>
  <c r="X264" i="19"/>
  <c r="AA264" i="19"/>
  <c r="AE264" i="19"/>
  <c r="AF264" i="19"/>
  <c r="AI264" i="19"/>
  <c r="AJ264" i="19"/>
  <c r="AM264" i="19"/>
  <c r="AN264" i="19"/>
  <c r="AQ264" i="19"/>
  <c r="AR264" i="19"/>
  <c r="AU264" i="19"/>
  <c r="AV264" i="19"/>
  <c r="AW264" i="19"/>
  <c r="K264" i="19" s="1"/>
  <c r="AZ264" i="19"/>
  <c r="BB264" i="19"/>
  <c r="BD264" i="19"/>
  <c r="I263" i="19"/>
  <c r="J263" i="19"/>
  <c r="P263" i="19"/>
  <c r="S263" i="19"/>
  <c r="T263" i="19"/>
  <c r="W263" i="19"/>
  <c r="X263" i="19"/>
  <c r="AA263" i="19"/>
  <c r="AE263" i="19"/>
  <c r="AF263" i="19"/>
  <c r="AI263" i="19"/>
  <c r="AJ263" i="19"/>
  <c r="AM263" i="19"/>
  <c r="AN263" i="19"/>
  <c r="AQ263" i="19"/>
  <c r="AR263" i="19"/>
  <c r="AU263" i="19"/>
  <c r="AV263" i="19"/>
  <c r="AW263" i="19"/>
  <c r="K263" i="19" s="1"/>
  <c r="AZ263" i="19"/>
  <c r="BB263" i="19"/>
  <c r="BD263" i="19"/>
  <c r="I262" i="19"/>
  <c r="J262" i="19"/>
  <c r="P262" i="19"/>
  <c r="S262" i="19"/>
  <c r="T262" i="19"/>
  <c r="W262" i="19"/>
  <c r="X262" i="19"/>
  <c r="AA262" i="19"/>
  <c r="AE262" i="19"/>
  <c r="AF262" i="19"/>
  <c r="AI262" i="19"/>
  <c r="AJ262" i="19"/>
  <c r="AM262" i="19"/>
  <c r="AN262" i="19"/>
  <c r="AQ262" i="19"/>
  <c r="AR262" i="19"/>
  <c r="AU262" i="19"/>
  <c r="AV262" i="19"/>
  <c r="AW262" i="19"/>
  <c r="K262" i="19" s="1"/>
  <c r="AZ262" i="19"/>
  <c r="BB262" i="19"/>
  <c r="BD262" i="19"/>
  <c r="I261" i="19"/>
  <c r="J261" i="19"/>
  <c r="P261" i="19"/>
  <c r="S261" i="19"/>
  <c r="T261" i="19"/>
  <c r="W261" i="19"/>
  <c r="X261" i="19"/>
  <c r="AA261" i="19"/>
  <c r="AE261" i="19"/>
  <c r="AF261" i="19"/>
  <c r="AI261" i="19"/>
  <c r="AJ261" i="19"/>
  <c r="AM261" i="19"/>
  <c r="AN261" i="19"/>
  <c r="AQ261" i="19"/>
  <c r="AR261" i="19"/>
  <c r="AU261" i="19"/>
  <c r="AV261" i="19"/>
  <c r="AW261" i="19"/>
  <c r="K261" i="19" s="1"/>
  <c r="AZ261" i="19"/>
  <c r="BB261" i="19"/>
  <c r="BD261" i="19"/>
  <c r="I260" i="19"/>
  <c r="J260" i="19"/>
  <c r="P260" i="19"/>
  <c r="S260" i="19"/>
  <c r="T260" i="19"/>
  <c r="W260" i="19"/>
  <c r="X260" i="19"/>
  <c r="AA260" i="19"/>
  <c r="AE260" i="19"/>
  <c r="AF260" i="19"/>
  <c r="AI260" i="19"/>
  <c r="AJ260" i="19"/>
  <c r="AM260" i="19"/>
  <c r="AN260" i="19"/>
  <c r="AQ260" i="19"/>
  <c r="AR260" i="19"/>
  <c r="AU260" i="19"/>
  <c r="AV260" i="19"/>
  <c r="AW260" i="19"/>
  <c r="K260" i="19" s="1"/>
  <c r="AZ260" i="19"/>
  <c r="BB260" i="19"/>
  <c r="BD260" i="19"/>
  <c r="I259" i="19"/>
  <c r="J259" i="19"/>
  <c r="P259" i="19"/>
  <c r="S259" i="19"/>
  <c r="T259" i="19"/>
  <c r="W259" i="19"/>
  <c r="X259" i="19"/>
  <c r="AA259" i="19"/>
  <c r="AE259" i="19"/>
  <c r="AF259" i="19"/>
  <c r="AI259" i="19"/>
  <c r="AJ259" i="19"/>
  <c r="AM259" i="19"/>
  <c r="AN259" i="19"/>
  <c r="AQ259" i="19"/>
  <c r="AR259" i="19"/>
  <c r="AU259" i="19"/>
  <c r="AV259" i="19"/>
  <c r="AW259" i="19"/>
  <c r="K259" i="19" s="1"/>
  <c r="AZ259" i="19"/>
  <c r="BB259" i="19"/>
  <c r="BD259" i="19"/>
  <c r="I258" i="19"/>
  <c r="J258" i="19"/>
  <c r="P258" i="19"/>
  <c r="S258" i="19"/>
  <c r="T258" i="19"/>
  <c r="W258" i="19"/>
  <c r="X258" i="19"/>
  <c r="AA258" i="19"/>
  <c r="AE258" i="19"/>
  <c r="AF258" i="19"/>
  <c r="AI258" i="19"/>
  <c r="AJ258" i="19"/>
  <c r="AM258" i="19"/>
  <c r="AN258" i="19"/>
  <c r="AQ258" i="19"/>
  <c r="AR258" i="19"/>
  <c r="AU258" i="19"/>
  <c r="AV258" i="19"/>
  <c r="AW258" i="19"/>
  <c r="K258" i="19" s="1"/>
  <c r="AZ258" i="19"/>
  <c r="BB258" i="19"/>
  <c r="BD258" i="19"/>
  <c r="I257" i="19"/>
  <c r="J257" i="19"/>
  <c r="P257" i="19"/>
  <c r="S257" i="19"/>
  <c r="T257" i="19"/>
  <c r="W257" i="19"/>
  <c r="X257" i="19"/>
  <c r="AA257" i="19"/>
  <c r="AE257" i="19"/>
  <c r="AF257" i="19"/>
  <c r="AI257" i="19"/>
  <c r="AJ257" i="19"/>
  <c r="AM257" i="19"/>
  <c r="AN257" i="19"/>
  <c r="AQ257" i="19"/>
  <c r="AR257" i="19"/>
  <c r="AU257" i="19"/>
  <c r="AV257" i="19"/>
  <c r="AW257" i="19"/>
  <c r="K257" i="19" s="1"/>
  <c r="AZ257" i="19"/>
  <c r="BB257" i="19"/>
  <c r="BD257" i="19"/>
  <c r="I256" i="19"/>
  <c r="J256" i="19"/>
  <c r="P256" i="19"/>
  <c r="S256" i="19"/>
  <c r="T256" i="19"/>
  <c r="W256" i="19"/>
  <c r="X256" i="19"/>
  <c r="AA256" i="19"/>
  <c r="AE256" i="19"/>
  <c r="AF256" i="19"/>
  <c r="AI256" i="19"/>
  <c r="AJ256" i="19"/>
  <c r="AM256" i="19"/>
  <c r="AN256" i="19"/>
  <c r="AQ256" i="19"/>
  <c r="AR256" i="19"/>
  <c r="AU256" i="19"/>
  <c r="AV256" i="19"/>
  <c r="AW256" i="19"/>
  <c r="K256" i="19" s="1"/>
  <c r="AZ256" i="19"/>
  <c r="BB256" i="19"/>
  <c r="BD256" i="19"/>
  <c r="I255" i="19"/>
  <c r="J255" i="19"/>
  <c r="P255" i="19"/>
  <c r="S255" i="19"/>
  <c r="T255" i="19"/>
  <c r="W255" i="19"/>
  <c r="X255" i="19"/>
  <c r="AA255" i="19"/>
  <c r="AE255" i="19"/>
  <c r="AF255" i="19"/>
  <c r="AI255" i="19"/>
  <c r="AJ255" i="19"/>
  <c r="AM255" i="19"/>
  <c r="AN255" i="19"/>
  <c r="AQ255" i="19"/>
  <c r="AR255" i="19"/>
  <c r="AU255" i="19"/>
  <c r="AV255" i="19"/>
  <c r="AW255" i="19"/>
  <c r="K255" i="19" s="1"/>
  <c r="AZ255" i="19"/>
  <c r="BB255" i="19"/>
  <c r="BD255" i="19"/>
  <c r="I254" i="19"/>
  <c r="J254" i="19"/>
  <c r="P254" i="19"/>
  <c r="S254" i="19"/>
  <c r="T254" i="19"/>
  <c r="W254" i="19"/>
  <c r="X254" i="19"/>
  <c r="AA254" i="19"/>
  <c r="AE254" i="19"/>
  <c r="AF254" i="19"/>
  <c r="AI254" i="19"/>
  <c r="AJ254" i="19"/>
  <c r="AM254" i="19"/>
  <c r="AN254" i="19"/>
  <c r="AQ254" i="19"/>
  <c r="AR254" i="19"/>
  <c r="AU254" i="19"/>
  <c r="AV254" i="19"/>
  <c r="AW254" i="19"/>
  <c r="K254" i="19" s="1"/>
  <c r="AZ254" i="19"/>
  <c r="BB254" i="19"/>
  <c r="BD254" i="19"/>
  <c r="I253" i="19"/>
  <c r="J253" i="19"/>
  <c r="P253" i="19"/>
  <c r="S253" i="19"/>
  <c r="T253" i="19"/>
  <c r="W253" i="19"/>
  <c r="X253" i="19"/>
  <c r="AA253" i="19"/>
  <c r="AE253" i="19"/>
  <c r="AF253" i="19"/>
  <c r="AI253" i="19"/>
  <c r="AJ253" i="19"/>
  <c r="AM253" i="19"/>
  <c r="AN253" i="19"/>
  <c r="AQ253" i="19"/>
  <c r="AR253" i="19"/>
  <c r="AU253" i="19"/>
  <c r="AV253" i="19"/>
  <c r="AW253" i="19"/>
  <c r="K253" i="19" s="1"/>
  <c r="AZ253" i="19"/>
  <c r="BB253" i="19"/>
  <c r="BD253" i="19"/>
  <c r="I252" i="19"/>
  <c r="J252" i="19"/>
  <c r="P252" i="19"/>
  <c r="S252" i="19"/>
  <c r="T252" i="19"/>
  <c r="W252" i="19"/>
  <c r="X252" i="19"/>
  <c r="AA252" i="19"/>
  <c r="AE252" i="19"/>
  <c r="AF252" i="19"/>
  <c r="AI252" i="19"/>
  <c r="AJ252" i="19"/>
  <c r="AM252" i="19"/>
  <c r="AN252" i="19"/>
  <c r="AQ252" i="19"/>
  <c r="AR252" i="19"/>
  <c r="AU252" i="19"/>
  <c r="AV252" i="19"/>
  <c r="AW252" i="19"/>
  <c r="K252" i="19" s="1"/>
  <c r="AZ252" i="19"/>
  <c r="BB252" i="19"/>
  <c r="BD252" i="19"/>
  <c r="I251" i="19"/>
  <c r="J251" i="19"/>
  <c r="P251" i="19"/>
  <c r="S251" i="19"/>
  <c r="T251" i="19"/>
  <c r="W251" i="19"/>
  <c r="X251" i="19"/>
  <c r="AA251" i="19"/>
  <c r="AE251" i="19"/>
  <c r="AF251" i="19"/>
  <c r="AI251" i="19"/>
  <c r="AJ251" i="19"/>
  <c r="AM251" i="19"/>
  <c r="AN251" i="19"/>
  <c r="AQ251" i="19"/>
  <c r="AR251" i="19"/>
  <c r="AU251" i="19"/>
  <c r="AV251" i="19"/>
  <c r="AW251" i="19"/>
  <c r="K251" i="19" s="1"/>
  <c r="AZ251" i="19"/>
  <c r="BB251" i="19"/>
  <c r="BD251" i="19"/>
  <c r="I250" i="19"/>
  <c r="J250" i="19"/>
  <c r="P250" i="19"/>
  <c r="S250" i="19"/>
  <c r="T250" i="19"/>
  <c r="W250" i="19"/>
  <c r="X250" i="19"/>
  <c r="AA250" i="19"/>
  <c r="AE250" i="19"/>
  <c r="AF250" i="19"/>
  <c r="AI250" i="19"/>
  <c r="AJ250" i="19"/>
  <c r="AM250" i="19"/>
  <c r="AN250" i="19"/>
  <c r="AQ250" i="19"/>
  <c r="AR250" i="19"/>
  <c r="AU250" i="19"/>
  <c r="AV250" i="19"/>
  <c r="AW250" i="19"/>
  <c r="K250" i="19" s="1"/>
  <c r="AZ250" i="19"/>
  <c r="BB250" i="19"/>
  <c r="BD250" i="19"/>
  <c r="I249" i="19"/>
  <c r="J249" i="19"/>
  <c r="P249" i="19"/>
  <c r="S249" i="19"/>
  <c r="T249" i="19"/>
  <c r="W249" i="19"/>
  <c r="X249" i="19"/>
  <c r="AA249" i="19"/>
  <c r="AE249" i="19"/>
  <c r="AF249" i="19"/>
  <c r="AI249" i="19"/>
  <c r="AJ249" i="19"/>
  <c r="AM249" i="19"/>
  <c r="AN249" i="19"/>
  <c r="AQ249" i="19"/>
  <c r="AR249" i="19"/>
  <c r="AU249" i="19"/>
  <c r="AV249" i="19"/>
  <c r="AW249" i="19"/>
  <c r="K249" i="19" s="1"/>
  <c r="AZ249" i="19"/>
  <c r="BB249" i="19"/>
  <c r="BD249" i="19"/>
  <c r="I248" i="19"/>
  <c r="J248" i="19"/>
  <c r="P248" i="19"/>
  <c r="S248" i="19"/>
  <c r="T248" i="19"/>
  <c r="W248" i="19"/>
  <c r="X248" i="19"/>
  <c r="AA248" i="19"/>
  <c r="AE248" i="19"/>
  <c r="AF248" i="19"/>
  <c r="AI248" i="19"/>
  <c r="AJ248" i="19"/>
  <c r="AM248" i="19"/>
  <c r="AN248" i="19"/>
  <c r="AQ248" i="19"/>
  <c r="AR248" i="19"/>
  <c r="AU248" i="19"/>
  <c r="AV248" i="19"/>
  <c r="AW248" i="19"/>
  <c r="K248" i="19" s="1"/>
  <c r="AZ248" i="19"/>
  <c r="BB248" i="19"/>
  <c r="BD248" i="19"/>
  <c r="I247" i="19"/>
  <c r="J247" i="19"/>
  <c r="P247" i="19"/>
  <c r="S247" i="19"/>
  <c r="T247" i="19"/>
  <c r="W247" i="19"/>
  <c r="X247" i="19"/>
  <c r="AA247" i="19"/>
  <c r="AE247" i="19"/>
  <c r="AF247" i="19"/>
  <c r="AI247" i="19"/>
  <c r="AJ247" i="19"/>
  <c r="AM247" i="19"/>
  <c r="AN247" i="19"/>
  <c r="AQ247" i="19"/>
  <c r="AR247" i="19"/>
  <c r="AU247" i="19"/>
  <c r="AV247" i="19"/>
  <c r="AW247" i="19"/>
  <c r="K247" i="19" s="1"/>
  <c r="AZ247" i="19"/>
  <c r="BB247" i="19"/>
  <c r="BD247" i="19"/>
  <c r="I246" i="19"/>
  <c r="J246" i="19"/>
  <c r="P246" i="19"/>
  <c r="S246" i="19"/>
  <c r="T246" i="19"/>
  <c r="W246" i="19"/>
  <c r="X246" i="19"/>
  <c r="AA246" i="19"/>
  <c r="AE246" i="19"/>
  <c r="AF246" i="19"/>
  <c r="AI246" i="19"/>
  <c r="AJ246" i="19"/>
  <c r="AM246" i="19"/>
  <c r="AN246" i="19"/>
  <c r="AQ246" i="19"/>
  <c r="AR246" i="19"/>
  <c r="AU246" i="19"/>
  <c r="AV246" i="19"/>
  <c r="AW246" i="19"/>
  <c r="K246" i="19" s="1"/>
  <c r="AZ246" i="19"/>
  <c r="BB246" i="19"/>
  <c r="BD246" i="19"/>
  <c r="I245" i="19"/>
  <c r="J245" i="19"/>
  <c r="P245" i="19"/>
  <c r="S245" i="19"/>
  <c r="T245" i="19"/>
  <c r="W245" i="19"/>
  <c r="X245" i="19"/>
  <c r="AA245" i="19"/>
  <c r="AE245" i="19"/>
  <c r="AF245" i="19"/>
  <c r="AI245" i="19"/>
  <c r="AJ245" i="19"/>
  <c r="AM245" i="19"/>
  <c r="AN245" i="19"/>
  <c r="AQ245" i="19"/>
  <c r="AR245" i="19"/>
  <c r="AU245" i="19"/>
  <c r="AV245" i="19"/>
  <c r="AW245" i="19"/>
  <c r="K245" i="19" s="1"/>
  <c r="AZ245" i="19"/>
  <c r="BB245" i="19"/>
  <c r="BD245" i="19"/>
  <c r="I244" i="19"/>
  <c r="J244" i="19"/>
  <c r="P244" i="19"/>
  <c r="S244" i="19"/>
  <c r="T244" i="19"/>
  <c r="W244" i="19"/>
  <c r="X244" i="19"/>
  <c r="AA244" i="19"/>
  <c r="AE244" i="19"/>
  <c r="AF244" i="19"/>
  <c r="AI244" i="19"/>
  <c r="AJ244" i="19"/>
  <c r="AM244" i="19"/>
  <c r="AN244" i="19"/>
  <c r="AQ244" i="19"/>
  <c r="AR244" i="19"/>
  <c r="AU244" i="19"/>
  <c r="AV244" i="19"/>
  <c r="AW244" i="19"/>
  <c r="K244" i="19" s="1"/>
  <c r="AZ244" i="19"/>
  <c r="BB244" i="19"/>
  <c r="BD244" i="19"/>
  <c r="I243" i="19"/>
  <c r="J243" i="19"/>
  <c r="P243" i="19"/>
  <c r="S243" i="19"/>
  <c r="T243" i="19"/>
  <c r="W243" i="19"/>
  <c r="X243" i="19"/>
  <c r="AA243" i="19"/>
  <c r="AE243" i="19"/>
  <c r="AF243" i="19"/>
  <c r="AI243" i="19"/>
  <c r="AJ243" i="19"/>
  <c r="AM243" i="19"/>
  <c r="AN243" i="19"/>
  <c r="AQ243" i="19"/>
  <c r="AR243" i="19"/>
  <c r="AU243" i="19"/>
  <c r="AV243" i="19"/>
  <c r="AW243" i="19"/>
  <c r="K243" i="19" s="1"/>
  <c r="AZ243" i="19"/>
  <c r="BB243" i="19"/>
  <c r="BD243" i="19"/>
  <c r="I242" i="19"/>
  <c r="J242" i="19"/>
  <c r="P242" i="19"/>
  <c r="S242" i="19"/>
  <c r="T242" i="19"/>
  <c r="W242" i="19"/>
  <c r="X242" i="19"/>
  <c r="AA242" i="19"/>
  <c r="AE242" i="19"/>
  <c r="AF242" i="19"/>
  <c r="AI242" i="19"/>
  <c r="AJ242" i="19"/>
  <c r="AM242" i="19"/>
  <c r="AN242" i="19"/>
  <c r="AQ242" i="19"/>
  <c r="AR242" i="19"/>
  <c r="AU242" i="19"/>
  <c r="AV242" i="19"/>
  <c r="AW242" i="19"/>
  <c r="K242" i="19" s="1"/>
  <c r="AZ242" i="19"/>
  <c r="BB242" i="19"/>
  <c r="BD242" i="19"/>
  <c r="I241" i="19"/>
  <c r="J241" i="19"/>
  <c r="P241" i="19"/>
  <c r="S241" i="19"/>
  <c r="T241" i="19"/>
  <c r="W241" i="19"/>
  <c r="X241" i="19"/>
  <c r="AA241" i="19"/>
  <c r="AE241" i="19"/>
  <c r="AF241" i="19"/>
  <c r="AI241" i="19"/>
  <c r="AJ241" i="19"/>
  <c r="AM241" i="19"/>
  <c r="AN241" i="19"/>
  <c r="AQ241" i="19"/>
  <c r="AR241" i="19"/>
  <c r="AU241" i="19"/>
  <c r="AV241" i="19"/>
  <c r="AW241" i="19"/>
  <c r="K241" i="19" s="1"/>
  <c r="AZ241" i="19"/>
  <c r="BB241" i="19"/>
  <c r="BD241" i="19"/>
  <c r="I240" i="19"/>
  <c r="J240" i="19"/>
  <c r="P240" i="19"/>
  <c r="S240" i="19"/>
  <c r="T240" i="19"/>
  <c r="W240" i="19"/>
  <c r="X240" i="19"/>
  <c r="AA240" i="19"/>
  <c r="AE240" i="19"/>
  <c r="AF240" i="19"/>
  <c r="AI240" i="19"/>
  <c r="AJ240" i="19"/>
  <c r="AM240" i="19"/>
  <c r="AN240" i="19"/>
  <c r="AQ240" i="19"/>
  <c r="AR240" i="19"/>
  <c r="AU240" i="19"/>
  <c r="AV240" i="19"/>
  <c r="AW240" i="19"/>
  <c r="K240" i="19" s="1"/>
  <c r="AZ240" i="19"/>
  <c r="BB240" i="19"/>
  <c r="BD240" i="19"/>
  <c r="I239" i="19"/>
  <c r="J239" i="19"/>
  <c r="P239" i="19"/>
  <c r="S239" i="19"/>
  <c r="T239" i="19"/>
  <c r="W239" i="19"/>
  <c r="X239" i="19"/>
  <c r="AA239" i="19"/>
  <c r="AE239" i="19"/>
  <c r="AF239" i="19"/>
  <c r="AI239" i="19"/>
  <c r="AJ239" i="19"/>
  <c r="AM239" i="19"/>
  <c r="AN239" i="19"/>
  <c r="AQ239" i="19"/>
  <c r="AR239" i="19"/>
  <c r="AU239" i="19"/>
  <c r="AV239" i="19"/>
  <c r="AW239" i="19"/>
  <c r="K239" i="19" s="1"/>
  <c r="AZ239" i="19"/>
  <c r="BB239" i="19"/>
  <c r="BD239" i="19"/>
  <c r="I238" i="19"/>
  <c r="J238" i="19"/>
  <c r="P238" i="19"/>
  <c r="S238" i="19"/>
  <c r="T238" i="19"/>
  <c r="W238" i="19"/>
  <c r="X238" i="19"/>
  <c r="AA238" i="19"/>
  <c r="AE238" i="19"/>
  <c r="AF238" i="19"/>
  <c r="AI238" i="19"/>
  <c r="AJ238" i="19"/>
  <c r="AM238" i="19"/>
  <c r="AN238" i="19"/>
  <c r="AQ238" i="19"/>
  <c r="AR238" i="19"/>
  <c r="AU238" i="19"/>
  <c r="AV238" i="19"/>
  <c r="AW238" i="19"/>
  <c r="K238" i="19" s="1"/>
  <c r="AZ238" i="19"/>
  <c r="BB238" i="19"/>
  <c r="BD238" i="19"/>
  <c r="I237" i="19"/>
  <c r="J237" i="19"/>
  <c r="P237" i="19"/>
  <c r="S237" i="19"/>
  <c r="T237" i="19"/>
  <c r="W237" i="19"/>
  <c r="X237" i="19"/>
  <c r="AA237" i="19"/>
  <c r="AE237" i="19"/>
  <c r="AF237" i="19"/>
  <c r="AI237" i="19"/>
  <c r="AJ237" i="19"/>
  <c r="AM237" i="19"/>
  <c r="AN237" i="19"/>
  <c r="AQ237" i="19"/>
  <c r="AR237" i="19"/>
  <c r="AU237" i="19"/>
  <c r="AV237" i="19"/>
  <c r="AW237" i="19"/>
  <c r="K237" i="19" s="1"/>
  <c r="AZ237" i="19"/>
  <c r="BB237" i="19"/>
  <c r="BD237" i="19"/>
  <c r="I236" i="19"/>
  <c r="J236" i="19"/>
  <c r="P236" i="19"/>
  <c r="S236" i="19"/>
  <c r="T236" i="19"/>
  <c r="W236" i="19"/>
  <c r="X236" i="19"/>
  <c r="AA236" i="19"/>
  <c r="AE236" i="19"/>
  <c r="AF236" i="19"/>
  <c r="AI236" i="19"/>
  <c r="AJ236" i="19"/>
  <c r="AM236" i="19"/>
  <c r="AN236" i="19"/>
  <c r="AQ236" i="19"/>
  <c r="AR236" i="19"/>
  <c r="AU236" i="19"/>
  <c r="AV236" i="19"/>
  <c r="AW236" i="19"/>
  <c r="K236" i="19" s="1"/>
  <c r="AZ236" i="19"/>
  <c r="BB236" i="19"/>
  <c r="BD236" i="19"/>
  <c r="I235" i="19"/>
  <c r="J235" i="19"/>
  <c r="P235" i="19"/>
  <c r="S235" i="19"/>
  <c r="T235" i="19"/>
  <c r="W235" i="19"/>
  <c r="X235" i="19"/>
  <c r="AA235" i="19"/>
  <c r="AE235" i="19"/>
  <c r="AF235" i="19"/>
  <c r="AI235" i="19"/>
  <c r="AJ235" i="19"/>
  <c r="AM235" i="19"/>
  <c r="AN235" i="19"/>
  <c r="AQ235" i="19"/>
  <c r="AR235" i="19"/>
  <c r="AU235" i="19"/>
  <c r="AV235" i="19"/>
  <c r="AW235" i="19"/>
  <c r="K235" i="19" s="1"/>
  <c r="AZ235" i="19"/>
  <c r="BB235" i="19"/>
  <c r="BD235" i="19"/>
  <c r="I234" i="19"/>
  <c r="J234" i="19"/>
  <c r="P234" i="19"/>
  <c r="S234" i="19"/>
  <c r="T234" i="19"/>
  <c r="W234" i="19"/>
  <c r="X234" i="19"/>
  <c r="AA234" i="19"/>
  <c r="AE234" i="19"/>
  <c r="AF234" i="19"/>
  <c r="AI234" i="19"/>
  <c r="AJ234" i="19"/>
  <c r="AM234" i="19"/>
  <c r="AN234" i="19"/>
  <c r="AQ234" i="19"/>
  <c r="AR234" i="19"/>
  <c r="AU234" i="19"/>
  <c r="AV234" i="19"/>
  <c r="AW234" i="19"/>
  <c r="K234" i="19" s="1"/>
  <c r="AZ234" i="19"/>
  <c r="BB234" i="19"/>
  <c r="BD234" i="19"/>
  <c r="I233" i="19"/>
  <c r="J233" i="19"/>
  <c r="P233" i="19"/>
  <c r="S233" i="19"/>
  <c r="T233" i="19"/>
  <c r="W233" i="19"/>
  <c r="X233" i="19"/>
  <c r="AA233" i="19"/>
  <c r="AE233" i="19"/>
  <c r="AF233" i="19"/>
  <c r="AI233" i="19"/>
  <c r="AJ233" i="19"/>
  <c r="AM233" i="19"/>
  <c r="AN233" i="19"/>
  <c r="AQ233" i="19"/>
  <c r="AR233" i="19"/>
  <c r="AU233" i="19"/>
  <c r="AV233" i="19"/>
  <c r="AW233" i="19"/>
  <c r="K233" i="19" s="1"/>
  <c r="AZ233" i="19"/>
  <c r="BB233" i="19"/>
  <c r="BD233" i="19"/>
  <c r="I232" i="19"/>
  <c r="J232" i="19"/>
  <c r="P232" i="19"/>
  <c r="S232" i="19"/>
  <c r="T232" i="19"/>
  <c r="W232" i="19"/>
  <c r="X232" i="19"/>
  <c r="AA232" i="19"/>
  <c r="AE232" i="19"/>
  <c r="AF232" i="19"/>
  <c r="AI232" i="19"/>
  <c r="AJ232" i="19"/>
  <c r="AM232" i="19"/>
  <c r="AN232" i="19"/>
  <c r="AQ232" i="19"/>
  <c r="AR232" i="19"/>
  <c r="AU232" i="19"/>
  <c r="AV232" i="19"/>
  <c r="AW232" i="19"/>
  <c r="K232" i="19" s="1"/>
  <c r="AZ232" i="19"/>
  <c r="BB232" i="19"/>
  <c r="BD232" i="19"/>
  <c r="I231" i="19"/>
  <c r="J231" i="19"/>
  <c r="P231" i="19"/>
  <c r="S231" i="19"/>
  <c r="T231" i="19"/>
  <c r="W231" i="19"/>
  <c r="X231" i="19"/>
  <c r="AA231" i="19"/>
  <c r="AE231" i="19"/>
  <c r="AF231" i="19"/>
  <c r="AI231" i="19"/>
  <c r="AJ231" i="19"/>
  <c r="AM231" i="19"/>
  <c r="AN231" i="19"/>
  <c r="AQ231" i="19"/>
  <c r="AR231" i="19"/>
  <c r="AU231" i="19"/>
  <c r="AV231" i="19"/>
  <c r="AW231" i="19"/>
  <c r="K231" i="19" s="1"/>
  <c r="AZ231" i="19"/>
  <c r="BB231" i="19"/>
  <c r="BD231" i="19"/>
  <c r="I230" i="19"/>
  <c r="J230" i="19"/>
  <c r="P230" i="19"/>
  <c r="S230" i="19"/>
  <c r="T230" i="19"/>
  <c r="W230" i="19"/>
  <c r="X230" i="19"/>
  <c r="AA230" i="19"/>
  <c r="AE230" i="19"/>
  <c r="AF230" i="19"/>
  <c r="AI230" i="19"/>
  <c r="AJ230" i="19"/>
  <c r="AM230" i="19"/>
  <c r="AN230" i="19"/>
  <c r="AQ230" i="19"/>
  <c r="AR230" i="19"/>
  <c r="AU230" i="19"/>
  <c r="AV230" i="19"/>
  <c r="AW230" i="19"/>
  <c r="K230" i="19" s="1"/>
  <c r="AZ230" i="19"/>
  <c r="BB230" i="19"/>
  <c r="BD230" i="19"/>
  <c r="I229" i="19"/>
  <c r="J229" i="19"/>
  <c r="P229" i="19"/>
  <c r="S229" i="19"/>
  <c r="T229" i="19"/>
  <c r="W229" i="19"/>
  <c r="X229" i="19"/>
  <c r="AA229" i="19"/>
  <c r="AE229" i="19"/>
  <c r="AF229" i="19"/>
  <c r="AI229" i="19"/>
  <c r="AJ229" i="19"/>
  <c r="AM229" i="19"/>
  <c r="AN229" i="19"/>
  <c r="AQ229" i="19"/>
  <c r="AR229" i="19"/>
  <c r="AU229" i="19"/>
  <c r="AV229" i="19"/>
  <c r="AW229" i="19"/>
  <c r="K229" i="19" s="1"/>
  <c r="AZ229" i="19"/>
  <c r="BB229" i="19"/>
  <c r="BD229" i="19"/>
  <c r="I228" i="19"/>
  <c r="J228" i="19"/>
  <c r="P228" i="19"/>
  <c r="S228" i="19"/>
  <c r="T228" i="19"/>
  <c r="W228" i="19"/>
  <c r="X228" i="19"/>
  <c r="AA228" i="19"/>
  <c r="AE228" i="19"/>
  <c r="AF228" i="19"/>
  <c r="AI228" i="19"/>
  <c r="AJ228" i="19"/>
  <c r="AM228" i="19"/>
  <c r="AN228" i="19"/>
  <c r="AQ228" i="19"/>
  <c r="AR228" i="19"/>
  <c r="AU228" i="19"/>
  <c r="AV228" i="19"/>
  <c r="AW228" i="19"/>
  <c r="K228" i="19" s="1"/>
  <c r="AZ228" i="19"/>
  <c r="BB228" i="19"/>
  <c r="BD228" i="19"/>
  <c r="I227" i="19"/>
  <c r="J227" i="19"/>
  <c r="P227" i="19"/>
  <c r="S227" i="19"/>
  <c r="T227" i="19"/>
  <c r="W227" i="19"/>
  <c r="X227" i="19"/>
  <c r="AA227" i="19"/>
  <c r="AE227" i="19"/>
  <c r="AF227" i="19"/>
  <c r="AI227" i="19"/>
  <c r="AJ227" i="19"/>
  <c r="AM227" i="19"/>
  <c r="AN227" i="19"/>
  <c r="AQ227" i="19"/>
  <c r="AR227" i="19"/>
  <c r="AU227" i="19"/>
  <c r="AV227" i="19"/>
  <c r="AW227" i="19"/>
  <c r="K227" i="19" s="1"/>
  <c r="AZ227" i="19"/>
  <c r="BB227" i="19"/>
  <c r="BD227" i="19"/>
  <c r="I226" i="19"/>
  <c r="J226" i="19"/>
  <c r="P226" i="19"/>
  <c r="S226" i="19"/>
  <c r="T226" i="19"/>
  <c r="W226" i="19"/>
  <c r="X226" i="19"/>
  <c r="AA226" i="19"/>
  <c r="AE226" i="19"/>
  <c r="AF226" i="19"/>
  <c r="AI226" i="19"/>
  <c r="AJ226" i="19"/>
  <c r="AM226" i="19"/>
  <c r="AN226" i="19"/>
  <c r="AQ226" i="19"/>
  <c r="AR226" i="19"/>
  <c r="AU226" i="19"/>
  <c r="AV226" i="19"/>
  <c r="AW226" i="19"/>
  <c r="K226" i="19" s="1"/>
  <c r="AZ226" i="19"/>
  <c r="BB226" i="19"/>
  <c r="BD226" i="19"/>
  <c r="I225" i="19"/>
  <c r="J225" i="19"/>
  <c r="P225" i="19"/>
  <c r="S225" i="19"/>
  <c r="T225" i="19"/>
  <c r="W225" i="19"/>
  <c r="X225" i="19"/>
  <c r="AA225" i="19"/>
  <c r="AE225" i="19"/>
  <c r="AF225" i="19"/>
  <c r="AI225" i="19"/>
  <c r="AJ225" i="19"/>
  <c r="AM225" i="19"/>
  <c r="AN225" i="19"/>
  <c r="AQ225" i="19"/>
  <c r="AR225" i="19"/>
  <c r="AU225" i="19"/>
  <c r="AV225" i="19"/>
  <c r="AW225" i="19"/>
  <c r="K225" i="19" s="1"/>
  <c r="AZ225" i="19"/>
  <c r="BB225" i="19"/>
  <c r="BD225" i="19"/>
  <c r="I224" i="19"/>
  <c r="J224" i="19"/>
  <c r="P224" i="19"/>
  <c r="S224" i="19"/>
  <c r="T224" i="19"/>
  <c r="W224" i="19"/>
  <c r="X224" i="19"/>
  <c r="AA224" i="19"/>
  <c r="AE224" i="19"/>
  <c r="AF224" i="19"/>
  <c r="AI224" i="19"/>
  <c r="AJ224" i="19"/>
  <c r="AM224" i="19"/>
  <c r="AN224" i="19"/>
  <c r="AQ224" i="19"/>
  <c r="AR224" i="19"/>
  <c r="AU224" i="19"/>
  <c r="AV224" i="19"/>
  <c r="AW224" i="19"/>
  <c r="K224" i="19" s="1"/>
  <c r="AZ224" i="19"/>
  <c r="BB224" i="19"/>
  <c r="BD224" i="19"/>
  <c r="I223" i="19"/>
  <c r="J223" i="19"/>
  <c r="P223" i="19"/>
  <c r="S223" i="19"/>
  <c r="T223" i="19"/>
  <c r="W223" i="19"/>
  <c r="X223" i="19"/>
  <c r="AA223" i="19"/>
  <c r="AE223" i="19"/>
  <c r="AF223" i="19"/>
  <c r="AI223" i="19"/>
  <c r="AJ223" i="19"/>
  <c r="AM223" i="19"/>
  <c r="AN223" i="19"/>
  <c r="AQ223" i="19"/>
  <c r="AR223" i="19"/>
  <c r="AU223" i="19"/>
  <c r="AV223" i="19"/>
  <c r="AW223" i="19"/>
  <c r="K223" i="19" s="1"/>
  <c r="AZ223" i="19"/>
  <c r="BB223" i="19"/>
  <c r="BD223" i="19"/>
  <c r="I222" i="19"/>
  <c r="J222" i="19"/>
  <c r="P222" i="19"/>
  <c r="S222" i="19"/>
  <c r="T222" i="19"/>
  <c r="W222" i="19"/>
  <c r="X222" i="19"/>
  <c r="AA222" i="19"/>
  <c r="AE222" i="19"/>
  <c r="AF222" i="19"/>
  <c r="AI222" i="19"/>
  <c r="AJ222" i="19"/>
  <c r="AM222" i="19"/>
  <c r="AN222" i="19"/>
  <c r="AQ222" i="19"/>
  <c r="AR222" i="19"/>
  <c r="AU222" i="19"/>
  <c r="AV222" i="19"/>
  <c r="AW222" i="19"/>
  <c r="K222" i="19" s="1"/>
  <c r="AZ222" i="19"/>
  <c r="BB222" i="19"/>
  <c r="BD222" i="19"/>
  <c r="I221" i="19"/>
  <c r="J221" i="19"/>
  <c r="P221" i="19"/>
  <c r="S221" i="19"/>
  <c r="T221" i="19"/>
  <c r="W221" i="19"/>
  <c r="X221" i="19"/>
  <c r="AA221" i="19"/>
  <c r="AE221" i="19"/>
  <c r="AF221" i="19"/>
  <c r="AI221" i="19"/>
  <c r="AJ221" i="19"/>
  <c r="AM221" i="19"/>
  <c r="AN221" i="19"/>
  <c r="AQ221" i="19"/>
  <c r="AR221" i="19"/>
  <c r="AU221" i="19"/>
  <c r="AV221" i="19"/>
  <c r="AW221" i="19"/>
  <c r="K221" i="19" s="1"/>
  <c r="AZ221" i="19"/>
  <c r="BB221" i="19"/>
  <c r="BD221" i="19"/>
  <c r="I220" i="19"/>
  <c r="J220" i="19"/>
  <c r="P220" i="19"/>
  <c r="S220" i="19"/>
  <c r="T220" i="19"/>
  <c r="W220" i="19"/>
  <c r="X220" i="19"/>
  <c r="AA220" i="19"/>
  <c r="AE220" i="19"/>
  <c r="AF220" i="19"/>
  <c r="AI220" i="19"/>
  <c r="AJ220" i="19"/>
  <c r="AM220" i="19"/>
  <c r="AN220" i="19"/>
  <c r="AQ220" i="19"/>
  <c r="AR220" i="19"/>
  <c r="AU220" i="19"/>
  <c r="AV220" i="19"/>
  <c r="AW220" i="19"/>
  <c r="K220" i="19" s="1"/>
  <c r="AZ220" i="19"/>
  <c r="BB220" i="19"/>
  <c r="BD220" i="19"/>
  <c r="I219" i="19"/>
  <c r="J219" i="19"/>
  <c r="P219" i="19"/>
  <c r="S219" i="19"/>
  <c r="T219" i="19"/>
  <c r="W219" i="19"/>
  <c r="X219" i="19"/>
  <c r="AA219" i="19"/>
  <c r="AE219" i="19"/>
  <c r="AF219" i="19"/>
  <c r="AI219" i="19"/>
  <c r="AJ219" i="19"/>
  <c r="AM219" i="19"/>
  <c r="AN219" i="19"/>
  <c r="AQ219" i="19"/>
  <c r="AR219" i="19"/>
  <c r="AU219" i="19"/>
  <c r="AV219" i="19"/>
  <c r="AW219" i="19"/>
  <c r="K219" i="19" s="1"/>
  <c r="AZ219" i="19"/>
  <c r="BB219" i="19"/>
  <c r="BD219" i="19"/>
  <c r="I218" i="19"/>
  <c r="J218" i="19"/>
  <c r="P218" i="19"/>
  <c r="S218" i="19"/>
  <c r="T218" i="19"/>
  <c r="W218" i="19"/>
  <c r="X218" i="19"/>
  <c r="AA218" i="19"/>
  <c r="AE218" i="19"/>
  <c r="AF218" i="19"/>
  <c r="AI218" i="19"/>
  <c r="AJ218" i="19"/>
  <c r="AM218" i="19"/>
  <c r="AN218" i="19"/>
  <c r="AQ218" i="19"/>
  <c r="AR218" i="19"/>
  <c r="AU218" i="19"/>
  <c r="AV218" i="19"/>
  <c r="AW218" i="19"/>
  <c r="K218" i="19" s="1"/>
  <c r="AZ218" i="19"/>
  <c r="BB218" i="19"/>
  <c r="BD218" i="19"/>
  <c r="I217" i="19"/>
  <c r="J217" i="19"/>
  <c r="P217" i="19"/>
  <c r="S217" i="19"/>
  <c r="T217" i="19"/>
  <c r="W217" i="19"/>
  <c r="X217" i="19"/>
  <c r="AA217" i="19"/>
  <c r="AE217" i="19"/>
  <c r="AF217" i="19"/>
  <c r="AI217" i="19"/>
  <c r="AJ217" i="19"/>
  <c r="AM217" i="19"/>
  <c r="AN217" i="19"/>
  <c r="AQ217" i="19"/>
  <c r="AR217" i="19"/>
  <c r="AU217" i="19"/>
  <c r="AV217" i="19"/>
  <c r="AW217" i="19"/>
  <c r="K217" i="19" s="1"/>
  <c r="AZ217" i="19"/>
  <c r="BB217" i="19"/>
  <c r="BD217" i="19"/>
  <c r="I216" i="19"/>
  <c r="J216" i="19"/>
  <c r="P216" i="19"/>
  <c r="S216" i="19"/>
  <c r="T216" i="19"/>
  <c r="W216" i="19"/>
  <c r="X216" i="19"/>
  <c r="AA216" i="19"/>
  <c r="AE216" i="19"/>
  <c r="AF216" i="19"/>
  <c r="AI216" i="19"/>
  <c r="AJ216" i="19"/>
  <c r="AM216" i="19"/>
  <c r="AN216" i="19"/>
  <c r="AQ216" i="19"/>
  <c r="AR216" i="19"/>
  <c r="AU216" i="19"/>
  <c r="AV216" i="19"/>
  <c r="AW216" i="19"/>
  <c r="K216" i="19" s="1"/>
  <c r="AZ216" i="19"/>
  <c r="BB216" i="19"/>
  <c r="BD216" i="19"/>
  <c r="I215" i="19"/>
  <c r="J215" i="19"/>
  <c r="P215" i="19"/>
  <c r="S215" i="19"/>
  <c r="T215" i="19"/>
  <c r="W215" i="19"/>
  <c r="X215" i="19"/>
  <c r="AA215" i="19"/>
  <c r="AE215" i="19"/>
  <c r="AF215" i="19"/>
  <c r="AI215" i="19"/>
  <c r="AJ215" i="19"/>
  <c r="AM215" i="19"/>
  <c r="AN215" i="19"/>
  <c r="AQ215" i="19"/>
  <c r="AR215" i="19"/>
  <c r="AU215" i="19"/>
  <c r="AV215" i="19"/>
  <c r="AW215" i="19"/>
  <c r="K215" i="19" s="1"/>
  <c r="AZ215" i="19"/>
  <c r="BB215" i="19"/>
  <c r="BD215" i="19"/>
  <c r="I214" i="19"/>
  <c r="J214" i="19"/>
  <c r="P214" i="19"/>
  <c r="S214" i="19"/>
  <c r="T214" i="19"/>
  <c r="W214" i="19"/>
  <c r="X214" i="19"/>
  <c r="AA214" i="19"/>
  <c r="AE214" i="19"/>
  <c r="AF214" i="19"/>
  <c r="AI214" i="19"/>
  <c r="AJ214" i="19"/>
  <c r="AM214" i="19"/>
  <c r="AN214" i="19"/>
  <c r="AQ214" i="19"/>
  <c r="AR214" i="19"/>
  <c r="AU214" i="19"/>
  <c r="AV214" i="19"/>
  <c r="AW214" i="19"/>
  <c r="K214" i="19" s="1"/>
  <c r="AZ214" i="19"/>
  <c r="BB214" i="19"/>
  <c r="BD214" i="19"/>
  <c r="I213" i="19"/>
  <c r="J213" i="19"/>
  <c r="P213" i="19"/>
  <c r="S213" i="19"/>
  <c r="T213" i="19"/>
  <c r="W213" i="19"/>
  <c r="X213" i="19"/>
  <c r="AA213" i="19"/>
  <c r="AE213" i="19"/>
  <c r="AF213" i="19"/>
  <c r="AI213" i="19"/>
  <c r="AJ213" i="19"/>
  <c r="AM213" i="19"/>
  <c r="AN213" i="19"/>
  <c r="AQ213" i="19"/>
  <c r="AR213" i="19"/>
  <c r="AU213" i="19"/>
  <c r="AV213" i="19"/>
  <c r="AW213" i="19"/>
  <c r="K213" i="19" s="1"/>
  <c r="AZ213" i="19"/>
  <c r="BB213" i="19"/>
  <c r="BD213" i="19"/>
  <c r="I212" i="19"/>
  <c r="J212" i="19"/>
  <c r="P212" i="19"/>
  <c r="S212" i="19"/>
  <c r="T212" i="19"/>
  <c r="W212" i="19"/>
  <c r="X212" i="19"/>
  <c r="AA212" i="19"/>
  <c r="AE212" i="19"/>
  <c r="AF212" i="19"/>
  <c r="AI212" i="19"/>
  <c r="AJ212" i="19"/>
  <c r="AM212" i="19"/>
  <c r="AN212" i="19"/>
  <c r="AQ212" i="19"/>
  <c r="AR212" i="19"/>
  <c r="AU212" i="19"/>
  <c r="AV212" i="19"/>
  <c r="AW212" i="19"/>
  <c r="K212" i="19" s="1"/>
  <c r="AZ212" i="19"/>
  <c r="BB212" i="19"/>
  <c r="BD212" i="19"/>
  <c r="I211" i="19"/>
  <c r="J211" i="19"/>
  <c r="P211" i="19"/>
  <c r="S211" i="19"/>
  <c r="T211" i="19"/>
  <c r="W211" i="19"/>
  <c r="X211" i="19"/>
  <c r="AA211" i="19"/>
  <c r="AE211" i="19"/>
  <c r="AF211" i="19"/>
  <c r="AI211" i="19"/>
  <c r="AJ211" i="19"/>
  <c r="AM211" i="19"/>
  <c r="AN211" i="19"/>
  <c r="AQ211" i="19"/>
  <c r="AR211" i="19"/>
  <c r="AU211" i="19"/>
  <c r="AV211" i="19"/>
  <c r="AW211" i="19"/>
  <c r="K211" i="19" s="1"/>
  <c r="AZ211" i="19"/>
  <c r="BB211" i="19"/>
  <c r="BD211" i="19"/>
  <c r="I210" i="19"/>
  <c r="J210" i="19"/>
  <c r="P210" i="19"/>
  <c r="S210" i="19"/>
  <c r="T210" i="19"/>
  <c r="W210" i="19"/>
  <c r="X210" i="19"/>
  <c r="AA210" i="19"/>
  <c r="AE210" i="19"/>
  <c r="AF210" i="19"/>
  <c r="AI210" i="19"/>
  <c r="AJ210" i="19"/>
  <c r="AM210" i="19"/>
  <c r="AN210" i="19"/>
  <c r="AQ210" i="19"/>
  <c r="AR210" i="19"/>
  <c r="AU210" i="19"/>
  <c r="AV210" i="19"/>
  <c r="AW210" i="19"/>
  <c r="K210" i="19" s="1"/>
  <c r="AZ210" i="19"/>
  <c r="BB210" i="19"/>
  <c r="BD210" i="19"/>
  <c r="I209" i="19"/>
  <c r="J209" i="19"/>
  <c r="P209" i="19"/>
  <c r="S209" i="19"/>
  <c r="T209" i="19"/>
  <c r="W209" i="19"/>
  <c r="X209" i="19"/>
  <c r="AA209" i="19"/>
  <c r="AE209" i="19"/>
  <c r="AF209" i="19"/>
  <c r="AI209" i="19"/>
  <c r="AJ209" i="19"/>
  <c r="AM209" i="19"/>
  <c r="AN209" i="19"/>
  <c r="AQ209" i="19"/>
  <c r="AR209" i="19"/>
  <c r="AU209" i="19"/>
  <c r="AV209" i="19"/>
  <c r="AW209" i="19"/>
  <c r="K209" i="19" s="1"/>
  <c r="AZ209" i="19"/>
  <c r="BB209" i="19"/>
  <c r="BD209" i="19"/>
  <c r="I208" i="19"/>
  <c r="J208" i="19"/>
  <c r="P208" i="19"/>
  <c r="S208" i="19"/>
  <c r="T208" i="19"/>
  <c r="W208" i="19"/>
  <c r="X208" i="19"/>
  <c r="AA208" i="19"/>
  <c r="AE208" i="19"/>
  <c r="AF208" i="19"/>
  <c r="AI208" i="19"/>
  <c r="AJ208" i="19"/>
  <c r="AM208" i="19"/>
  <c r="AN208" i="19"/>
  <c r="AQ208" i="19"/>
  <c r="AR208" i="19"/>
  <c r="AU208" i="19"/>
  <c r="AV208" i="19"/>
  <c r="AW208" i="19"/>
  <c r="K208" i="19" s="1"/>
  <c r="AZ208" i="19"/>
  <c r="BB208" i="19"/>
  <c r="BD208" i="19"/>
  <c r="I207" i="19"/>
  <c r="J207" i="19"/>
  <c r="P207" i="19"/>
  <c r="S207" i="19"/>
  <c r="T207" i="19"/>
  <c r="W207" i="19"/>
  <c r="X207" i="19"/>
  <c r="AA207" i="19"/>
  <c r="AE207" i="19"/>
  <c r="AF207" i="19"/>
  <c r="AI207" i="19"/>
  <c r="AJ207" i="19"/>
  <c r="AM207" i="19"/>
  <c r="AN207" i="19"/>
  <c r="AQ207" i="19"/>
  <c r="AR207" i="19"/>
  <c r="AU207" i="19"/>
  <c r="AV207" i="19"/>
  <c r="AW207" i="19"/>
  <c r="K207" i="19" s="1"/>
  <c r="AZ207" i="19"/>
  <c r="BB207" i="19"/>
  <c r="BD207" i="19"/>
  <c r="I206" i="19"/>
  <c r="J206" i="19"/>
  <c r="P206" i="19"/>
  <c r="S206" i="19"/>
  <c r="T206" i="19"/>
  <c r="W206" i="19"/>
  <c r="X206" i="19"/>
  <c r="AA206" i="19"/>
  <c r="AE206" i="19"/>
  <c r="AF206" i="19"/>
  <c r="AI206" i="19"/>
  <c r="AJ206" i="19"/>
  <c r="AM206" i="19"/>
  <c r="AN206" i="19"/>
  <c r="AQ206" i="19"/>
  <c r="AR206" i="19"/>
  <c r="AU206" i="19"/>
  <c r="AV206" i="19"/>
  <c r="AW206" i="19"/>
  <c r="K206" i="19" s="1"/>
  <c r="AZ206" i="19"/>
  <c r="BB206" i="19"/>
  <c r="BD206" i="19"/>
  <c r="I205" i="19"/>
  <c r="J205" i="19"/>
  <c r="P205" i="19"/>
  <c r="S205" i="19"/>
  <c r="T205" i="19"/>
  <c r="W205" i="19"/>
  <c r="X205" i="19"/>
  <c r="AA205" i="19"/>
  <c r="AE205" i="19"/>
  <c r="AF205" i="19"/>
  <c r="AI205" i="19"/>
  <c r="AJ205" i="19"/>
  <c r="AM205" i="19"/>
  <c r="AN205" i="19"/>
  <c r="AQ205" i="19"/>
  <c r="AR205" i="19"/>
  <c r="AU205" i="19"/>
  <c r="AV205" i="19"/>
  <c r="AW205" i="19"/>
  <c r="K205" i="19" s="1"/>
  <c r="AZ205" i="19"/>
  <c r="BB205" i="19"/>
  <c r="BD205" i="19"/>
  <c r="I204" i="19"/>
  <c r="J204" i="19"/>
  <c r="P204" i="19"/>
  <c r="S204" i="19"/>
  <c r="T204" i="19"/>
  <c r="W204" i="19"/>
  <c r="X204" i="19"/>
  <c r="AA204" i="19"/>
  <c r="AE204" i="19"/>
  <c r="AF204" i="19"/>
  <c r="AI204" i="19"/>
  <c r="AJ204" i="19"/>
  <c r="AM204" i="19"/>
  <c r="AN204" i="19"/>
  <c r="AQ204" i="19"/>
  <c r="AR204" i="19"/>
  <c r="AU204" i="19"/>
  <c r="AV204" i="19"/>
  <c r="AW204" i="19"/>
  <c r="K204" i="19" s="1"/>
  <c r="AZ204" i="19"/>
  <c r="BB204" i="19"/>
  <c r="BD204" i="19"/>
  <c r="I203" i="19"/>
  <c r="J203" i="19"/>
  <c r="P203" i="19"/>
  <c r="S203" i="19"/>
  <c r="T203" i="19"/>
  <c r="W203" i="19"/>
  <c r="X203" i="19"/>
  <c r="AA203" i="19"/>
  <c r="AE203" i="19"/>
  <c r="AF203" i="19"/>
  <c r="AI203" i="19"/>
  <c r="AJ203" i="19"/>
  <c r="AM203" i="19"/>
  <c r="AN203" i="19"/>
  <c r="AQ203" i="19"/>
  <c r="AR203" i="19"/>
  <c r="AU203" i="19"/>
  <c r="AV203" i="19"/>
  <c r="AW203" i="19"/>
  <c r="K203" i="19" s="1"/>
  <c r="AZ203" i="19"/>
  <c r="BB203" i="19"/>
  <c r="BD203" i="19"/>
  <c r="I202" i="19"/>
  <c r="J202" i="19"/>
  <c r="P202" i="19"/>
  <c r="S202" i="19"/>
  <c r="T202" i="19"/>
  <c r="W202" i="19"/>
  <c r="X202" i="19"/>
  <c r="AA202" i="19"/>
  <c r="AE202" i="19"/>
  <c r="AF202" i="19"/>
  <c r="AI202" i="19"/>
  <c r="AJ202" i="19"/>
  <c r="AM202" i="19"/>
  <c r="AN202" i="19"/>
  <c r="AQ202" i="19"/>
  <c r="AR202" i="19"/>
  <c r="AU202" i="19"/>
  <c r="AV202" i="19"/>
  <c r="AW202" i="19"/>
  <c r="K202" i="19" s="1"/>
  <c r="AZ202" i="19"/>
  <c r="BB202" i="19"/>
  <c r="BD202" i="19"/>
  <c r="I201" i="19"/>
  <c r="J201" i="19"/>
  <c r="P201" i="19"/>
  <c r="S201" i="19"/>
  <c r="T201" i="19"/>
  <c r="W201" i="19"/>
  <c r="X201" i="19"/>
  <c r="AA201" i="19"/>
  <c r="AE201" i="19"/>
  <c r="AF201" i="19"/>
  <c r="AI201" i="19"/>
  <c r="AJ201" i="19"/>
  <c r="AM201" i="19"/>
  <c r="AN201" i="19"/>
  <c r="AQ201" i="19"/>
  <c r="AR201" i="19"/>
  <c r="AU201" i="19"/>
  <c r="AV201" i="19"/>
  <c r="AW201" i="19"/>
  <c r="K201" i="19" s="1"/>
  <c r="AZ201" i="19"/>
  <c r="BB201" i="19"/>
  <c r="BD201" i="19"/>
  <c r="I200" i="19"/>
  <c r="J200" i="19"/>
  <c r="P200" i="19"/>
  <c r="S200" i="19"/>
  <c r="T200" i="19"/>
  <c r="W200" i="19"/>
  <c r="X200" i="19"/>
  <c r="AA200" i="19"/>
  <c r="AE200" i="19"/>
  <c r="AF200" i="19"/>
  <c r="AI200" i="19"/>
  <c r="AJ200" i="19"/>
  <c r="AM200" i="19"/>
  <c r="AN200" i="19"/>
  <c r="AQ200" i="19"/>
  <c r="AR200" i="19"/>
  <c r="AU200" i="19"/>
  <c r="AV200" i="19"/>
  <c r="AW200" i="19"/>
  <c r="K200" i="19" s="1"/>
  <c r="AZ200" i="19"/>
  <c r="BB200" i="19"/>
  <c r="BD200" i="19"/>
  <c r="I199" i="19"/>
  <c r="J199" i="19"/>
  <c r="P199" i="19"/>
  <c r="S199" i="19"/>
  <c r="T199" i="19"/>
  <c r="W199" i="19"/>
  <c r="X199" i="19"/>
  <c r="AA199" i="19"/>
  <c r="AE199" i="19"/>
  <c r="AF199" i="19"/>
  <c r="AI199" i="19"/>
  <c r="AJ199" i="19"/>
  <c r="AM199" i="19"/>
  <c r="AN199" i="19"/>
  <c r="AQ199" i="19"/>
  <c r="AR199" i="19"/>
  <c r="AU199" i="19"/>
  <c r="AV199" i="19"/>
  <c r="AW199" i="19"/>
  <c r="K199" i="19" s="1"/>
  <c r="AZ199" i="19"/>
  <c r="BB199" i="19"/>
  <c r="BD199" i="19"/>
  <c r="I198" i="19"/>
  <c r="J198" i="19"/>
  <c r="P198" i="19"/>
  <c r="S198" i="19"/>
  <c r="T198" i="19"/>
  <c r="W198" i="19"/>
  <c r="X198" i="19"/>
  <c r="AA198" i="19"/>
  <c r="AE198" i="19"/>
  <c r="AF198" i="19"/>
  <c r="AI198" i="19"/>
  <c r="AJ198" i="19"/>
  <c r="AM198" i="19"/>
  <c r="AN198" i="19"/>
  <c r="AQ198" i="19"/>
  <c r="AR198" i="19"/>
  <c r="AU198" i="19"/>
  <c r="AV198" i="19"/>
  <c r="AW198" i="19"/>
  <c r="K198" i="19" s="1"/>
  <c r="AZ198" i="19"/>
  <c r="BB198" i="19"/>
  <c r="BD198" i="19"/>
  <c r="I197" i="19"/>
  <c r="J197" i="19"/>
  <c r="P197" i="19"/>
  <c r="S197" i="19"/>
  <c r="T197" i="19"/>
  <c r="W197" i="19"/>
  <c r="X197" i="19"/>
  <c r="AA197" i="19"/>
  <c r="AE197" i="19"/>
  <c r="AF197" i="19"/>
  <c r="AI197" i="19"/>
  <c r="AJ197" i="19"/>
  <c r="AM197" i="19"/>
  <c r="AN197" i="19"/>
  <c r="AQ197" i="19"/>
  <c r="AR197" i="19"/>
  <c r="AU197" i="19"/>
  <c r="AV197" i="19"/>
  <c r="AW197" i="19"/>
  <c r="K197" i="19" s="1"/>
  <c r="AZ197" i="19"/>
  <c r="BB197" i="19"/>
  <c r="BD197" i="19"/>
  <c r="I196" i="19"/>
  <c r="J196" i="19"/>
  <c r="P196" i="19"/>
  <c r="S196" i="19"/>
  <c r="T196" i="19"/>
  <c r="W196" i="19"/>
  <c r="X196" i="19"/>
  <c r="AA196" i="19"/>
  <c r="AE196" i="19"/>
  <c r="AF196" i="19"/>
  <c r="AI196" i="19"/>
  <c r="AJ196" i="19"/>
  <c r="AM196" i="19"/>
  <c r="AN196" i="19"/>
  <c r="AQ196" i="19"/>
  <c r="AR196" i="19"/>
  <c r="AU196" i="19"/>
  <c r="AV196" i="19"/>
  <c r="AW196" i="19"/>
  <c r="K196" i="19" s="1"/>
  <c r="AZ196" i="19"/>
  <c r="BB196" i="19"/>
  <c r="BD196" i="19"/>
  <c r="I195" i="19"/>
  <c r="J195" i="19"/>
  <c r="P195" i="19"/>
  <c r="S195" i="19"/>
  <c r="T195" i="19"/>
  <c r="W195" i="19"/>
  <c r="X195" i="19"/>
  <c r="AA195" i="19"/>
  <c r="AE195" i="19"/>
  <c r="AF195" i="19"/>
  <c r="AI195" i="19"/>
  <c r="AJ195" i="19"/>
  <c r="AM195" i="19"/>
  <c r="AN195" i="19"/>
  <c r="AQ195" i="19"/>
  <c r="AR195" i="19"/>
  <c r="AU195" i="19"/>
  <c r="AV195" i="19"/>
  <c r="AW195" i="19"/>
  <c r="K195" i="19" s="1"/>
  <c r="AZ195" i="19"/>
  <c r="BB195" i="19"/>
  <c r="BD195" i="19"/>
  <c r="I194" i="19"/>
  <c r="J194" i="19"/>
  <c r="P194" i="19"/>
  <c r="S194" i="19"/>
  <c r="T194" i="19"/>
  <c r="W194" i="19"/>
  <c r="X194" i="19"/>
  <c r="AA194" i="19"/>
  <c r="AE194" i="19"/>
  <c r="AF194" i="19"/>
  <c r="AI194" i="19"/>
  <c r="AJ194" i="19"/>
  <c r="AM194" i="19"/>
  <c r="AN194" i="19"/>
  <c r="AQ194" i="19"/>
  <c r="AR194" i="19"/>
  <c r="AU194" i="19"/>
  <c r="AV194" i="19"/>
  <c r="AW194" i="19"/>
  <c r="K194" i="19" s="1"/>
  <c r="AZ194" i="19"/>
  <c r="BB194" i="19"/>
  <c r="BD194" i="19"/>
  <c r="I193" i="19"/>
  <c r="J193" i="19"/>
  <c r="P193" i="19"/>
  <c r="S193" i="19"/>
  <c r="T193" i="19"/>
  <c r="W193" i="19"/>
  <c r="X193" i="19"/>
  <c r="AA193" i="19"/>
  <c r="AE193" i="19"/>
  <c r="AF193" i="19"/>
  <c r="AI193" i="19"/>
  <c r="AJ193" i="19"/>
  <c r="AM193" i="19"/>
  <c r="AN193" i="19"/>
  <c r="AQ193" i="19"/>
  <c r="AR193" i="19"/>
  <c r="AU193" i="19"/>
  <c r="AV193" i="19"/>
  <c r="AW193" i="19"/>
  <c r="K193" i="19" s="1"/>
  <c r="AZ193" i="19"/>
  <c r="BB193" i="19"/>
  <c r="BD193" i="19"/>
  <c r="I192" i="19"/>
  <c r="J192" i="19"/>
  <c r="P192" i="19"/>
  <c r="S192" i="19"/>
  <c r="T192" i="19"/>
  <c r="W192" i="19"/>
  <c r="X192" i="19"/>
  <c r="AA192" i="19"/>
  <c r="AE192" i="19"/>
  <c r="AF192" i="19"/>
  <c r="AI192" i="19"/>
  <c r="AJ192" i="19"/>
  <c r="AM192" i="19"/>
  <c r="AN192" i="19"/>
  <c r="AQ192" i="19"/>
  <c r="AR192" i="19"/>
  <c r="AU192" i="19"/>
  <c r="AV192" i="19"/>
  <c r="AW192" i="19"/>
  <c r="K192" i="19" s="1"/>
  <c r="AZ192" i="19"/>
  <c r="BB192" i="19"/>
  <c r="BD192" i="19"/>
  <c r="I191" i="19"/>
  <c r="J191" i="19"/>
  <c r="P191" i="19"/>
  <c r="S191" i="19"/>
  <c r="T191" i="19"/>
  <c r="W191" i="19"/>
  <c r="X191" i="19"/>
  <c r="AA191" i="19"/>
  <c r="AE191" i="19"/>
  <c r="AF191" i="19"/>
  <c r="AI191" i="19"/>
  <c r="AJ191" i="19"/>
  <c r="AM191" i="19"/>
  <c r="AN191" i="19"/>
  <c r="AQ191" i="19"/>
  <c r="AR191" i="19"/>
  <c r="AU191" i="19"/>
  <c r="AV191" i="19"/>
  <c r="AW191" i="19"/>
  <c r="K191" i="19" s="1"/>
  <c r="AZ191" i="19"/>
  <c r="BB191" i="19"/>
  <c r="BD191" i="19"/>
  <c r="I190" i="19"/>
  <c r="J190" i="19"/>
  <c r="P190" i="19"/>
  <c r="S190" i="19"/>
  <c r="T190" i="19"/>
  <c r="W190" i="19"/>
  <c r="X190" i="19"/>
  <c r="AA190" i="19"/>
  <c r="AE190" i="19"/>
  <c r="AF190" i="19"/>
  <c r="AI190" i="19"/>
  <c r="AJ190" i="19"/>
  <c r="AM190" i="19"/>
  <c r="AN190" i="19"/>
  <c r="AQ190" i="19"/>
  <c r="AR190" i="19"/>
  <c r="AU190" i="19"/>
  <c r="AV190" i="19"/>
  <c r="AW190" i="19"/>
  <c r="K190" i="19" s="1"/>
  <c r="AZ190" i="19"/>
  <c r="BB190" i="19"/>
  <c r="BD190" i="19"/>
  <c r="I189" i="19"/>
  <c r="J189" i="19"/>
  <c r="P189" i="19"/>
  <c r="S189" i="19"/>
  <c r="T189" i="19"/>
  <c r="W189" i="19"/>
  <c r="X189" i="19"/>
  <c r="AA189" i="19"/>
  <c r="AE189" i="19"/>
  <c r="AF189" i="19"/>
  <c r="AI189" i="19"/>
  <c r="AJ189" i="19"/>
  <c r="AM189" i="19"/>
  <c r="AN189" i="19"/>
  <c r="AQ189" i="19"/>
  <c r="AR189" i="19"/>
  <c r="AU189" i="19"/>
  <c r="AV189" i="19"/>
  <c r="AW189" i="19"/>
  <c r="K189" i="19" s="1"/>
  <c r="AZ189" i="19"/>
  <c r="BB189" i="19"/>
  <c r="BD189" i="19"/>
  <c r="I188" i="19"/>
  <c r="J188" i="19"/>
  <c r="O188" i="19"/>
  <c r="P188" i="19"/>
  <c r="T188" i="19"/>
  <c r="W188" i="19"/>
  <c r="X188" i="19"/>
  <c r="AA188" i="19"/>
  <c r="AE188" i="19"/>
  <c r="AF188" i="19"/>
  <c r="AI188" i="19"/>
  <c r="AJ188" i="19"/>
  <c r="AM188" i="19"/>
  <c r="AN188" i="19"/>
  <c r="AQ188" i="19"/>
  <c r="AR188" i="19"/>
  <c r="AU188" i="19"/>
  <c r="AV188" i="19"/>
  <c r="AW188" i="19"/>
  <c r="K188" i="19" s="1"/>
  <c r="AZ188" i="19"/>
  <c r="BB188" i="19"/>
  <c r="BD188" i="19"/>
  <c r="I187" i="19"/>
  <c r="J187" i="19"/>
  <c r="P187" i="19"/>
  <c r="S187" i="19"/>
  <c r="T187" i="19"/>
  <c r="W187" i="19"/>
  <c r="X187" i="19"/>
  <c r="AA187" i="19"/>
  <c r="AE187" i="19"/>
  <c r="AF187" i="19"/>
  <c r="AI187" i="19"/>
  <c r="AJ187" i="19"/>
  <c r="AM187" i="19"/>
  <c r="AN187" i="19"/>
  <c r="AQ187" i="19"/>
  <c r="AR187" i="19"/>
  <c r="AU187" i="19"/>
  <c r="AV187" i="19"/>
  <c r="AW187" i="19"/>
  <c r="K187" i="19" s="1"/>
  <c r="AZ187" i="19"/>
  <c r="BB187" i="19"/>
  <c r="BD187" i="19"/>
  <c r="I186" i="19"/>
  <c r="J186" i="19"/>
  <c r="P186" i="19"/>
  <c r="S186" i="19"/>
  <c r="T186" i="19"/>
  <c r="W186" i="19"/>
  <c r="X186" i="19"/>
  <c r="AA186" i="19"/>
  <c r="AE186" i="19"/>
  <c r="AF186" i="19"/>
  <c r="AI186" i="19"/>
  <c r="AJ186" i="19"/>
  <c r="AM186" i="19"/>
  <c r="AN186" i="19"/>
  <c r="AQ186" i="19"/>
  <c r="AR186" i="19"/>
  <c r="AU186" i="19"/>
  <c r="AV186" i="19"/>
  <c r="AW186" i="19"/>
  <c r="K186" i="19" s="1"/>
  <c r="AZ186" i="19"/>
  <c r="BB186" i="19"/>
  <c r="BD186" i="19"/>
  <c r="I185" i="19"/>
  <c r="J185" i="19"/>
  <c r="P185" i="19"/>
  <c r="S185" i="19"/>
  <c r="T185" i="19"/>
  <c r="W185" i="19"/>
  <c r="X185" i="19"/>
  <c r="AA185" i="19"/>
  <c r="AE185" i="19"/>
  <c r="AF185" i="19"/>
  <c r="AI185" i="19"/>
  <c r="AJ185" i="19"/>
  <c r="AM185" i="19"/>
  <c r="AN185" i="19"/>
  <c r="AQ185" i="19"/>
  <c r="AR185" i="19"/>
  <c r="AU185" i="19"/>
  <c r="AV185" i="19"/>
  <c r="AW185" i="19"/>
  <c r="K185" i="19" s="1"/>
  <c r="AZ185" i="19"/>
  <c r="BB185" i="19"/>
  <c r="BD185" i="19"/>
  <c r="I184" i="19"/>
  <c r="J184" i="19"/>
  <c r="P184" i="19"/>
  <c r="S184" i="19"/>
  <c r="T184" i="19"/>
  <c r="W184" i="19"/>
  <c r="X184" i="19"/>
  <c r="AA184" i="19"/>
  <c r="AE184" i="19"/>
  <c r="AF184" i="19"/>
  <c r="AI184" i="19"/>
  <c r="AJ184" i="19"/>
  <c r="AM184" i="19"/>
  <c r="AN184" i="19"/>
  <c r="AQ184" i="19"/>
  <c r="AR184" i="19"/>
  <c r="AU184" i="19"/>
  <c r="AV184" i="19"/>
  <c r="AW184" i="19"/>
  <c r="K184" i="19" s="1"/>
  <c r="AZ184" i="19"/>
  <c r="BB184" i="19"/>
  <c r="BD184" i="19"/>
  <c r="I183" i="19"/>
  <c r="J183" i="19"/>
  <c r="P183" i="19"/>
  <c r="S183" i="19"/>
  <c r="T183" i="19"/>
  <c r="W183" i="19"/>
  <c r="X183" i="19"/>
  <c r="AA183" i="19"/>
  <c r="AE183" i="19"/>
  <c r="AF183" i="19"/>
  <c r="AI183" i="19"/>
  <c r="AJ183" i="19"/>
  <c r="AM183" i="19"/>
  <c r="AN183" i="19"/>
  <c r="AQ183" i="19"/>
  <c r="AR183" i="19"/>
  <c r="AU183" i="19"/>
  <c r="AV183" i="19"/>
  <c r="AW183" i="19"/>
  <c r="K183" i="19" s="1"/>
  <c r="AZ183" i="19"/>
  <c r="BB183" i="19"/>
  <c r="BD183" i="19"/>
  <c r="I182" i="19"/>
  <c r="J182" i="19"/>
  <c r="P182" i="19"/>
  <c r="S182" i="19"/>
  <c r="T182" i="19"/>
  <c r="W182" i="19"/>
  <c r="X182" i="19"/>
  <c r="AA182" i="19"/>
  <c r="AE182" i="19"/>
  <c r="AF182" i="19"/>
  <c r="AI182" i="19"/>
  <c r="AJ182" i="19"/>
  <c r="AM182" i="19"/>
  <c r="AN182" i="19"/>
  <c r="AQ182" i="19"/>
  <c r="AR182" i="19"/>
  <c r="AU182" i="19"/>
  <c r="AV182" i="19"/>
  <c r="AW182" i="19"/>
  <c r="K182" i="19" s="1"/>
  <c r="AZ182" i="19"/>
  <c r="BB182" i="19"/>
  <c r="BD182" i="19"/>
  <c r="I181" i="19"/>
  <c r="J181" i="19"/>
  <c r="P181" i="19"/>
  <c r="S181" i="19"/>
  <c r="T181" i="19"/>
  <c r="W181" i="19"/>
  <c r="X181" i="19"/>
  <c r="AA181" i="19"/>
  <c r="AE181" i="19"/>
  <c r="AF181" i="19"/>
  <c r="AI181" i="19"/>
  <c r="AJ181" i="19"/>
  <c r="AM181" i="19"/>
  <c r="AN181" i="19"/>
  <c r="AQ181" i="19"/>
  <c r="AR181" i="19"/>
  <c r="AU181" i="19"/>
  <c r="AV181" i="19"/>
  <c r="AW181" i="19"/>
  <c r="K181" i="19" s="1"/>
  <c r="AZ181" i="19"/>
  <c r="BB181" i="19"/>
  <c r="BD181" i="19"/>
  <c r="I179" i="19"/>
  <c r="J179" i="19"/>
  <c r="P179" i="19"/>
  <c r="S179" i="19"/>
  <c r="T179" i="19"/>
  <c r="W179" i="19"/>
  <c r="X179" i="19"/>
  <c r="AA179" i="19"/>
  <c r="AE179" i="19"/>
  <c r="AF179" i="19"/>
  <c r="AI179" i="19"/>
  <c r="AJ179" i="19"/>
  <c r="AM179" i="19"/>
  <c r="AN179" i="19"/>
  <c r="AQ179" i="19"/>
  <c r="AR179" i="19"/>
  <c r="AU179" i="19"/>
  <c r="AV179" i="19"/>
  <c r="AW179" i="19"/>
  <c r="K179" i="19" s="1"/>
  <c r="AZ179" i="19"/>
  <c r="BB179" i="19"/>
  <c r="BD179" i="19"/>
  <c r="I178" i="19"/>
  <c r="J178" i="19"/>
  <c r="P178" i="19"/>
  <c r="S178" i="19"/>
  <c r="T178" i="19"/>
  <c r="W178" i="19"/>
  <c r="X178" i="19"/>
  <c r="AA178" i="19"/>
  <c r="AE178" i="19"/>
  <c r="AF178" i="19"/>
  <c r="AI178" i="19"/>
  <c r="AJ178" i="19"/>
  <c r="AM178" i="19"/>
  <c r="AN178" i="19"/>
  <c r="AQ178" i="19"/>
  <c r="AR178" i="19"/>
  <c r="AU178" i="19"/>
  <c r="AV178" i="19"/>
  <c r="AW178" i="19"/>
  <c r="K178" i="19" s="1"/>
  <c r="AZ178" i="19"/>
  <c r="BB178" i="19"/>
  <c r="BD178" i="19"/>
  <c r="I177" i="19"/>
  <c r="J177" i="19"/>
  <c r="P177" i="19"/>
  <c r="S177" i="19"/>
  <c r="T177" i="19"/>
  <c r="W177" i="19"/>
  <c r="X177" i="19"/>
  <c r="AA177" i="19"/>
  <c r="AE177" i="19"/>
  <c r="AF177" i="19"/>
  <c r="AI177" i="19"/>
  <c r="AJ177" i="19"/>
  <c r="AM177" i="19"/>
  <c r="AN177" i="19"/>
  <c r="AQ177" i="19"/>
  <c r="AR177" i="19"/>
  <c r="AU177" i="19"/>
  <c r="AV177" i="19"/>
  <c r="AW177" i="19"/>
  <c r="K177" i="19" s="1"/>
  <c r="AZ177" i="19"/>
  <c r="BB177" i="19"/>
  <c r="BD177" i="19"/>
  <c r="I176" i="19"/>
  <c r="J176" i="19"/>
  <c r="O176" i="19"/>
  <c r="P176" i="19"/>
  <c r="S176" i="19"/>
  <c r="T176" i="19"/>
  <c r="W176" i="19"/>
  <c r="X176" i="19"/>
  <c r="AA176" i="19"/>
  <c r="AE176" i="19"/>
  <c r="AF176" i="19"/>
  <c r="AJ176" i="19"/>
  <c r="AM176" i="19"/>
  <c r="AN176" i="19"/>
  <c r="AQ176" i="19"/>
  <c r="AR176" i="19"/>
  <c r="AU176" i="19"/>
  <c r="AV176" i="19"/>
  <c r="AW176" i="19"/>
  <c r="K176" i="19" s="1"/>
  <c r="AZ176" i="19"/>
  <c r="BB176" i="19"/>
  <c r="BD176" i="19"/>
  <c r="I175" i="19"/>
  <c r="J175" i="19"/>
  <c r="P175" i="19"/>
  <c r="S175" i="19"/>
  <c r="T175" i="19"/>
  <c r="W175" i="19"/>
  <c r="X175" i="19"/>
  <c r="AA175" i="19"/>
  <c r="AE175" i="19"/>
  <c r="AF175" i="19"/>
  <c r="AI175" i="19"/>
  <c r="AJ175" i="19"/>
  <c r="AM175" i="19"/>
  <c r="AN175" i="19"/>
  <c r="AQ175" i="19"/>
  <c r="AR175" i="19"/>
  <c r="AU175" i="19"/>
  <c r="AV175" i="19"/>
  <c r="AW175" i="19"/>
  <c r="K175" i="19" s="1"/>
  <c r="AZ175" i="19"/>
  <c r="BB175" i="19"/>
  <c r="BD175" i="19"/>
  <c r="I174" i="19"/>
  <c r="J174" i="19"/>
  <c r="P174" i="19"/>
  <c r="S174" i="19"/>
  <c r="T174" i="19"/>
  <c r="W174" i="19"/>
  <c r="X174" i="19"/>
  <c r="AA174" i="19"/>
  <c r="AE174" i="19"/>
  <c r="AF174" i="19"/>
  <c r="AI174" i="19"/>
  <c r="AJ174" i="19"/>
  <c r="AM174" i="19"/>
  <c r="AN174" i="19"/>
  <c r="AQ174" i="19"/>
  <c r="AR174" i="19"/>
  <c r="AU174" i="19"/>
  <c r="AV174" i="19"/>
  <c r="AW174" i="19"/>
  <c r="K174" i="19" s="1"/>
  <c r="AZ174" i="19"/>
  <c r="BB174" i="19"/>
  <c r="BD174" i="19"/>
  <c r="I173" i="19"/>
  <c r="J173" i="19"/>
  <c r="P173" i="19"/>
  <c r="S173" i="19"/>
  <c r="T173" i="19"/>
  <c r="W173" i="19"/>
  <c r="X173" i="19"/>
  <c r="AA173" i="19"/>
  <c r="AE173" i="19"/>
  <c r="AF173" i="19"/>
  <c r="AI173" i="19"/>
  <c r="AJ173" i="19"/>
  <c r="AM173" i="19"/>
  <c r="AN173" i="19"/>
  <c r="AQ173" i="19"/>
  <c r="AR173" i="19"/>
  <c r="AU173" i="19"/>
  <c r="AV173" i="19"/>
  <c r="AW173" i="19"/>
  <c r="K173" i="19" s="1"/>
  <c r="AZ173" i="19"/>
  <c r="BB173" i="19"/>
  <c r="BD173" i="19"/>
  <c r="I172" i="19"/>
  <c r="J172" i="19"/>
  <c r="O172" i="19"/>
  <c r="P172" i="19"/>
  <c r="T172" i="19"/>
  <c r="W172" i="19"/>
  <c r="X172" i="19"/>
  <c r="AA172" i="19"/>
  <c r="AE172" i="19"/>
  <c r="AF172" i="19"/>
  <c r="AI172" i="19"/>
  <c r="AJ172" i="19"/>
  <c r="AM172" i="19"/>
  <c r="AN172" i="19"/>
  <c r="AQ172" i="19"/>
  <c r="AR172" i="19"/>
  <c r="AU172" i="19"/>
  <c r="AV172" i="19"/>
  <c r="AW172" i="19"/>
  <c r="K172" i="19" s="1"/>
  <c r="AZ172" i="19"/>
  <c r="BB172" i="19"/>
  <c r="BD172" i="19"/>
  <c r="I171" i="19"/>
  <c r="J171" i="19"/>
  <c r="P171" i="19"/>
  <c r="S171" i="19"/>
  <c r="T171" i="19"/>
  <c r="W171" i="19"/>
  <c r="X171" i="19"/>
  <c r="AA171" i="19"/>
  <c r="AE171" i="19"/>
  <c r="AF171" i="19"/>
  <c r="AI171" i="19"/>
  <c r="AJ171" i="19"/>
  <c r="AM171" i="19"/>
  <c r="AN171" i="19"/>
  <c r="AQ171" i="19"/>
  <c r="AR171" i="19"/>
  <c r="AU171" i="19"/>
  <c r="AV171" i="19"/>
  <c r="AW171" i="19"/>
  <c r="K171" i="19" s="1"/>
  <c r="AZ171" i="19"/>
  <c r="BB171" i="19"/>
  <c r="BD171" i="19"/>
  <c r="I170" i="19"/>
  <c r="J170" i="19"/>
  <c r="O170" i="19"/>
  <c r="P170" i="19"/>
  <c r="S170" i="19"/>
  <c r="T170" i="19"/>
  <c r="W170" i="19"/>
  <c r="X170" i="19"/>
  <c r="AA170" i="19"/>
  <c r="AE170" i="19"/>
  <c r="AF170" i="19"/>
  <c r="AI170" i="19"/>
  <c r="AJ170" i="19"/>
  <c r="AM170" i="19"/>
  <c r="AN170" i="19"/>
  <c r="AQ170" i="19"/>
  <c r="AR170" i="19"/>
  <c r="AV170" i="19"/>
  <c r="AW170" i="19"/>
  <c r="K170" i="19" s="1"/>
  <c r="AZ170" i="19"/>
  <c r="BB170" i="19"/>
  <c r="BD170" i="19"/>
  <c r="I169" i="19"/>
  <c r="J169" i="19"/>
  <c r="O169" i="19"/>
  <c r="P169" i="19"/>
  <c r="S169" i="19"/>
  <c r="T169" i="19"/>
  <c r="X169" i="19"/>
  <c r="W169" i="19" s="1"/>
  <c r="AA169" i="19"/>
  <c r="AE169" i="19"/>
  <c r="AF169" i="19"/>
  <c r="AI169" i="19"/>
  <c r="AJ169" i="19"/>
  <c r="AM169" i="19"/>
  <c r="AN169" i="19"/>
  <c r="AQ169" i="19"/>
  <c r="AR169" i="19"/>
  <c r="AU169" i="19"/>
  <c r="AV169" i="19"/>
  <c r="AW169" i="19"/>
  <c r="K169" i="19" s="1"/>
  <c r="AZ169" i="19"/>
  <c r="BB169" i="19"/>
  <c r="BD169" i="19"/>
  <c r="I168" i="19"/>
  <c r="J168" i="19"/>
  <c r="P168" i="19"/>
  <c r="S168" i="19"/>
  <c r="T168" i="19"/>
  <c r="W168" i="19"/>
  <c r="X168" i="19"/>
  <c r="AA168" i="19"/>
  <c r="AE168" i="19"/>
  <c r="AF168" i="19"/>
  <c r="AI168" i="19"/>
  <c r="AJ168" i="19"/>
  <c r="AM168" i="19"/>
  <c r="AN168" i="19"/>
  <c r="AQ168" i="19"/>
  <c r="AR168" i="19"/>
  <c r="AU168" i="19"/>
  <c r="AV168" i="19"/>
  <c r="AW168" i="19"/>
  <c r="K168" i="19" s="1"/>
  <c r="AZ168" i="19"/>
  <c r="BB168" i="19"/>
  <c r="BD168" i="19"/>
  <c r="I167" i="19"/>
  <c r="J167" i="19"/>
  <c r="O167" i="19"/>
  <c r="P167" i="19"/>
  <c r="S167" i="19"/>
  <c r="T167" i="19"/>
  <c r="W167" i="19"/>
  <c r="X167" i="19"/>
  <c r="AA167" i="19"/>
  <c r="AE167" i="19"/>
  <c r="AF167" i="19"/>
  <c r="AI167" i="19"/>
  <c r="AJ167" i="19"/>
  <c r="AM167" i="19"/>
  <c r="AN167" i="19"/>
  <c r="AQ167" i="19"/>
  <c r="AR167" i="19"/>
  <c r="AU167" i="19"/>
  <c r="AV167" i="19"/>
  <c r="AW167" i="19"/>
  <c r="K167" i="19" s="1"/>
  <c r="AZ167" i="19"/>
  <c r="L167" i="19" s="1"/>
  <c r="BB167" i="19"/>
  <c r="BD167" i="19"/>
  <c r="I166" i="19"/>
  <c r="J166" i="19"/>
  <c r="O166" i="19"/>
  <c r="P166" i="19"/>
  <c r="S166" i="19"/>
  <c r="T166" i="19"/>
  <c r="W166" i="19"/>
  <c r="X166" i="19"/>
  <c r="AA166" i="19"/>
  <c r="AE166" i="19"/>
  <c r="AF166" i="19"/>
  <c r="AI166" i="19"/>
  <c r="AJ166" i="19"/>
  <c r="AM166" i="19"/>
  <c r="AN166" i="19"/>
  <c r="AQ166" i="19"/>
  <c r="AR166" i="19"/>
  <c r="AU166" i="19"/>
  <c r="AV166" i="19"/>
  <c r="AW166" i="19"/>
  <c r="K166" i="19" s="1"/>
  <c r="AZ166" i="19"/>
  <c r="L166" i="19" s="1"/>
  <c r="BB166" i="19"/>
  <c r="BD166" i="19"/>
  <c r="I165" i="19"/>
  <c r="J165" i="19"/>
  <c r="O165" i="19"/>
  <c r="P165" i="19"/>
  <c r="S165" i="19"/>
  <c r="T165" i="19"/>
  <c r="W165" i="19"/>
  <c r="X165" i="19"/>
  <c r="AA165" i="19"/>
  <c r="AE165" i="19"/>
  <c r="AF165" i="19"/>
  <c r="AI165" i="19"/>
  <c r="AJ165" i="19"/>
  <c r="AM165" i="19"/>
  <c r="AN165" i="19"/>
  <c r="AQ165" i="19"/>
  <c r="AR165" i="19"/>
  <c r="AU165" i="19"/>
  <c r="AV165" i="19"/>
  <c r="AW165" i="19"/>
  <c r="K165" i="19" s="1"/>
  <c r="AZ165" i="19"/>
  <c r="L165" i="19" s="1"/>
  <c r="BB165" i="19"/>
  <c r="BD165" i="19"/>
  <c r="I164" i="19"/>
  <c r="J164" i="19"/>
  <c r="O164" i="19"/>
  <c r="P164" i="19"/>
  <c r="S164" i="19"/>
  <c r="T164" i="19"/>
  <c r="W164" i="19"/>
  <c r="X164" i="19"/>
  <c r="AA164" i="19"/>
  <c r="AE164" i="19"/>
  <c r="AF164" i="19"/>
  <c r="AI164" i="19"/>
  <c r="AJ164" i="19"/>
  <c r="AM164" i="19"/>
  <c r="AN164" i="19"/>
  <c r="AQ164" i="19"/>
  <c r="AR164" i="19"/>
  <c r="AU164" i="19"/>
  <c r="AV164" i="19"/>
  <c r="AW164" i="19"/>
  <c r="K164" i="19" s="1"/>
  <c r="AZ164" i="19"/>
  <c r="L164" i="19" s="1"/>
  <c r="BB164" i="19"/>
  <c r="BD164" i="19"/>
  <c r="I163" i="19"/>
  <c r="J163" i="19"/>
  <c r="O163" i="19"/>
  <c r="P163" i="19"/>
  <c r="S163" i="19"/>
  <c r="T163" i="19"/>
  <c r="W163" i="19"/>
  <c r="X163" i="19"/>
  <c r="AA163" i="19"/>
  <c r="AE163" i="19"/>
  <c r="AF163" i="19"/>
  <c r="AI163" i="19"/>
  <c r="AJ163" i="19"/>
  <c r="AM163" i="19"/>
  <c r="AN163" i="19"/>
  <c r="AQ163" i="19"/>
  <c r="AR163" i="19"/>
  <c r="AU163" i="19"/>
  <c r="AV163" i="19"/>
  <c r="AW163" i="19"/>
  <c r="K163" i="19" s="1"/>
  <c r="AZ163" i="19"/>
  <c r="L163" i="19" s="1"/>
  <c r="BB163" i="19"/>
  <c r="BD163" i="19"/>
  <c r="I162" i="19"/>
  <c r="J162" i="19"/>
  <c r="O162" i="19"/>
  <c r="P162" i="19"/>
  <c r="S162" i="19"/>
  <c r="T162" i="19"/>
  <c r="W162" i="19"/>
  <c r="X162" i="19"/>
  <c r="AA162" i="19"/>
  <c r="AE162" i="19"/>
  <c r="AF162" i="19"/>
  <c r="AI162" i="19"/>
  <c r="AJ162" i="19"/>
  <c r="AM162" i="19"/>
  <c r="AN162" i="19"/>
  <c r="AQ162" i="19"/>
  <c r="AR162" i="19"/>
  <c r="AU162" i="19"/>
  <c r="AV162" i="19"/>
  <c r="AW162" i="19"/>
  <c r="K162" i="19" s="1"/>
  <c r="AZ162" i="19"/>
  <c r="L162" i="19" s="1"/>
  <c r="BB162" i="19"/>
  <c r="BD162" i="19"/>
  <c r="I161" i="19"/>
  <c r="J161" i="19"/>
  <c r="O161" i="19"/>
  <c r="P161" i="19"/>
  <c r="S161" i="19"/>
  <c r="T161" i="19"/>
  <c r="W161" i="19"/>
  <c r="X161" i="19"/>
  <c r="AA161" i="19"/>
  <c r="AE161" i="19"/>
  <c r="AF161" i="19"/>
  <c r="AI161" i="19"/>
  <c r="AJ161" i="19"/>
  <c r="AM161" i="19"/>
  <c r="AN161" i="19"/>
  <c r="AQ161" i="19"/>
  <c r="AR161" i="19"/>
  <c r="AU161" i="19"/>
  <c r="AV161" i="19"/>
  <c r="AW161" i="19"/>
  <c r="K161" i="19" s="1"/>
  <c r="AZ161" i="19"/>
  <c r="L161" i="19" s="1"/>
  <c r="BB161" i="19"/>
  <c r="BD161" i="19"/>
  <c r="I160" i="19"/>
  <c r="J160" i="19"/>
  <c r="O160" i="19"/>
  <c r="P160" i="19"/>
  <c r="S160" i="19"/>
  <c r="T160" i="19"/>
  <c r="W160" i="19"/>
  <c r="X160" i="19"/>
  <c r="AA160" i="19"/>
  <c r="AE160" i="19"/>
  <c r="AF160" i="19"/>
  <c r="AI160" i="19"/>
  <c r="AJ160" i="19"/>
  <c r="AM160" i="19"/>
  <c r="AN160" i="19"/>
  <c r="AQ160" i="19"/>
  <c r="AR160" i="19"/>
  <c r="AU160" i="19"/>
  <c r="AV160" i="19"/>
  <c r="AW160" i="19"/>
  <c r="K160" i="19" s="1"/>
  <c r="AZ160" i="19"/>
  <c r="L160" i="19" s="1"/>
  <c r="BB160" i="19"/>
  <c r="BD160" i="19"/>
  <c r="I159" i="19"/>
  <c r="J159" i="19"/>
  <c r="O159" i="19"/>
  <c r="P159" i="19"/>
  <c r="S159" i="19"/>
  <c r="T159" i="19"/>
  <c r="W159" i="19"/>
  <c r="X159" i="19"/>
  <c r="AA159" i="19"/>
  <c r="AE159" i="19"/>
  <c r="AF159" i="19"/>
  <c r="AI159" i="19"/>
  <c r="AJ159" i="19"/>
  <c r="AM159" i="19"/>
  <c r="AN159" i="19"/>
  <c r="AQ159" i="19"/>
  <c r="AR159" i="19"/>
  <c r="AU159" i="19"/>
  <c r="AV159" i="19"/>
  <c r="AW159" i="19"/>
  <c r="K159" i="19" s="1"/>
  <c r="AZ159" i="19"/>
  <c r="L159" i="19" s="1"/>
  <c r="BB159" i="19"/>
  <c r="BD159" i="19"/>
  <c r="I158" i="19"/>
  <c r="J158" i="19"/>
  <c r="O158" i="19"/>
  <c r="P158" i="19"/>
  <c r="S158" i="19"/>
  <c r="T158" i="19"/>
  <c r="W158" i="19"/>
  <c r="X158" i="19"/>
  <c r="AA158" i="19"/>
  <c r="AE158" i="19"/>
  <c r="AF158" i="19"/>
  <c r="AI158" i="19"/>
  <c r="AJ158" i="19"/>
  <c r="AM158" i="19"/>
  <c r="AN158" i="19"/>
  <c r="AQ158" i="19"/>
  <c r="AR158" i="19"/>
  <c r="AU158" i="19"/>
  <c r="AV158" i="19"/>
  <c r="AW158" i="19"/>
  <c r="K158" i="19" s="1"/>
  <c r="AZ158" i="19"/>
  <c r="L158" i="19" s="1"/>
  <c r="BB158" i="19"/>
  <c r="BD158" i="19"/>
  <c r="I157" i="19"/>
  <c r="J157" i="19"/>
  <c r="O157" i="19"/>
  <c r="P157" i="19"/>
  <c r="S157" i="19"/>
  <c r="T157" i="19"/>
  <c r="W157" i="19"/>
  <c r="X157" i="19"/>
  <c r="AA157" i="19"/>
  <c r="AE157" i="19"/>
  <c r="AF157" i="19"/>
  <c r="AI157" i="19"/>
  <c r="AJ157" i="19"/>
  <c r="AM157" i="19"/>
  <c r="AN157" i="19"/>
  <c r="AQ157" i="19"/>
  <c r="AR157" i="19"/>
  <c r="AU157" i="19"/>
  <c r="AV157" i="19"/>
  <c r="AW157" i="19"/>
  <c r="K157" i="19" s="1"/>
  <c r="AZ157" i="19"/>
  <c r="L157" i="19" s="1"/>
  <c r="BB157" i="19"/>
  <c r="BD157" i="19"/>
  <c r="I156" i="19"/>
  <c r="J156" i="19"/>
  <c r="O156" i="19"/>
  <c r="P156" i="19"/>
  <c r="S156" i="19"/>
  <c r="T156" i="19"/>
  <c r="W156" i="19"/>
  <c r="X156" i="19"/>
  <c r="AA156" i="19"/>
  <c r="AE156" i="19"/>
  <c r="AF156" i="19"/>
  <c r="AI156" i="19"/>
  <c r="AJ156" i="19"/>
  <c r="AM156" i="19"/>
  <c r="AN156" i="19"/>
  <c r="AQ156" i="19"/>
  <c r="AR156" i="19"/>
  <c r="AU156" i="19"/>
  <c r="AV156" i="19"/>
  <c r="AW156" i="19"/>
  <c r="K156" i="19" s="1"/>
  <c r="AZ156" i="19"/>
  <c r="L156" i="19" s="1"/>
  <c r="BB156" i="19"/>
  <c r="BD156" i="19"/>
  <c r="I155" i="19"/>
  <c r="J155" i="19"/>
  <c r="P155" i="19"/>
  <c r="S155" i="19"/>
  <c r="T155" i="19"/>
  <c r="W155" i="19"/>
  <c r="X155" i="19"/>
  <c r="AA155" i="19"/>
  <c r="AE155" i="19"/>
  <c r="AF155" i="19"/>
  <c r="AI155" i="19"/>
  <c r="AJ155" i="19"/>
  <c r="AM155" i="19"/>
  <c r="AN155" i="19"/>
  <c r="AQ155" i="19"/>
  <c r="AR155" i="19"/>
  <c r="AU155" i="19"/>
  <c r="AV155" i="19"/>
  <c r="AW155" i="19"/>
  <c r="K155" i="19" s="1"/>
  <c r="AZ155" i="19"/>
  <c r="BB155" i="19"/>
  <c r="BD155" i="19"/>
  <c r="I154" i="19"/>
  <c r="J154" i="19"/>
  <c r="P154" i="19"/>
  <c r="S154" i="19"/>
  <c r="T154" i="19"/>
  <c r="W154" i="19"/>
  <c r="X154" i="19"/>
  <c r="AA154" i="19"/>
  <c r="AE154" i="19"/>
  <c r="AF154" i="19"/>
  <c r="AI154" i="19"/>
  <c r="AJ154" i="19"/>
  <c r="AM154" i="19"/>
  <c r="AN154" i="19"/>
  <c r="AQ154" i="19"/>
  <c r="AR154" i="19"/>
  <c r="AU154" i="19"/>
  <c r="AV154" i="19"/>
  <c r="AW154" i="19"/>
  <c r="K154" i="19" s="1"/>
  <c r="AZ154" i="19"/>
  <c r="BB154" i="19"/>
  <c r="BD154" i="19"/>
  <c r="I153" i="19"/>
  <c r="J153" i="19"/>
  <c r="P153" i="19"/>
  <c r="S153" i="19"/>
  <c r="T153" i="19"/>
  <c r="W153" i="19"/>
  <c r="X153" i="19"/>
  <c r="AA153" i="19"/>
  <c r="AE153" i="19"/>
  <c r="AF153" i="19"/>
  <c r="AI153" i="19"/>
  <c r="AJ153" i="19"/>
  <c r="AM153" i="19"/>
  <c r="AN153" i="19"/>
  <c r="AQ153" i="19"/>
  <c r="AR153" i="19"/>
  <c r="AU153" i="19"/>
  <c r="AV153" i="19"/>
  <c r="AW153" i="19"/>
  <c r="K153" i="19" s="1"/>
  <c r="AZ153" i="19"/>
  <c r="BB153" i="19"/>
  <c r="BD153" i="19"/>
  <c r="I152" i="19"/>
  <c r="J152" i="19"/>
  <c r="P152" i="19"/>
  <c r="S152" i="19"/>
  <c r="T152" i="19"/>
  <c r="W152" i="19"/>
  <c r="X152" i="19"/>
  <c r="AA152" i="19"/>
  <c r="AE152" i="19"/>
  <c r="AF152" i="19"/>
  <c r="AI152" i="19"/>
  <c r="AJ152" i="19"/>
  <c r="AM152" i="19"/>
  <c r="AN152" i="19"/>
  <c r="AQ152" i="19"/>
  <c r="AR152" i="19"/>
  <c r="AU152" i="19"/>
  <c r="AV152" i="19"/>
  <c r="AW152" i="19"/>
  <c r="K152" i="19" s="1"/>
  <c r="AZ152" i="19"/>
  <c r="BB152" i="19"/>
  <c r="BD152" i="19"/>
  <c r="I151" i="19"/>
  <c r="J151" i="19"/>
  <c r="O151" i="19"/>
  <c r="P151" i="19"/>
  <c r="S151" i="19"/>
  <c r="T151" i="19"/>
  <c r="W151" i="19"/>
  <c r="X151" i="19"/>
  <c r="AA151" i="19"/>
  <c r="AE151" i="19"/>
  <c r="AF151" i="19"/>
  <c r="AI151" i="19"/>
  <c r="AJ151" i="19"/>
  <c r="AM151" i="19"/>
  <c r="AN151" i="19"/>
  <c r="AR151" i="19"/>
  <c r="AQ151" i="19" s="1"/>
  <c r="AU151" i="19"/>
  <c r="AV151" i="19"/>
  <c r="AW151" i="19"/>
  <c r="K151" i="19" s="1"/>
  <c r="AZ151" i="19"/>
  <c r="BB151" i="19"/>
  <c r="BD151" i="19"/>
  <c r="I150" i="19"/>
  <c r="J150" i="19"/>
  <c r="O150" i="19"/>
  <c r="P150" i="19"/>
  <c r="S150" i="19"/>
  <c r="T150" i="19"/>
  <c r="W150" i="19"/>
  <c r="X150" i="19"/>
  <c r="AA150" i="19"/>
  <c r="AE150" i="19"/>
  <c r="AF150" i="19"/>
  <c r="AI150" i="19"/>
  <c r="AJ150" i="19"/>
  <c r="AM150" i="19"/>
  <c r="AN150" i="19"/>
  <c r="AR150" i="19"/>
  <c r="AQ150" i="19" s="1"/>
  <c r="AU150" i="19"/>
  <c r="AV150" i="19"/>
  <c r="AW150" i="19"/>
  <c r="K150" i="19" s="1"/>
  <c r="AZ150" i="19"/>
  <c r="BB150" i="19"/>
  <c r="BD150" i="19"/>
  <c r="I149" i="19"/>
  <c r="J149" i="19"/>
  <c r="O149" i="19"/>
  <c r="P149" i="19"/>
  <c r="S149" i="19"/>
  <c r="T149" i="19"/>
  <c r="W149" i="19"/>
  <c r="X149" i="19"/>
  <c r="AA149" i="19"/>
  <c r="AE149" i="19"/>
  <c r="AF149" i="19"/>
  <c r="AI149" i="19"/>
  <c r="AJ149" i="19"/>
  <c r="AM149" i="19"/>
  <c r="AN149" i="19"/>
  <c r="AR149" i="19"/>
  <c r="AQ149" i="19" s="1"/>
  <c r="AU149" i="19"/>
  <c r="AV149" i="19"/>
  <c r="AW149" i="19"/>
  <c r="K149" i="19" s="1"/>
  <c r="AZ149" i="19"/>
  <c r="BB149" i="19"/>
  <c r="BD149" i="19"/>
  <c r="I148" i="19"/>
  <c r="J148" i="19"/>
  <c r="O148" i="19"/>
  <c r="P148" i="19"/>
  <c r="S148" i="19"/>
  <c r="T148" i="19"/>
  <c r="W148" i="19"/>
  <c r="X148" i="19"/>
  <c r="AA148" i="19"/>
  <c r="AE148" i="19"/>
  <c r="AF148" i="19"/>
  <c r="AI148" i="19"/>
  <c r="AJ148" i="19"/>
  <c r="AM148" i="19"/>
  <c r="AN148" i="19"/>
  <c r="AQ148" i="19"/>
  <c r="AR148" i="19"/>
  <c r="AV148" i="19"/>
  <c r="AW148" i="19"/>
  <c r="K148" i="19" s="1"/>
  <c r="AZ148" i="19"/>
  <c r="BB148" i="19"/>
  <c r="BD148" i="19"/>
  <c r="I147" i="19"/>
  <c r="J147" i="19"/>
  <c r="O147" i="19"/>
  <c r="P147" i="19"/>
  <c r="S147" i="19"/>
  <c r="T147" i="19"/>
  <c r="W147" i="19"/>
  <c r="X147" i="19"/>
  <c r="AA147" i="19"/>
  <c r="AE147" i="19"/>
  <c r="AF147" i="19"/>
  <c r="AI147" i="19"/>
  <c r="AJ147" i="19"/>
  <c r="AM147" i="19"/>
  <c r="AN147" i="19"/>
  <c r="AQ147" i="19"/>
  <c r="AR147" i="19"/>
  <c r="AV147" i="19"/>
  <c r="AW147" i="19"/>
  <c r="K147" i="19" s="1"/>
  <c r="AZ147" i="19"/>
  <c r="BB147" i="19"/>
  <c r="BD147" i="19"/>
  <c r="I146" i="19"/>
  <c r="J146" i="19"/>
  <c r="P146" i="19"/>
  <c r="S146" i="19"/>
  <c r="T146" i="19"/>
  <c r="W146" i="19"/>
  <c r="X146" i="19"/>
  <c r="AA146" i="19"/>
  <c r="AE146" i="19"/>
  <c r="AF146" i="19"/>
  <c r="AI146" i="19"/>
  <c r="AJ146" i="19"/>
  <c r="AM146" i="19"/>
  <c r="AN146" i="19"/>
  <c r="AQ146" i="19"/>
  <c r="AR146" i="19"/>
  <c r="AU146" i="19"/>
  <c r="AV146" i="19"/>
  <c r="AW146" i="19"/>
  <c r="K146" i="19" s="1"/>
  <c r="AZ146" i="19"/>
  <c r="BB146" i="19"/>
  <c r="BD146" i="19"/>
  <c r="I145" i="19"/>
  <c r="J145" i="19"/>
  <c r="P145" i="19"/>
  <c r="S145" i="19"/>
  <c r="T145" i="19"/>
  <c r="W145" i="19"/>
  <c r="X145" i="19"/>
  <c r="AA145" i="19"/>
  <c r="AE145" i="19"/>
  <c r="AF145" i="19"/>
  <c r="AI145" i="19"/>
  <c r="AJ145" i="19"/>
  <c r="AM145" i="19"/>
  <c r="AN145" i="19"/>
  <c r="AQ145" i="19"/>
  <c r="AR145" i="19"/>
  <c r="AU145" i="19"/>
  <c r="AV145" i="19"/>
  <c r="AW145" i="19"/>
  <c r="K145" i="19" s="1"/>
  <c r="AZ145" i="19"/>
  <c r="BB145" i="19"/>
  <c r="BD145" i="19"/>
  <c r="I144" i="19"/>
  <c r="J144" i="19"/>
  <c r="P144" i="19"/>
  <c r="S144" i="19"/>
  <c r="T144" i="19"/>
  <c r="W144" i="19"/>
  <c r="X144" i="19"/>
  <c r="AA144" i="19"/>
  <c r="AE144" i="19"/>
  <c r="AF144" i="19"/>
  <c r="AI144" i="19"/>
  <c r="AJ144" i="19"/>
  <c r="AM144" i="19"/>
  <c r="AN144" i="19"/>
  <c r="AQ144" i="19"/>
  <c r="AR144" i="19"/>
  <c r="AU144" i="19"/>
  <c r="AV144" i="19"/>
  <c r="AW144" i="19"/>
  <c r="K144" i="19" s="1"/>
  <c r="AZ144" i="19"/>
  <c r="BB144" i="19"/>
  <c r="BD144" i="19"/>
  <c r="I143" i="19"/>
  <c r="J143" i="19"/>
  <c r="P143" i="19"/>
  <c r="S143" i="19"/>
  <c r="T143" i="19"/>
  <c r="W143" i="19"/>
  <c r="X143" i="19"/>
  <c r="AA143" i="19"/>
  <c r="AE143" i="19"/>
  <c r="AF143" i="19"/>
  <c r="AI143" i="19"/>
  <c r="AJ143" i="19"/>
  <c r="AM143" i="19"/>
  <c r="AN143" i="19"/>
  <c r="AQ143" i="19"/>
  <c r="AR143" i="19"/>
  <c r="AU143" i="19"/>
  <c r="AV143" i="19"/>
  <c r="AW143" i="19"/>
  <c r="K143" i="19" s="1"/>
  <c r="AZ143" i="19"/>
  <c r="BB143" i="19"/>
  <c r="BD143" i="19"/>
  <c r="I142" i="19"/>
  <c r="J142" i="19"/>
  <c r="P142" i="19"/>
  <c r="S142" i="19"/>
  <c r="T142" i="19"/>
  <c r="W142" i="19"/>
  <c r="X142" i="19"/>
  <c r="AA142" i="19"/>
  <c r="AE142" i="19"/>
  <c r="AF142" i="19"/>
  <c r="AI142" i="19"/>
  <c r="AJ142" i="19"/>
  <c r="AM142" i="19"/>
  <c r="AN142" i="19"/>
  <c r="AQ142" i="19"/>
  <c r="AR142" i="19"/>
  <c r="AU142" i="19"/>
  <c r="AV142" i="19"/>
  <c r="AW142" i="19"/>
  <c r="K142" i="19" s="1"/>
  <c r="AZ142" i="19"/>
  <c r="BB142" i="19"/>
  <c r="BD142" i="19"/>
  <c r="I141" i="19"/>
  <c r="J141" i="19"/>
  <c r="P141" i="19"/>
  <c r="S141" i="19"/>
  <c r="T141" i="19"/>
  <c r="W141" i="19"/>
  <c r="X141" i="19"/>
  <c r="AA141" i="19"/>
  <c r="AE141" i="19"/>
  <c r="AF141" i="19"/>
  <c r="AI141" i="19"/>
  <c r="AJ141" i="19"/>
  <c r="AM141" i="19"/>
  <c r="AN141" i="19"/>
  <c r="AQ141" i="19"/>
  <c r="AR141" i="19"/>
  <c r="AU141" i="19"/>
  <c r="AV141" i="19"/>
  <c r="AW141" i="19"/>
  <c r="K141" i="19" s="1"/>
  <c r="AZ141" i="19"/>
  <c r="BB141" i="19"/>
  <c r="BD141" i="19"/>
  <c r="I140" i="19"/>
  <c r="J140" i="19"/>
  <c r="P140" i="19"/>
  <c r="S140" i="19"/>
  <c r="T140" i="19"/>
  <c r="W140" i="19"/>
  <c r="X140" i="19"/>
  <c r="AA140" i="19"/>
  <c r="AE140" i="19"/>
  <c r="AF140" i="19"/>
  <c r="AI140" i="19"/>
  <c r="AJ140" i="19"/>
  <c r="AM140" i="19"/>
  <c r="AN140" i="19"/>
  <c r="AQ140" i="19"/>
  <c r="AR140" i="19"/>
  <c r="AU140" i="19"/>
  <c r="AV140" i="19"/>
  <c r="AW140" i="19"/>
  <c r="K140" i="19" s="1"/>
  <c r="AZ140" i="19"/>
  <c r="BB140" i="19"/>
  <c r="BD140" i="19"/>
  <c r="I139" i="19"/>
  <c r="J139" i="19"/>
  <c r="P139" i="19"/>
  <c r="S139" i="19"/>
  <c r="T139" i="19"/>
  <c r="W139" i="19"/>
  <c r="X139" i="19"/>
  <c r="AA139" i="19"/>
  <c r="AE139" i="19"/>
  <c r="AF139" i="19"/>
  <c r="AI139" i="19"/>
  <c r="AJ139" i="19"/>
  <c r="AM139" i="19"/>
  <c r="AN139" i="19"/>
  <c r="AQ139" i="19"/>
  <c r="AR139" i="19"/>
  <c r="AU139" i="19"/>
  <c r="AV139" i="19"/>
  <c r="AW139" i="19"/>
  <c r="K139" i="19" s="1"/>
  <c r="AZ139" i="19"/>
  <c r="BB139" i="19"/>
  <c r="BD139" i="19"/>
  <c r="I138" i="19"/>
  <c r="J138" i="19"/>
  <c r="P138" i="19"/>
  <c r="S138" i="19"/>
  <c r="T138" i="19"/>
  <c r="W138" i="19"/>
  <c r="X138" i="19"/>
  <c r="AA138" i="19"/>
  <c r="AE138" i="19"/>
  <c r="AF138" i="19"/>
  <c r="AI138" i="19"/>
  <c r="AJ138" i="19"/>
  <c r="AM138" i="19"/>
  <c r="AN138" i="19"/>
  <c r="AQ138" i="19"/>
  <c r="AR138" i="19"/>
  <c r="AU138" i="19"/>
  <c r="AV138" i="19"/>
  <c r="AW138" i="19"/>
  <c r="K138" i="19" s="1"/>
  <c r="AZ138" i="19"/>
  <c r="BB138" i="19"/>
  <c r="BD138" i="19"/>
  <c r="I137" i="19"/>
  <c r="J137" i="19"/>
  <c r="O137" i="19"/>
  <c r="P137" i="19"/>
  <c r="T137" i="19"/>
  <c r="W137" i="19"/>
  <c r="X137" i="19"/>
  <c r="AA137" i="19"/>
  <c r="AE137" i="19"/>
  <c r="AF137" i="19"/>
  <c r="AI137" i="19"/>
  <c r="AJ137" i="19"/>
  <c r="AM137" i="19"/>
  <c r="AN137" i="19"/>
  <c r="AQ137" i="19"/>
  <c r="AR137" i="19"/>
  <c r="AU137" i="19"/>
  <c r="AV137" i="19"/>
  <c r="AW137" i="19"/>
  <c r="K137" i="19" s="1"/>
  <c r="AZ137" i="19"/>
  <c r="BB137" i="19"/>
  <c r="BD137" i="19"/>
  <c r="I136" i="19"/>
  <c r="J136" i="19"/>
  <c r="O136" i="19"/>
  <c r="P136" i="19"/>
  <c r="T136" i="19"/>
  <c r="W136" i="19"/>
  <c r="X136" i="19"/>
  <c r="AA136" i="19"/>
  <c r="AE136" i="19"/>
  <c r="AF136" i="19"/>
  <c r="AI136" i="19"/>
  <c r="AJ136" i="19"/>
  <c r="AM136" i="19"/>
  <c r="AN136" i="19"/>
  <c r="AQ136" i="19"/>
  <c r="AR136" i="19"/>
  <c r="AU136" i="19"/>
  <c r="AV136" i="19"/>
  <c r="AW136" i="19"/>
  <c r="K136" i="19" s="1"/>
  <c r="AZ136" i="19"/>
  <c r="BB136" i="19"/>
  <c r="BD136" i="19"/>
  <c r="I135" i="19"/>
  <c r="J135" i="19"/>
  <c r="P135" i="19"/>
  <c r="S135" i="19"/>
  <c r="T135" i="19"/>
  <c r="W135" i="19"/>
  <c r="X135" i="19"/>
  <c r="AA135" i="19"/>
  <c r="AE135" i="19"/>
  <c r="AF135" i="19"/>
  <c r="AI135" i="19"/>
  <c r="AJ135" i="19"/>
  <c r="AM135" i="19"/>
  <c r="AN135" i="19"/>
  <c r="AQ135" i="19"/>
  <c r="AR135" i="19"/>
  <c r="AU135" i="19"/>
  <c r="AV135" i="19"/>
  <c r="AW135" i="19"/>
  <c r="K135" i="19" s="1"/>
  <c r="AZ135" i="19"/>
  <c r="BB135" i="19"/>
  <c r="BD135" i="19"/>
  <c r="I134" i="19"/>
  <c r="J134" i="19"/>
  <c r="P134" i="19"/>
  <c r="S134" i="19"/>
  <c r="T134" i="19"/>
  <c r="W134" i="19"/>
  <c r="X134" i="19"/>
  <c r="AA134" i="19"/>
  <c r="AE134" i="19"/>
  <c r="AF134" i="19"/>
  <c r="AI134" i="19"/>
  <c r="AJ134" i="19"/>
  <c r="AM134" i="19"/>
  <c r="AN134" i="19"/>
  <c r="AQ134" i="19"/>
  <c r="AR134" i="19"/>
  <c r="AU134" i="19"/>
  <c r="AV134" i="19"/>
  <c r="AW134" i="19"/>
  <c r="K134" i="19" s="1"/>
  <c r="AZ134" i="19"/>
  <c r="BB134" i="19"/>
  <c r="BD134" i="19"/>
  <c r="I133" i="19"/>
  <c r="J133" i="19"/>
  <c r="P133" i="19"/>
  <c r="S133" i="19"/>
  <c r="T133" i="19"/>
  <c r="W133" i="19"/>
  <c r="X133" i="19"/>
  <c r="AA133" i="19"/>
  <c r="AE133" i="19"/>
  <c r="AF133" i="19"/>
  <c r="AI133" i="19"/>
  <c r="AJ133" i="19"/>
  <c r="AM133" i="19"/>
  <c r="AN133" i="19"/>
  <c r="AQ133" i="19"/>
  <c r="AR133" i="19"/>
  <c r="AU133" i="19"/>
  <c r="AV133" i="19"/>
  <c r="AW133" i="19"/>
  <c r="K133" i="19" s="1"/>
  <c r="AZ133" i="19"/>
  <c r="BB133" i="19"/>
  <c r="BD133" i="19"/>
  <c r="I132" i="19"/>
  <c r="J132" i="19"/>
  <c r="P132" i="19"/>
  <c r="S132" i="19"/>
  <c r="T132" i="19"/>
  <c r="W132" i="19"/>
  <c r="X132" i="19"/>
  <c r="AA132" i="19"/>
  <c r="AE132" i="19"/>
  <c r="AF132" i="19"/>
  <c r="AI132" i="19"/>
  <c r="AJ132" i="19"/>
  <c r="AM132" i="19"/>
  <c r="AN132" i="19"/>
  <c r="AQ132" i="19"/>
  <c r="AR132" i="19"/>
  <c r="AU132" i="19"/>
  <c r="AV132" i="19"/>
  <c r="AW132" i="19"/>
  <c r="K132" i="19" s="1"/>
  <c r="AZ132" i="19"/>
  <c r="BB132" i="19"/>
  <c r="BD132" i="19"/>
  <c r="I131" i="19"/>
  <c r="J131" i="19"/>
  <c r="P131" i="19"/>
  <c r="S131" i="19"/>
  <c r="T131" i="19"/>
  <c r="W131" i="19"/>
  <c r="X131" i="19"/>
  <c r="AA131" i="19"/>
  <c r="AE131" i="19"/>
  <c r="AF131" i="19"/>
  <c r="AI131" i="19"/>
  <c r="AJ131" i="19"/>
  <c r="AM131" i="19"/>
  <c r="AN131" i="19"/>
  <c r="AQ131" i="19"/>
  <c r="AR131" i="19"/>
  <c r="AU131" i="19"/>
  <c r="AV131" i="19"/>
  <c r="AW131" i="19"/>
  <c r="K131" i="19" s="1"/>
  <c r="AZ131" i="19"/>
  <c r="BB131" i="19"/>
  <c r="BD131" i="19"/>
  <c r="I130" i="19"/>
  <c r="J130" i="19"/>
  <c r="P130" i="19"/>
  <c r="S130" i="19"/>
  <c r="T130" i="19"/>
  <c r="W130" i="19"/>
  <c r="X130" i="19"/>
  <c r="AA130" i="19"/>
  <c r="AE130" i="19"/>
  <c r="AF130" i="19"/>
  <c r="AI130" i="19"/>
  <c r="AJ130" i="19"/>
  <c r="AM130" i="19"/>
  <c r="AN130" i="19"/>
  <c r="AQ130" i="19"/>
  <c r="AR130" i="19"/>
  <c r="AU130" i="19"/>
  <c r="AV130" i="19"/>
  <c r="AW130" i="19"/>
  <c r="K130" i="19" s="1"/>
  <c r="AZ130" i="19"/>
  <c r="BB130" i="19"/>
  <c r="BD130" i="19"/>
  <c r="I129" i="19"/>
  <c r="J129" i="19"/>
  <c r="P129" i="19"/>
  <c r="S129" i="19"/>
  <c r="T129" i="19"/>
  <c r="W129" i="19"/>
  <c r="X129" i="19"/>
  <c r="AA129" i="19"/>
  <c r="AE129" i="19"/>
  <c r="AF129" i="19"/>
  <c r="AI129" i="19"/>
  <c r="AJ129" i="19"/>
  <c r="AM129" i="19"/>
  <c r="AN129" i="19"/>
  <c r="AQ129" i="19"/>
  <c r="AR129" i="19"/>
  <c r="AU129" i="19"/>
  <c r="AV129" i="19"/>
  <c r="AW129" i="19"/>
  <c r="K129" i="19" s="1"/>
  <c r="AZ129" i="19"/>
  <c r="BB129" i="19"/>
  <c r="BD129" i="19"/>
  <c r="I128" i="19"/>
  <c r="J128" i="19"/>
  <c r="P128" i="19"/>
  <c r="S128" i="19"/>
  <c r="T128" i="19"/>
  <c r="W128" i="19"/>
  <c r="X128" i="19"/>
  <c r="AA128" i="19"/>
  <c r="AE128" i="19"/>
  <c r="AF128" i="19"/>
  <c r="AI128" i="19"/>
  <c r="AJ128" i="19"/>
  <c r="AM128" i="19"/>
  <c r="AN128" i="19"/>
  <c r="AQ128" i="19"/>
  <c r="AR128" i="19"/>
  <c r="AU128" i="19"/>
  <c r="AV128" i="19"/>
  <c r="AW128" i="19"/>
  <c r="K128" i="19" s="1"/>
  <c r="AZ128" i="19"/>
  <c r="BB128" i="19"/>
  <c r="BD128" i="19"/>
  <c r="I127" i="19"/>
  <c r="J127" i="19"/>
  <c r="O127" i="19"/>
  <c r="P127" i="19"/>
  <c r="T127" i="19"/>
  <c r="W127" i="19"/>
  <c r="X127" i="19"/>
  <c r="AA127" i="19"/>
  <c r="AE127" i="19"/>
  <c r="AF127" i="19"/>
  <c r="AI127" i="19"/>
  <c r="AJ127" i="19"/>
  <c r="AM127" i="19"/>
  <c r="AN127" i="19"/>
  <c r="AQ127" i="19"/>
  <c r="AR127" i="19"/>
  <c r="AU127" i="19"/>
  <c r="AV127" i="19"/>
  <c r="AW127" i="19"/>
  <c r="K127" i="19" s="1"/>
  <c r="AZ127" i="19"/>
  <c r="BB127" i="19"/>
  <c r="BD127" i="19"/>
  <c r="I126" i="19"/>
  <c r="J126" i="19"/>
  <c r="P126" i="19"/>
  <c r="S126" i="19"/>
  <c r="T126" i="19"/>
  <c r="W126" i="19"/>
  <c r="X126" i="19"/>
  <c r="AA126" i="19"/>
  <c r="AE126" i="19"/>
  <c r="AF126" i="19"/>
  <c r="AI126" i="19"/>
  <c r="AJ126" i="19"/>
  <c r="AM126" i="19"/>
  <c r="AN126" i="19"/>
  <c r="AQ126" i="19"/>
  <c r="AR126" i="19"/>
  <c r="AU126" i="19"/>
  <c r="AV126" i="19"/>
  <c r="AW126" i="19"/>
  <c r="K126" i="19" s="1"/>
  <c r="AZ126" i="19"/>
  <c r="BB126" i="19"/>
  <c r="BD126" i="19"/>
  <c r="I125" i="19"/>
  <c r="J125" i="19"/>
  <c r="P125" i="19"/>
  <c r="S125" i="19"/>
  <c r="T125" i="19"/>
  <c r="W125" i="19"/>
  <c r="X125" i="19"/>
  <c r="AA125" i="19"/>
  <c r="AE125" i="19"/>
  <c r="AF125" i="19"/>
  <c r="AI125" i="19"/>
  <c r="AJ125" i="19"/>
  <c r="AM125" i="19"/>
  <c r="AN125" i="19"/>
  <c r="AQ125" i="19"/>
  <c r="AR125" i="19"/>
  <c r="AU125" i="19"/>
  <c r="AV125" i="19"/>
  <c r="AW125" i="19"/>
  <c r="K125" i="19" s="1"/>
  <c r="AZ125" i="19"/>
  <c r="BB125" i="19"/>
  <c r="BD125" i="19"/>
  <c r="I124" i="19"/>
  <c r="J124" i="19"/>
  <c r="P124" i="19"/>
  <c r="S124" i="19"/>
  <c r="T124" i="19"/>
  <c r="W124" i="19"/>
  <c r="X124" i="19"/>
  <c r="AA124" i="19"/>
  <c r="AE124" i="19"/>
  <c r="AF124" i="19"/>
  <c r="AI124" i="19"/>
  <c r="AJ124" i="19"/>
  <c r="AM124" i="19"/>
  <c r="AN124" i="19"/>
  <c r="AQ124" i="19"/>
  <c r="AR124" i="19"/>
  <c r="AU124" i="19"/>
  <c r="AV124" i="19"/>
  <c r="AW124" i="19"/>
  <c r="K124" i="19" s="1"/>
  <c r="AZ124" i="19"/>
  <c r="BB124" i="19"/>
  <c r="BD124" i="19"/>
  <c r="I123" i="19"/>
  <c r="J123" i="19"/>
  <c r="P123" i="19"/>
  <c r="S123" i="19"/>
  <c r="T123" i="19"/>
  <c r="W123" i="19"/>
  <c r="X123" i="19"/>
  <c r="AA123" i="19"/>
  <c r="AE123" i="19"/>
  <c r="AF123" i="19"/>
  <c r="AI123" i="19"/>
  <c r="AJ123" i="19"/>
  <c r="AM123" i="19"/>
  <c r="AN123" i="19"/>
  <c r="AQ123" i="19"/>
  <c r="AR123" i="19"/>
  <c r="AU123" i="19"/>
  <c r="AV123" i="19"/>
  <c r="AW123" i="19"/>
  <c r="K123" i="19" s="1"/>
  <c r="AZ123" i="19"/>
  <c r="BB123" i="19"/>
  <c r="BD123" i="19"/>
  <c r="I122" i="19"/>
  <c r="J122" i="19"/>
  <c r="O122" i="19"/>
  <c r="P122" i="19"/>
  <c r="S122" i="19"/>
  <c r="T122" i="19"/>
  <c r="X122" i="19"/>
  <c r="AA122" i="19"/>
  <c r="AE122" i="19"/>
  <c r="AF122" i="19"/>
  <c r="AI122" i="19"/>
  <c r="AJ122" i="19"/>
  <c r="AM122" i="19"/>
  <c r="AN122" i="19"/>
  <c r="AQ122" i="19"/>
  <c r="AR122" i="19"/>
  <c r="AU122" i="19"/>
  <c r="AV122" i="19"/>
  <c r="AW122" i="19"/>
  <c r="K122" i="19" s="1"/>
  <c r="AZ122" i="19"/>
  <c r="BB122" i="19"/>
  <c r="BD122" i="19"/>
  <c r="I121" i="19"/>
  <c r="J121" i="19"/>
  <c r="P121" i="19"/>
  <c r="S121" i="19"/>
  <c r="T121" i="19"/>
  <c r="W121" i="19"/>
  <c r="X121" i="19"/>
  <c r="AA121" i="19"/>
  <c r="AE121" i="19"/>
  <c r="AF121" i="19"/>
  <c r="AI121" i="19"/>
  <c r="AJ121" i="19"/>
  <c r="AM121" i="19"/>
  <c r="AN121" i="19"/>
  <c r="AQ121" i="19"/>
  <c r="AR121" i="19"/>
  <c r="AU121" i="19"/>
  <c r="AV121" i="19"/>
  <c r="AW121" i="19"/>
  <c r="K121" i="19" s="1"/>
  <c r="AZ121" i="19"/>
  <c r="BB121" i="19"/>
  <c r="BD121" i="19"/>
  <c r="I120" i="19"/>
  <c r="J120" i="19"/>
  <c r="P120" i="19"/>
  <c r="S120" i="19"/>
  <c r="T120" i="19"/>
  <c r="W120" i="19"/>
  <c r="X120" i="19"/>
  <c r="AA120" i="19"/>
  <c r="AE120" i="19"/>
  <c r="AF120" i="19"/>
  <c r="AI120" i="19"/>
  <c r="AJ120" i="19"/>
  <c r="AM120" i="19"/>
  <c r="AN120" i="19"/>
  <c r="AQ120" i="19"/>
  <c r="AR120" i="19"/>
  <c r="AU120" i="19"/>
  <c r="AV120" i="19"/>
  <c r="AW120" i="19"/>
  <c r="K120" i="19" s="1"/>
  <c r="AZ120" i="19"/>
  <c r="BB120" i="19"/>
  <c r="BD120" i="19"/>
  <c r="I119" i="19"/>
  <c r="J119" i="19"/>
  <c r="P119" i="19"/>
  <c r="S119" i="19"/>
  <c r="T119" i="19"/>
  <c r="W119" i="19"/>
  <c r="X119" i="19"/>
  <c r="AA119" i="19"/>
  <c r="AE119" i="19"/>
  <c r="AF119" i="19"/>
  <c r="AI119" i="19"/>
  <c r="AJ119" i="19"/>
  <c r="AM119" i="19"/>
  <c r="AN119" i="19"/>
  <c r="AQ119" i="19"/>
  <c r="AR119" i="19"/>
  <c r="AU119" i="19"/>
  <c r="AV119" i="19"/>
  <c r="AW119" i="19"/>
  <c r="K119" i="19" s="1"/>
  <c r="AZ119" i="19"/>
  <c r="BB119" i="19"/>
  <c r="BD119" i="19"/>
  <c r="I118" i="19"/>
  <c r="J118" i="19"/>
  <c r="P118" i="19"/>
  <c r="S118" i="19"/>
  <c r="T118" i="19"/>
  <c r="W118" i="19"/>
  <c r="X118" i="19"/>
  <c r="AA118" i="19"/>
  <c r="AE118" i="19"/>
  <c r="AF118" i="19"/>
  <c r="AI118" i="19"/>
  <c r="AJ118" i="19"/>
  <c r="AM118" i="19"/>
  <c r="AN118" i="19"/>
  <c r="AQ118" i="19"/>
  <c r="AR118" i="19"/>
  <c r="AU118" i="19"/>
  <c r="AV118" i="19"/>
  <c r="AW118" i="19"/>
  <c r="K118" i="19" s="1"/>
  <c r="AZ118" i="19"/>
  <c r="BB118" i="19"/>
  <c r="BD118" i="19"/>
  <c r="I117" i="19"/>
  <c r="J117" i="19"/>
  <c r="P117" i="19"/>
  <c r="S117" i="19"/>
  <c r="T117" i="19"/>
  <c r="W117" i="19"/>
  <c r="X117" i="19"/>
  <c r="AA117" i="19"/>
  <c r="AE117" i="19"/>
  <c r="AF117" i="19"/>
  <c r="AI117" i="19"/>
  <c r="AJ117" i="19"/>
  <c r="AM117" i="19"/>
  <c r="AN117" i="19"/>
  <c r="AQ117" i="19"/>
  <c r="AR117" i="19"/>
  <c r="AU117" i="19"/>
  <c r="AV117" i="19"/>
  <c r="AW117" i="19"/>
  <c r="K117" i="19" s="1"/>
  <c r="AZ117" i="19"/>
  <c r="BB117" i="19"/>
  <c r="BD117" i="19"/>
  <c r="I116" i="19"/>
  <c r="J116" i="19"/>
  <c r="P116" i="19"/>
  <c r="S116" i="19"/>
  <c r="T116" i="19"/>
  <c r="W116" i="19"/>
  <c r="X116" i="19"/>
  <c r="AA116" i="19"/>
  <c r="AE116" i="19"/>
  <c r="AF116" i="19"/>
  <c r="AI116" i="19"/>
  <c r="AJ116" i="19"/>
  <c r="AM116" i="19"/>
  <c r="AN116" i="19"/>
  <c r="AQ116" i="19"/>
  <c r="AR116" i="19"/>
  <c r="AU116" i="19"/>
  <c r="AV116" i="19"/>
  <c r="AW116" i="19"/>
  <c r="K116" i="19" s="1"/>
  <c r="AZ116" i="19"/>
  <c r="BB116" i="19"/>
  <c r="BD116" i="19"/>
  <c r="I115" i="19"/>
  <c r="J115" i="19"/>
  <c r="P115" i="19"/>
  <c r="S115" i="19"/>
  <c r="T115" i="19"/>
  <c r="W115" i="19"/>
  <c r="X115" i="19"/>
  <c r="AA115" i="19"/>
  <c r="AE115" i="19"/>
  <c r="AF115" i="19"/>
  <c r="AI115" i="19"/>
  <c r="AJ115" i="19"/>
  <c r="AM115" i="19"/>
  <c r="AN115" i="19"/>
  <c r="AQ115" i="19"/>
  <c r="AR115" i="19"/>
  <c r="AU115" i="19"/>
  <c r="AV115" i="19"/>
  <c r="AW115" i="19"/>
  <c r="K115" i="19" s="1"/>
  <c r="AZ115" i="19"/>
  <c r="BB115" i="19"/>
  <c r="BD115" i="19"/>
  <c r="I114" i="19"/>
  <c r="J114" i="19"/>
  <c r="O114" i="19"/>
  <c r="P114" i="19"/>
  <c r="T114" i="19"/>
  <c r="W114" i="19"/>
  <c r="X114" i="19"/>
  <c r="AA114" i="19"/>
  <c r="AE114" i="19"/>
  <c r="AF114" i="19"/>
  <c r="AI114" i="19"/>
  <c r="AJ114" i="19"/>
  <c r="AM114" i="19"/>
  <c r="AN114" i="19"/>
  <c r="AQ114" i="19"/>
  <c r="AR114" i="19"/>
  <c r="AU114" i="19"/>
  <c r="AV114" i="19"/>
  <c r="AW114" i="19"/>
  <c r="K114" i="19" s="1"/>
  <c r="AZ114" i="19"/>
  <c r="BB114" i="19"/>
  <c r="BD114" i="19"/>
  <c r="I113" i="19"/>
  <c r="J113" i="19"/>
  <c r="P113" i="19"/>
  <c r="S113" i="19"/>
  <c r="T113" i="19"/>
  <c r="W113" i="19"/>
  <c r="X113" i="19"/>
  <c r="AA113" i="19"/>
  <c r="AE113" i="19"/>
  <c r="AF113" i="19"/>
  <c r="AI113" i="19"/>
  <c r="AJ113" i="19"/>
  <c r="AM113" i="19"/>
  <c r="AN113" i="19"/>
  <c r="AQ113" i="19"/>
  <c r="AR113" i="19"/>
  <c r="AU113" i="19"/>
  <c r="AV113" i="19"/>
  <c r="AW113" i="19"/>
  <c r="K113" i="19" s="1"/>
  <c r="AZ113" i="19"/>
  <c r="BB113" i="19"/>
  <c r="BD113" i="19"/>
  <c r="I112" i="19"/>
  <c r="J112" i="19"/>
  <c r="P112" i="19"/>
  <c r="S112" i="19"/>
  <c r="T112" i="19"/>
  <c r="W112" i="19"/>
  <c r="X112" i="19"/>
  <c r="AA112" i="19"/>
  <c r="AE112" i="19"/>
  <c r="AF112" i="19"/>
  <c r="AI112" i="19"/>
  <c r="AJ112" i="19"/>
  <c r="AM112" i="19"/>
  <c r="AN112" i="19"/>
  <c r="AQ112" i="19"/>
  <c r="AR112" i="19"/>
  <c r="AU112" i="19"/>
  <c r="AV112" i="19"/>
  <c r="AW112" i="19"/>
  <c r="K112" i="19" s="1"/>
  <c r="AZ112" i="19"/>
  <c r="BB112" i="19"/>
  <c r="BD112" i="19"/>
  <c r="I111" i="19"/>
  <c r="J111" i="19"/>
  <c r="P111" i="19"/>
  <c r="S111" i="19"/>
  <c r="T111" i="19"/>
  <c r="W111" i="19"/>
  <c r="X111" i="19"/>
  <c r="AA111" i="19"/>
  <c r="AE111" i="19"/>
  <c r="AF111" i="19"/>
  <c r="AI111" i="19"/>
  <c r="AJ111" i="19"/>
  <c r="AM111" i="19"/>
  <c r="AN111" i="19"/>
  <c r="AQ111" i="19"/>
  <c r="AR111" i="19"/>
  <c r="AU111" i="19"/>
  <c r="AV111" i="19"/>
  <c r="AW111" i="19"/>
  <c r="K111" i="19" s="1"/>
  <c r="AZ111" i="19"/>
  <c r="BB111" i="19"/>
  <c r="BD111" i="19"/>
  <c r="I110" i="19"/>
  <c r="J110" i="19"/>
  <c r="O110" i="19"/>
  <c r="P110" i="19"/>
  <c r="S110" i="19"/>
  <c r="T110" i="19"/>
  <c r="X110" i="19"/>
  <c r="AA110" i="19"/>
  <c r="AE110" i="19"/>
  <c r="AF110" i="19"/>
  <c r="AI110" i="19"/>
  <c r="AJ110" i="19"/>
  <c r="AM110" i="19"/>
  <c r="AN110" i="19"/>
  <c r="AQ110" i="19"/>
  <c r="AR110" i="19"/>
  <c r="AU110" i="19"/>
  <c r="AV110" i="19"/>
  <c r="AW110" i="19"/>
  <c r="K110" i="19" s="1"/>
  <c r="AZ110" i="19"/>
  <c r="BB110" i="19"/>
  <c r="BD110" i="19"/>
  <c r="I109" i="19"/>
  <c r="J109" i="19"/>
  <c r="O109" i="19"/>
  <c r="P109" i="19"/>
  <c r="T109" i="19"/>
  <c r="W109" i="19"/>
  <c r="X109" i="19"/>
  <c r="AA109" i="19"/>
  <c r="AE109" i="19"/>
  <c r="AF109" i="19"/>
  <c r="AI109" i="19"/>
  <c r="AJ109" i="19"/>
  <c r="AM109" i="19"/>
  <c r="AN109" i="19"/>
  <c r="AQ109" i="19"/>
  <c r="AR109" i="19"/>
  <c r="AU109" i="19"/>
  <c r="AV109" i="19"/>
  <c r="AW109" i="19"/>
  <c r="K109" i="19" s="1"/>
  <c r="AZ109" i="19"/>
  <c r="BB109" i="19"/>
  <c r="BD109" i="19"/>
  <c r="I108" i="19"/>
  <c r="J108" i="19"/>
  <c r="P108" i="19"/>
  <c r="S108" i="19"/>
  <c r="T108" i="19"/>
  <c r="W108" i="19"/>
  <c r="X108" i="19"/>
  <c r="AA108" i="19"/>
  <c r="AE108" i="19"/>
  <c r="AF108" i="19"/>
  <c r="AI108" i="19"/>
  <c r="AJ108" i="19"/>
  <c r="AM108" i="19"/>
  <c r="AN108" i="19"/>
  <c r="AQ108" i="19"/>
  <c r="AR108" i="19"/>
  <c r="AU108" i="19"/>
  <c r="AV108" i="19"/>
  <c r="AW108" i="19"/>
  <c r="K108" i="19" s="1"/>
  <c r="AZ108" i="19"/>
  <c r="BB108" i="19"/>
  <c r="BD108" i="19"/>
  <c r="I107" i="19"/>
  <c r="J107" i="19"/>
  <c r="P107" i="19"/>
  <c r="S107" i="19"/>
  <c r="T107" i="19"/>
  <c r="W107" i="19"/>
  <c r="X107" i="19"/>
  <c r="AA107" i="19"/>
  <c r="AE107" i="19"/>
  <c r="AF107" i="19"/>
  <c r="AI107" i="19"/>
  <c r="AJ107" i="19"/>
  <c r="AM107" i="19"/>
  <c r="AN107" i="19"/>
  <c r="AQ107" i="19"/>
  <c r="AR107" i="19"/>
  <c r="AU107" i="19"/>
  <c r="AV107" i="19"/>
  <c r="AW107" i="19"/>
  <c r="K107" i="19" s="1"/>
  <c r="AZ107" i="19"/>
  <c r="BB107" i="19"/>
  <c r="BD107" i="19"/>
  <c r="I106" i="19"/>
  <c r="J106" i="19"/>
  <c r="O106" i="19"/>
  <c r="P106" i="19"/>
  <c r="S106" i="19"/>
  <c r="T106" i="19"/>
  <c r="W106" i="19"/>
  <c r="X106" i="19"/>
  <c r="AA106" i="19"/>
  <c r="L106" i="19" s="1"/>
  <c r="AE106" i="19"/>
  <c r="AF106" i="19"/>
  <c r="AI106" i="19"/>
  <c r="AJ106" i="19"/>
  <c r="AM106" i="19"/>
  <c r="AN106" i="19"/>
  <c r="AQ106" i="19"/>
  <c r="AR106" i="19"/>
  <c r="AU106" i="19"/>
  <c r="AV106" i="19"/>
  <c r="AW106" i="19"/>
  <c r="K106" i="19" s="1"/>
  <c r="AZ106" i="19"/>
  <c r="BB106" i="19"/>
  <c r="BD106" i="19"/>
  <c r="I105" i="19"/>
  <c r="J105" i="19"/>
  <c r="P105" i="19"/>
  <c r="S105" i="19"/>
  <c r="T105" i="19"/>
  <c r="W105" i="19"/>
  <c r="X105" i="19"/>
  <c r="AA105" i="19"/>
  <c r="AE105" i="19"/>
  <c r="AF105" i="19"/>
  <c r="AI105" i="19"/>
  <c r="AJ105" i="19"/>
  <c r="AM105" i="19"/>
  <c r="AN105" i="19"/>
  <c r="AQ105" i="19"/>
  <c r="AR105" i="19"/>
  <c r="AU105" i="19"/>
  <c r="AV105" i="19"/>
  <c r="AW105" i="19"/>
  <c r="K105" i="19" s="1"/>
  <c r="AZ105" i="19"/>
  <c r="BB105" i="19"/>
  <c r="BD105" i="19"/>
  <c r="I104" i="19"/>
  <c r="J104" i="19"/>
  <c r="P104" i="19"/>
  <c r="S104" i="19"/>
  <c r="T104" i="19"/>
  <c r="W104" i="19"/>
  <c r="X104" i="19"/>
  <c r="AA104" i="19"/>
  <c r="AE104" i="19"/>
  <c r="AF104" i="19"/>
  <c r="AI104" i="19"/>
  <c r="AJ104" i="19"/>
  <c r="AM104" i="19"/>
  <c r="AN104" i="19"/>
  <c r="AQ104" i="19"/>
  <c r="AR104" i="19"/>
  <c r="AU104" i="19"/>
  <c r="AV104" i="19"/>
  <c r="AW104" i="19"/>
  <c r="K104" i="19" s="1"/>
  <c r="AZ104" i="19"/>
  <c r="BB104" i="19"/>
  <c r="BD104" i="19"/>
  <c r="I103" i="19"/>
  <c r="J103" i="19"/>
  <c r="P103" i="19"/>
  <c r="S103" i="19"/>
  <c r="T103" i="19"/>
  <c r="W103" i="19"/>
  <c r="X103" i="19"/>
  <c r="AA103" i="19"/>
  <c r="AE103" i="19"/>
  <c r="AF103" i="19"/>
  <c r="AI103" i="19"/>
  <c r="AJ103" i="19"/>
  <c r="AM103" i="19"/>
  <c r="AN103" i="19"/>
  <c r="AQ103" i="19"/>
  <c r="AR103" i="19"/>
  <c r="AU103" i="19"/>
  <c r="AV103" i="19"/>
  <c r="AW103" i="19"/>
  <c r="K103" i="19" s="1"/>
  <c r="AZ103" i="19"/>
  <c r="BB103" i="19"/>
  <c r="BD103" i="19"/>
  <c r="I102" i="19"/>
  <c r="J102" i="19"/>
  <c r="P102" i="19"/>
  <c r="S102" i="19"/>
  <c r="T102" i="19"/>
  <c r="W102" i="19"/>
  <c r="X102" i="19"/>
  <c r="AA102" i="19"/>
  <c r="AE102" i="19"/>
  <c r="AF102" i="19"/>
  <c r="AI102" i="19"/>
  <c r="AJ102" i="19"/>
  <c r="AM102" i="19"/>
  <c r="AN102" i="19"/>
  <c r="AQ102" i="19"/>
  <c r="AR102" i="19"/>
  <c r="AU102" i="19"/>
  <c r="AV102" i="19"/>
  <c r="AW102" i="19"/>
  <c r="K102" i="19" s="1"/>
  <c r="AZ102" i="19"/>
  <c r="BB102" i="19"/>
  <c r="BD102" i="19"/>
  <c r="I101" i="19"/>
  <c r="J101" i="19"/>
  <c r="O101" i="19"/>
  <c r="P101" i="19"/>
  <c r="S101" i="19"/>
  <c r="T101" i="19"/>
  <c r="W101" i="19"/>
  <c r="X101" i="19"/>
  <c r="AA101" i="19"/>
  <c r="AE101" i="19"/>
  <c r="AF101" i="19"/>
  <c r="AI101" i="19"/>
  <c r="AJ101" i="19"/>
  <c r="AM101" i="19"/>
  <c r="AN101" i="19"/>
  <c r="AQ101" i="19"/>
  <c r="AR101" i="19"/>
  <c r="AU101" i="19"/>
  <c r="AV101" i="19"/>
  <c r="AW101" i="19"/>
  <c r="K101" i="19" s="1"/>
  <c r="AZ101" i="19"/>
  <c r="L101" i="19" s="1"/>
  <c r="BB101" i="19"/>
  <c r="BD101" i="19"/>
  <c r="I100" i="19"/>
  <c r="J100" i="19"/>
  <c r="O100" i="19"/>
  <c r="P100" i="19"/>
  <c r="S100" i="19"/>
  <c r="T100" i="19"/>
  <c r="W100" i="19"/>
  <c r="X100" i="19"/>
  <c r="AA100" i="19"/>
  <c r="AE100" i="19"/>
  <c r="AF100" i="19"/>
  <c r="AI100" i="19"/>
  <c r="AJ100" i="19"/>
  <c r="AM100" i="19"/>
  <c r="AN100" i="19"/>
  <c r="AQ100" i="19"/>
  <c r="AR100" i="19"/>
  <c r="AU100" i="19"/>
  <c r="AV100" i="19"/>
  <c r="AW100" i="19"/>
  <c r="K100" i="19" s="1"/>
  <c r="AZ100" i="19"/>
  <c r="L100" i="19" s="1"/>
  <c r="BB100" i="19"/>
  <c r="BD100" i="19"/>
  <c r="I99" i="19"/>
  <c r="J99" i="19"/>
  <c r="O99" i="19"/>
  <c r="P99" i="19"/>
  <c r="T99" i="19"/>
  <c r="W99" i="19"/>
  <c r="X99" i="19"/>
  <c r="AA99" i="19"/>
  <c r="AE99" i="19"/>
  <c r="AF99" i="19"/>
  <c r="AI99" i="19"/>
  <c r="AJ99" i="19"/>
  <c r="AM99" i="19"/>
  <c r="AN99" i="19"/>
  <c r="AQ99" i="19"/>
  <c r="AR99" i="19"/>
  <c r="AU99" i="19"/>
  <c r="AV99" i="19"/>
  <c r="AW99" i="19"/>
  <c r="K99" i="19" s="1"/>
  <c r="AZ99" i="19"/>
  <c r="BB99" i="19"/>
  <c r="BD99" i="19"/>
  <c r="I98" i="19"/>
  <c r="J98" i="19"/>
  <c r="O98" i="19"/>
  <c r="P98" i="19"/>
  <c r="T98" i="19"/>
  <c r="W98" i="19"/>
  <c r="X98" i="19"/>
  <c r="AA98" i="19"/>
  <c r="AE98" i="19"/>
  <c r="AF98" i="19"/>
  <c r="AI98" i="19"/>
  <c r="AJ98" i="19"/>
  <c r="AM98" i="19"/>
  <c r="AN98" i="19"/>
  <c r="AQ98" i="19"/>
  <c r="AR98" i="19"/>
  <c r="AU98" i="19"/>
  <c r="AV98" i="19"/>
  <c r="AW98" i="19"/>
  <c r="K98" i="19" s="1"/>
  <c r="AZ98" i="19"/>
  <c r="BB98" i="19"/>
  <c r="BD98" i="19"/>
  <c r="I97" i="19"/>
  <c r="J97" i="19"/>
  <c r="P97" i="19"/>
  <c r="S97" i="19"/>
  <c r="T97" i="19"/>
  <c r="W97" i="19"/>
  <c r="X97" i="19"/>
  <c r="AA97" i="19"/>
  <c r="AE97" i="19"/>
  <c r="AF97" i="19"/>
  <c r="AI97" i="19"/>
  <c r="AJ97" i="19"/>
  <c r="AM97" i="19"/>
  <c r="AN97" i="19"/>
  <c r="AQ97" i="19"/>
  <c r="AR97" i="19"/>
  <c r="AU97" i="19"/>
  <c r="AV97" i="19"/>
  <c r="AW97" i="19"/>
  <c r="K97" i="19" s="1"/>
  <c r="AZ97" i="19"/>
  <c r="BB97" i="19"/>
  <c r="BD97" i="19"/>
  <c r="I96" i="19"/>
  <c r="J96" i="19"/>
  <c r="O96" i="19"/>
  <c r="P96" i="19"/>
  <c r="T96" i="19"/>
  <c r="W96" i="19"/>
  <c r="X96" i="19"/>
  <c r="AA96" i="19"/>
  <c r="AE96" i="19"/>
  <c r="AF96" i="19"/>
  <c r="AI96" i="19"/>
  <c r="AJ96" i="19"/>
  <c r="AM96" i="19"/>
  <c r="AN96" i="19"/>
  <c r="AQ96" i="19"/>
  <c r="AR96" i="19"/>
  <c r="AU96" i="19"/>
  <c r="AV96" i="19"/>
  <c r="AW96" i="19"/>
  <c r="K96" i="19" s="1"/>
  <c r="AZ96" i="19"/>
  <c r="BB96" i="19"/>
  <c r="BD96" i="19"/>
  <c r="I95" i="19"/>
  <c r="J95" i="19"/>
  <c r="P95" i="19"/>
  <c r="S95" i="19"/>
  <c r="T95" i="19"/>
  <c r="W95" i="19"/>
  <c r="X95" i="19"/>
  <c r="AA95" i="19"/>
  <c r="AE95" i="19"/>
  <c r="AF95" i="19"/>
  <c r="AI95" i="19"/>
  <c r="AJ95" i="19"/>
  <c r="AM95" i="19"/>
  <c r="AN95" i="19"/>
  <c r="AQ95" i="19"/>
  <c r="AR95" i="19"/>
  <c r="AU95" i="19"/>
  <c r="AV95" i="19"/>
  <c r="AW95" i="19"/>
  <c r="K95" i="19" s="1"/>
  <c r="AZ95" i="19"/>
  <c r="BB95" i="19"/>
  <c r="BD95" i="19"/>
  <c r="I94" i="19"/>
  <c r="J94" i="19"/>
  <c r="P94" i="19"/>
  <c r="S94" i="19"/>
  <c r="T94" i="19"/>
  <c r="W94" i="19"/>
  <c r="X94" i="19"/>
  <c r="AA94" i="19"/>
  <c r="AE94" i="19"/>
  <c r="AF94" i="19"/>
  <c r="AI94" i="19"/>
  <c r="AJ94" i="19"/>
  <c r="AM94" i="19"/>
  <c r="AN94" i="19"/>
  <c r="AQ94" i="19"/>
  <c r="AR94" i="19"/>
  <c r="AU94" i="19"/>
  <c r="AV94" i="19"/>
  <c r="AW94" i="19"/>
  <c r="K94" i="19" s="1"/>
  <c r="AZ94" i="19"/>
  <c r="BB94" i="19"/>
  <c r="BD94" i="19"/>
  <c r="I93" i="19"/>
  <c r="J93" i="19"/>
  <c r="P93" i="19"/>
  <c r="S93" i="19"/>
  <c r="T93" i="19"/>
  <c r="W93" i="19"/>
  <c r="X93" i="19"/>
  <c r="AA93" i="19"/>
  <c r="AE93" i="19"/>
  <c r="AF93" i="19"/>
  <c r="AI93" i="19"/>
  <c r="AJ93" i="19"/>
  <c r="AM93" i="19"/>
  <c r="AN93" i="19"/>
  <c r="AQ93" i="19"/>
  <c r="AR93" i="19"/>
  <c r="AU93" i="19"/>
  <c r="AV93" i="19"/>
  <c r="AW93" i="19"/>
  <c r="K93" i="19" s="1"/>
  <c r="AZ93" i="19"/>
  <c r="BB93" i="19"/>
  <c r="BD93" i="19"/>
  <c r="I92" i="19"/>
  <c r="J92" i="19"/>
  <c r="P92" i="19"/>
  <c r="S92" i="19"/>
  <c r="T92" i="19"/>
  <c r="W92" i="19"/>
  <c r="X92" i="19"/>
  <c r="AA92" i="19"/>
  <c r="AE92" i="19"/>
  <c r="AF92" i="19"/>
  <c r="AI92" i="19"/>
  <c r="AJ92" i="19"/>
  <c r="AM92" i="19"/>
  <c r="AN92" i="19"/>
  <c r="AQ92" i="19"/>
  <c r="AR92" i="19"/>
  <c r="AU92" i="19"/>
  <c r="AV92" i="19"/>
  <c r="AW92" i="19"/>
  <c r="K92" i="19" s="1"/>
  <c r="AZ92" i="19"/>
  <c r="BB92" i="19"/>
  <c r="BD92" i="19"/>
  <c r="I91" i="19"/>
  <c r="J91" i="19"/>
  <c r="P91" i="19"/>
  <c r="S91" i="19"/>
  <c r="T91" i="19"/>
  <c r="W91" i="19"/>
  <c r="X91" i="19"/>
  <c r="AA91" i="19"/>
  <c r="AE91" i="19"/>
  <c r="AF91" i="19"/>
  <c r="AI91" i="19"/>
  <c r="AJ91" i="19"/>
  <c r="AM91" i="19"/>
  <c r="AN91" i="19"/>
  <c r="AQ91" i="19"/>
  <c r="AR91" i="19"/>
  <c r="AU91" i="19"/>
  <c r="AV91" i="19"/>
  <c r="AW91" i="19"/>
  <c r="K91" i="19" s="1"/>
  <c r="AZ91" i="19"/>
  <c r="BB91" i="19"/>
  <c r="BD91" i="19"/>
  <c r="I90" i="19"/>
  <c r="J90" i="19"/>
  <c r="P90" i="19"/>
  <c r="S90" i="19"/>
  <c r="T90" i="19"/>
  <c r="W90" i="19"/>
  <c r="X90" i="19"/>
  <c r="AA90" i="19"/>
  <c r="AE90" i="19"/>
  <c r="AF90" i="19"/>
  <c r="AI90" i="19"/>
  <c r="AJ90" i="19"/>
  <c r="AM90" i="19"/>
  <c r="AN90" i="19"/>
  <c r="AQ90" i="19"/>
  <c r="AR90" i="19"/>
  <c r="AU90" i="19"/>
  <c r="AV90" i="19"/>
  <c r="AW90" i="19"/>
  <c r="K90" i="19" s="1"/>
  <c r="AZ90" i="19"/>
  <c r="BB90" i="19"/>
  <c r="BD90" i="19"/>
  <c r="I89" i="19"/>
  <c r="J89" i="19"/>
  <c r="P89" i="19"/>
  <c r="S89" i="19"/>
  <c r="T89" i="19"/>
  <c r="W89" i="19"/>
  <c r="X89" i="19"/>
  <c r="AA89" i="19"/>
  <c r="AE89" i="19"/>
  <c r="AF89" i="19"/>
  <c r="AI89" i="19"/>
  <c r="AJ89" i="19"/>
  <c r="AM89" i="19"/>
  <c r="AN89" i="19"/>
  <c r="AQ89" i="19"/>
  <c r="AR89" i="19"/>
  <c r="AU89" i="19"/>
  <c r="AV89" i="19"/>
  <c r="AW89" i="19"/>
  <c r="K89" i="19" s="1"/>
  <c r="AZ89" i="19"/>
  <c r="BB89" i="19"/>
  <c r="BD89" i="19"/>
  <c r="I88" i="19"/>
  <c r="J88" i="19"/>
  <c r="P88" i="19"/>
  <c r="S88" i="19"/>
  <c r="T88" i="19"/>
  <c r="W88" i="19"/>
  <c r="X88" i="19"/>
  <c r="AA88" i="19"/>
  <c r="AE88" i="19"/>
  <c r="AF88" i="19"/>
  <c r="AI88" i="19"/>
  <c r="AJ88" i="19"/>
  <c r="AM88" i="19"/>
  <c r="AN88" i="19"/>
  <c r="AQ88" i="19"/>
  <c r="AR88" i="19"/>
  <c r="AU88" i="19"/>
  <c r="AV88" i="19"/>
  <c r="AW88" i="19"/>
  <c r="K88" i="19" s="1"/>
  <c r="AZ88" i="19"/>
  <c r="BB88" i="19"/>
  <c r="BD88" i="19"/>
  <c r="I87" i="19"/>
  <c r="J87" i="19"/>
  <c r="P87" i="19"/>
  <c r="S87" i="19"/>
  <c r="T87" i="19"/>
  <c r="W87" i="19"/>
  <c r="X87" i="19"/>
  <c r="AA87" i="19"/>
  <c r="AE87" i="19"/>
  <c r="AF87" i="19"/>
  <c r="AI87" i="19"/>
  <c r="AJ87" i="19"/>
  <c r="AM87" i="19"/>
  <c r="AN87" i="19"/>
  <c r="AQ87" i="19"/>
  <c r="AR87" i="19"/>
  <c r="AU87" i="19"/>
  <c r="AV87" i="19"/>
  <c r="AW87" i="19"/>
  <c r="K87" i="19" s="1"/>
  <c r="AZ87" i="19"/>
  <c r="BB87" i="19"/>
  <c r="BD87" i="19"/>
  <c r="I86" i="19"/>
  <c r="J86" i="19"/>
  <c r="P86" i="19"/>
  <c r="S86" i="19"/>
  <c r="T86" i="19"/>
  <c r="W86" i="19"/>
  <c r="X86" i="19"/>
  <c r="AA86" i="19"/>
  <c r="AE86" i="19"/>
  <c r="AF86" i="19"/>
  <c r="AI86" i="19"/>
  <c r="AJ86" i="19"/>
  <c r="AM86" i="19"/>
  <c r="AN86" i="19"/>
  <c r="AQ86" i="19"/>
  <c r="AR86" i="19"/>
  <c r="AU86" i="19"/>
  <c r="AV86" i="19"/>
  <c r="AW86" i="19"/>
  <c r="K86" i="19" s="1"/>
  <c r="AZ86" i="19"/>
  <c r="BB86" i="19"/>
  <c r="BD86" i="19"/>
  <c r="I85" i="19"/>
  <c r="J85" i="19"/>
  <c r="P85" i="19"/>
  <c r="S85" i="19"/>
  <c r="T85" i="19"/>
  <c r="W85" i="19"/>
  <c r="X85" i="19"/>
  <c r="AA85" i="19"/>
  <c r="AE85" i="19"/>
  <c r="AF85" i="19"/>
  <c r="AI85" i="19"/>
  <c r="AJ85" i="19"/>
  <c r="AM85" i="19"/>
  <c r="AN85" i="19"/>
  <c r="AQ85" i="19"/>
  <c r="AR85" i="19"/>
  <c r="AU85" i="19"/>
  <c r="AV85" i="19"/>
  <c r="AW85" i="19"/>
  <c r="K85" i="19" s="1"/>
  <c r="AZ85" i="19"/>
  <c r="BB85" i="19"/>
  <c r="BD85" i="19"/>
  <c r="I84" i="19"/>
  <c r="J84" i="19"/>
  <c r="P84" i="19"/>
  <c r="S84" i="19"/>
  <c r="T84" i="19"/>
  <c r="W84" i="19"/>
  <c r="X84" i="19"/>
  <c r="AA84" i="19"/>
  <c r="AE84" i="19"/>
  <c r="AF84" i="19"/>
  <c r="AI84" i="19"/>
  <c r="AJ84" i="19"/>
  <c r="AM84" i="19"/>
  <c r="AN84" i="19"/>
  <c r="AQ84" i="19"/>
  <c r="AR84" i="19"/>
  <c r="AU84" i="19"/>
  <c r="AV84" i="19"/>
  <c r="AW84" i="19"/>
  <c r="K84" i="19" s="1"/>
  <c r="AZ84" i="19"/>
  <c r="BB84" i="19"/>
  <c r="BD84" i="19"/>
  <c r="I83" i="19"/>
  <c r="J83" i="19"/>
  <c r="P83" i="19"/>
  <c r="S83" i="19"/>
  <c r="T83" i="19"/>
  <c r="W83" i="19"/>
  <c r="X83" i="19"/>
  <c r="AA83" i="19"/>
  <c r="AE83" i="19"/>
  <c r="AF83" i="19"/>
  <c r="AI83" i="19"/>
  <c r="AJ83" i="19"/>
  <c r="AM83" i="19"/>
  <c r="AN83" i="19"/>
  <c r="AQ83" i="19"/>
  <c r="AR83" i="19"/>
  <c r="AU83" i="19"/>
  <c r="AV83" i="19"/>
  <c r="AW83" i="19"/>
  <c r="K83" i="19" s="1"/>
  <c r="AZ83" i="19"/>
  <c r="BB83" i="19"/>
  <c r="BD83" i="19"/>
  <c r="I82" i="19"/>
  <c r="J82" i="19"/>
  <c r="P82" i="19"/>
  <c r="S82" i="19"/>
  <c r="T82" i="19"/>
  <c r="W82" i="19"/>
  <c r="X82" i="19"/>
  <c r="AA82" i="19"/>
  <c r="AE82" i="19"/>
  <c r="AF82" i="19"/>
  <c r="AI82" i="19"/>
  <c r="AJ82" i="19"/>
  <c r="AM82" i="19"/>
  <c r="AN82" i="19"/>
  <c r="AQ82" i="19"/>
  <c r="AR82" i="19"/>
  <c r="AU82" i="19"/>
  <c r="AV82" i="19"/>
  <c r="AW82" i="19"/>
  <c r="K82" i="19" s="1"/>
  <c r="AZ82" i="19"/>
  <c r="BB82" i="19"/>
  <c r="BD82" i="19"/>
  <c r="I81" i="19"/>
  <c r="J81" i="19"/>
  <c r="P81" i="19"/>
  <c r="S81" i="19"/>
  <c r="T81" i="19"/>
  <c r="W81" i="19"/>
  <c r="X81" i="19"/>
  <c r="AA81" i="19"/>
  <c r="AE81" i="19"/>
  <c r="AF81" i="19"/>
  <c r="AI81" i="19"/>
  <c r="AJ81" i="19"/>
  <c r="AM81" i="19"/>
  <c r="AN81" i="19"/>
  <c r="AQ81" i="19"/>
  <c r="AR81" i="19"/>
  <c r="AU81" i="19"/>
  <c r="AV81" i="19"/>
  <c r="AW81" i="19"/>
  <c r="K81" i="19" s="1"/>
  <c r="AZ81" i="19"/>
  <c r="BB81" i="19"/>
  <c r="BD81" i="19"/>
  <c r="I80" i="19"/>
  <c r="J80" i="19"/>
  <c r="P80" i="19"/>
  <c r="S80" i="19"/>
  <c r="T80" i="19"/>
  <c r="W80" i="19"/>
  <c r="X80" i="19"/>
  <c r="AA80" i="19"/>
  <c r="AE80" i="19"/>
  <c r="AF80" i="19"/>
  <c r="AI80" i="19"/>
  <c r="AJ80" i="19"/>
  <c r="AM80" i="19"/>
  <c r="AN80" i="19"/>
  <c r="AQ80" i="19"/>
  <c r="AR80" i="19"/>
  <c r="AU80" i="19"/>
  <c r="AV80" i="19"/>
  <c r="AW80" i="19"/>
  <c r="K80" i="19" s="1"/>
  <c r="AZ80" i="19"/>
  <c r="BB80" i="19"/>
  <c r="BD80" i="19"/>
  <c r="I79" i="19"/>
  <c r="J79" i="19"/>
  <c r="P79" i="19"/>
  <c r="S79" i="19"/>
  <c r="T79" i="19"/>
  <c r="W79" i="19"/>
  <c r="X79" i="19"/>
  <c r="AA79" i="19"/>
  <c r="AE79" i="19"/>
  <c r="AF79" i="19"/>
  <c r="AI79" i="19"/>
  <c r="AJ79" i="19"/>
  <c r="AM79" i="19"/>
  <c r="AN79" i="19"/>
  <c r="AQ79" i="19"/>
  <c r="AR79" i="19"/>
  <c r="AU79" i="19"/>
  <c r="AV79" i="19"/>
  <c r="AW79" i="19"/>
  <c r="K79" i="19" s="1"/>
  <c r="AZ79" i="19"/>
  <c r="BB79" i="19"/>
  <c r="BD79" i="19"/>
  <c r="I78" i="19"/>
  <c r="J78" i="19"/>
  <c r="P78" i="19"/>
  <c r="S78" i="19"/>
  <c r="T78" i="19"/>
  <c r="W78" i="19"/>
  <c r="X78" i="19"/>
  <c r="AA78" i="19"/>
  <c r="AE78" i="19"/>
  <c r="AF78" i="19"/>
  <c r="AI78" i="19"/>
  <c r="AJ78" i="19"/>
  <c r="AM78" i="19"/>
  <c r="AN78" i="19"/>
  <c r="AQ78" i="19"/>
  <c r="AR78" i="19"/>
  <c r="AU78" i="19"/>
  <c r="AV78" i="19"/>
  <c r="AW78" i="19"/>
  <c r="K78" i="19" s="1"/>
  <c r="AZ78" i="19"/>
  <c r="BB78" i="19"/>
  <c r="BD78" i="19"/>
  <c r="I77" i="19"/>
  <c r="J77" i="19"/>
  <c r="P77" i="19"/>
  <c r="S77" i="19"/>
  <c r="T77" i="19"/>
  <c r="W77" i="19"/>
  <c r="X77" i="19"/>
  <c r="AA77" i="19"/>
  <c r="AE77" i="19"/>
  <c r="AF77" i="19"/>
  <c r="AI77" i="19"/>
  <c r="AJ77" i="19"/>
  <c r="AM77" i="19"/>
  <c r="AN77" i="19"/>
  <c r="AQ77" i="19"/>
  <c r="AR77" i="19"/>
  <c r="AU77" i="19"/>
  <c r="AV77" i="19"/>
  <c r="AW77" i="19"/>
  <c r="K77" i="19" s="1"/>
  <c r="AZ77" i="19"/>
  <c r="BB77" i="19"/>
  <c r="BD77" i="19"/>
  <c r="I76" i="19"/>
  <c r="J76" i="19"/>
  <c r="P76" i="19"/>
  <c r="S76" i="19"/>
  <c r="T76" i="19"/>
  <c r="W76" i="19"/>
  <c r="X76" i="19"/>
  <c r="AA76" i="19"/>
  <c r="AE76" i="19"/>
  <c r="AF76" i="19"/>
  <c r="AI76" i="19"/>
  <c r="AJ76" i="19"/>
  <c r="AM76" i="19"/>
  <c r="AN76" i="19"/>
  <c r="AQ76" i="19"/>
  <c r="AR76" i="19"/>
  <c r="AU76" i="19"/>
  <c r="AV76" i="19"/>
  <c r="AW76" i="19"/>
  <c r="K76" i="19" s="1"/>
  <c r="AZ76" i="19"/>
  <c r="BB76" i="19"/>
  <c r="BD76" i="19"/>
  <c r="I75" i="19"/>
  <c r="J75" i="19"/>
  <c r="P75" i="19"/>
  <c r="S75" i="19"/>
  <c r="T75" i="19"/>
  <c r="W75" i="19"/>
  <c r="X75" i="19"/>
  <c r="AA75" i="19"/>
  <c r="AE75" i="19"/>
  <c r="AF75" i="19"/>
  <c r="AI75" i="19"/>
  <c r="AJ75" i="19"/>
  <c r="AM75" i="19"/>
  <c r="AN75" i="19"/>
  <c r="AQ75" i="19"/>
  <c r="AR75" i="19"/>
  <c r="AU75" i="19"/>
  <c r="AV75" i="19"/>
  <c r="AW75" i="19"/>
  <c r="K75" i="19" s="1"/>
  <c r="AZ75" i="19"/>
  <c r="BB75" i="19"/>
  <c r="BD75" i="19"/>
  <c r="I74" i="19"/>
  <c r="J74" i="19"/>
  <c r="P74" i="19"/>
  <c r="S74" i="19"/>
  <c r="T74" i="19"/>
  <c r="W74" i="19"/>
  <c r="X74" i="19"/>
  <c r="AA74" i="19"/>
  <c r="AE74" i="19"/>
  <c r="AF74" i="19"/>
  <c r="AI74" i="19"/>
  <c r="AJ74" i="19"/>
  <c r="AM74" i="19"/>
  <c r="AN74" i="19"/>
  <c r="AQ74" i="19"/>
  <c r="AR74" i="19"/>
  <c r="AU74" i="19"/>
  <c r="AV74" i="19"/>
  <c r="AW74" i="19"/>
  <c r="K74" i="19" s="1"/>
  <c r="AZ74" i="19"/>
  <c r="BB74" i="19"/>
  <c r="BD74" i="19"/>
  <c r="I73" i="19"/>
  <c r="J73" i="19"/>
  <c r="P73" i="19"/>
  <c r="S73" i="19"/>
  <c r="T73" i="19"/>
  <c r="W73" i="19"/>
  <c r="X73" i="19"/>
  <c r="AA73" i="19"/>
  <c r="AE73" i="19"/>
  <c r="AF73" i="19"/>
  <c r="AI73" i="19"/>
  <c r="AJ73" i="19"/>
  <c r="AM73" i="19"/>
  <c r="AN73" i="19"/>
  <c r="AQ73" i="19"/>
  <c r="AR73" i="19"/>
  <c r="AU73" i="19"/>
  <c r="AV73" i="19"/>
  <c r="AW73" i="19"/>
  <c r="K73" i="19" s="1"/>
  <c r="AZ73" i="19"/>
  <c r="BB73" i="19"/>
  <c r="BD73" i="19"/>
  <c r="I72" i="19"/>
  <c r="J72" i="19"/>
  <c r="P72" i="19"/>
  <c r="S72" i="19"/>
  <c r="T72" i="19"/>
  <c r="W72" i="19"/>
  <c r="X72" i="19"/>
  <c r="AA72" i="19"/>
  <c r="AE72" i="19"/>
  <c r="AF72" i="19"/>
  <c r="AI72" i="19"/>
  <c r="AJ72" i="19"/>
  <c r="AM72" i="19"/>
  <c r="AN72" i="19"/>
  <c r="AQ72" i="19"/>
  <c r="AR72" i="19"/>
  <c r="AU72" i="19"/>
  <c r="AV72" i="19"/>
  <c r="AW72" i="19"/>
  <c r="K72" i="19" s="1"/>
  <c r="AZ72" i="19"/>
  <c r="BB72" i="19"/>
  <c r="BD72" i="19"/>
  <c r="I71" i="19"/>
  <c r="J71" i="19"/>
  <c r="P71" i="19"/>
  <c r="S71" i="19"/>
  <c r="T71" i="19"/>
  <c r="W71" i="19"/>
  <c r="X71" i="19"/>
  <c r="AA71" i="19"/>
  <c r="AE71" i="19"/>
  <c r="AF71" i="19"/>
  <c r="AI71" i="19"/>
  <c r="AJ71" i="19"/>
  <c r="AM71" i="19"/>
  <c r="AN71" i="19"/>
  <c r="AQ71" i="19"/>
  <c r="AR71" i="19"/>
  <c r="AU71" i="19"/>
  <c r="AV71" i="19"/>
  <c r="AW71" i="19"/>
  <c r="K71" i="19" s="1"/>
  <c r="AZ71" i="19"/>
  <c r="BB71" i="19"/>
  <c r="BD71" i="19"/>
  <c r="I70" i="19"/>
  <c r="J70" i="19"/>
  <c r="P70" i="19"/>
  <c r="S70" i="19"/>
  <c r="T70" i="19"/>
  <c r="W70" i="19"/>
  <c r="X70" i="19"/>
  <c r="AA70" i="19"/>
  <c r="AE70" i="19"/>
  <c r="AF70" i="19"/>
  <c r="AI70" i="19"/>
  <c r="AJ70" i="19"/>
  <c r="AM70" i="19"/>
  <c r="AN70" i="19"/>
  <c r="AQ70" i="19"/>
  <c r="AR70" i="19"/>
  <c r="AU70" i="19"/>
  <c r="AV70" i="19"/>
  <c r="AW70" i="19"/>
  <c r="K70" i="19" s="1"/>
  <c r="AZ70" i="19"/>
  <c r="BB70" i="19"/>
  <c r="BD70" i="19"/>
  <c r="I69" i="19"/>
  <c r="J69" i="19"/>
  <c r="P69" i="19"/>
  <c r="S69" i="19"/>
  <c r="T69" i="19"/>
  <c r="W69" i="19"/>
  <c r="X69" i="19"/>
  <c r="AA69" i="19"/>
  <c r="AE69" i="19"/>
  <c r="AF69" i="19"/>
  <c r="AI69" i="19"/>
  <c r="AJ69" i="19"/>
  <c r="AM69" i="19"/>
  <c r="AN69" i="19"/>
  <c r="AQ69" i="19"/>
  <c r="AR69" i="19"/>
  <c r="AU69" i="19"/>
  <c r="AV69" i="19"/>
  <c r="AW69" i="19"/>
  <c r="K69" i="19" s="1"/>
  <c r="AZ69" i="19"/>
  <c r="BB69" i="19"/>
  <c r="BD69" i="19"/>
  <c r="I68" i="19"/>
  <c r="J68" i="19"/>
  <c r="P68" i="19"/>
  <c r="S68" i="19"/>
  <c r="T68" i="19"/>
  <c r="W68" i="19"/>
  <c r="X68" i="19"/>
  <c r="AA68" i="19"/>
  <c r="AE68" i="19"/>
  <c r="AF68" i="19"/>
  <c r="AI68" i="19"/>
  <c r="AJ68" i="19"/>
  <c r="AM68" i="19"/>
  <c r="AN68" i="19"/>
  <c r="AQ68" i="19"/>
  <c r="AR68" i="19"/>
  <c r="AU68" i="19"/>
  <c r="AV68" i="19"/>
  <c r="AW68" i="19"/>
  <c r="K68" i="19" s="1"/>
  <c r="AZ68" i="19"/>
  <c r="BB68" i="19"/>
  <c r="BD68" i="19"/>
  <c r="I67" i="19"/>
  <c r="J67" i="19"/>
  <c r="P67" i="19"/>
  <c r="S67" i="19"/>
  <c r="T67" i="19"/>
  <c r="W67" i="19"/>
  <c r="X67" i="19"/>
  <c r="AA67" i="19"/>
  <c r="AE67" i="19"/>
  <c r="AF67" i="19"/>
  <c r="AI67" i="19"/>
  <c r="AJ67" i="19"/>
  <c r="AM67" i="19"/>
  <c r="AN67" i="19"/>
  <c r="AQ67" i="19"/>
  <c r="AR67" i="19"/>
  <c r="AU67" i="19"/>
  <c r="AV67" i="19"/>
  <c r="AW67" i="19"/>
  <c r="K67" i="19" s="1"/>
  <c r="AZ67" i="19"/>
  <c r="BB67" i="19"/>
  <c r="BD67" i="19"/>
  <c r="I66" i="19"/>
  <c r="J66" i="19"/>
  <c r="P66" i="19"/>
  <c r="S66" i="19"/>
  <c r="T66" i="19"/>
  <c r="W66" i="19"/>
  <c r="X66" i="19"/>
  <c r="AA66" i="19"/>
  <c r="AE66" i="19"/>
  <c r="AF66" i="19"/>
  <c r="AI66" i="19"/>
  <c r="AJ66" i="19"/>
  <c r="AM66" i="19"/>
  <c r="AN66" i="19"/>
  <c r="AQ66" i="19"/>
  <c r="AR66" i="19"/>
  <c r="AU66" i="19"/>
  <c r="AV66" i="19"/>
  <c r="AW66" i="19"/>
  <c r="K66" i="19" s="1"/>
  <c r="AZ66" i="19"/>
  <c r="BB66" i="19"/>
  <c r="BD66" i="19"/>
  <c r="I65" i="19"/>
  <c r="J65" i="19"/>
  <c r="P65" i="19"/>
  <c r="S65" i="19"/>
  <c r="T65" i="19"/>
  <c r="W65" i="19"/>
  <c r="X65" i="19"/>
  <c r="AA65" i="19"/>
  <c r="AE65" i="19"/>
  <c r="AF65" i="19"/>
  <c r="AI65" i="19"/>
  <c r="AJ65" i="19"/>
  <c r="AM65" i="19"/>
  <c r="AN65" i="19"/>
  <c r="AQ65" i="19"/>
  <c r="AR65" i="19"/>
  <c r="AU65" i="19"/>
  <c r="AV65" i="19"/>
  <c r="AW65" i="19"/>
  <c r="K65" i="19" s="1"/>
  <c r="AZ65" i="19"/>
  <c r="BB65" i="19"/>
  <c r="BD65" i="19"/>
  <c r="I64" i="19"/>
  <c r="J64" i="19"/>
  <c r="P64" i="19"/>
  <c r="S64" i="19"/>
  <c r="T64" i="19"/>
  <c r="W64" i="19"/>
  <c r="X64" i="19"/>
  <c r="AA64" i="19"/>
  <c r="AE64" i="19"/>
  <c r="AF64" i="19"/>
  <c r="AI64" i="19"/>
  <c r="AJ64" i="19"/>
  <c r="AM64" i="19"/>
  <c r="AN64" i="19"/>
  <c r="AQ64" i="19"/>
  <c r="AR64" i="19"/>
  <c r="AU64" i="19"/>
  <c r="AV64" i="19"/>
  <c r="AW64" i="19"/>
  <c r="K64" i="19" s="1"/>
  <c r="AZ64" i="19"/>
  <c r="BB64" i="19"/>
  <c r="BD64" i="19"/>
  <c r="I63" i="19"/>
  <c r="J63" i="19"/>
  <c r="P63" i="19"/>
  <c r="S63" i="19"/>
  <c r="T63" i="19"/>
  <c r="W63" i="19"/>
  <c r="X63" i="19"/>
  <c r="AA63" i="19"/>
  <c r="AE63" i="19"/>
  <c r="AF63" i="19"/>
  <c r="AI63" i="19"/>
  <c r="AJ63" i="19"/>
  <c r="AM63" i="19"/>
  <c r="AN63" i="19"/>
  <c r="AQ63" i="19"/>
  <c r="AR63" i="19"/>
  <c r="AU63" i="19"/>
  <c r="AV63" i="19"/>
  <c r="AW63" i="19"/>
  <c r="K63" i="19" s="1"/>
  <c r="AZ63" i="19"/>
  <c r="BB63" i="19"/>
  <c r="BD63" i="19"/>
  <c r="I62" i="19"/>
  <c r="J62" i="19"/>
  <c r="P62" i="19"/>
  <c r="S62" i="19"/>
  <c r="T62" i="19"/>
  <c r="W62" i="19"/>
  <c r="X62" i="19"/>
  <c r="AA62" i="19"/>
  <c r="AE62" i="19"/>
  <c r="AF62" i="19"/>
  <c r="AI62" i="19"/>
  <c r="AJ62" i="19"/>
  <c r="AM62" i="19"/>
  <c r="AN62" i="19"/>
  <c r="AQ62" i="19"/>
  <c r="AR62" i="19"/>
  <c r="AU62" i="19"/>
  <c r="AV62" i="19"/>
  <c r="AW62" i="19"/>
  <c r="K62" i="19" s="1"/>
  <c r="AZ62" i="19"/>
  <c r="BB62" i="19"/>
  <c r="BD62" i="19"/>
  <c r="I61" i="19"/>
  <c r="J61" i="19"/>
  <c r="P61" i="19"/>
  <c r="S61" i="19"/>
  <c r="T61" i="19"/>
  <c r="W61" i="19"/>
  <c r="X61" i="19"/>
  <c r="AA61" i="19"/>
  <c r="AE61" i="19"/>
  <c r="AF61" i="19"/>
  <c r="AI61" i="19"/>
  <c r="AJ61" i="19"/>
  <c r="AM61" i="19"/>
  <c r="AN61" i="19"/>
  <c r="AQ61" i="19"/>
  <c r="AR61" i="19"/>
  <c r="AU61" i="19"/>
  <c r="AV61" i="19"/>
  <c r="AW61" i="19"/>
  <c r="K61" i="19" s="1"/>
  <c r="AZ61" i="19"/>
  <c r="BB61" i="19"/>
  <c r="BD61" i="19"/>
  <c r="I60" i="19"/>
  <c r="J60" i="19"/>
  <c r="P60" i="19"/>
  <c r="S60" i="19"/>
  <c r="T60" i="19"/>
  <c r="W60" i="19"/>
  <c r="X60" i="19"/>
  <c r="AA60" i="19"/>
  <c r="AE60" i="19"/>
  <c r="AF60" i="19"/>
  <c r="AI60" i="19"/>
  <c r="AJ60" i="19"/>
  <c r="AM60" i="19"/>
  <c r="AN60" i="19"/>
  <c r="AQ60" i="19"/>
  <c r="AR60" i="19"/>
  <c r="AU60" i="19"/>
  <c r="AV60" i="19"/>
  <c r="AW60" i="19"/>
  <c r="K60" i="19" s="1"/>
  <c r="AZ60" i="19"/>
  <c r="BB60" i="19"/>
  <c r="BD60" i="19"/>
  <c r="I59" i="19"/>
  <c r="J59" i="19"/>
  <c r="P59" i="19"/>
  <c r="S59" i="19"/>
  <c r="T59" i="19"/>
  <c r="W59" i="19"/>
  <c r="X59" i="19"/>
  <c r="AA59" i="19"/>
  <c r="AE59" i="19"/>
  <c r="AF59" i="19"/>
  <c r="AI59" i="19"/>
  <c r="AJ59" i="19"/>
  <c r="AM59" i="19"/>
  <c r="AN59" i="19"/>
  <c r="AQ59" i="19"/>
  <c r="AR59" i="19"/>
  <c r="AU59" i="19"/>
  <c r="AV59" i="19"/>
  <c r="AW59" i="19"/>
  <c r="K59" i="19" s="1"/>
  <c r="AZ59" i="19"/>
  <c r="BB59" i="19"/>
  <c r="BD59" i="19"/>
  <c r="I58" i="19"/>
  <c r="J58" i="19"/>
  <c r="P58" i="19"/>
  <c r="S58" i="19"/>
  <c r="T58" i="19"/>
  <c r="W58" i="19"/>
  <c r="X58" i="19"/>
  <c r="AA58" i="19"/>
  <c r="AE58" i="19"/>
  <c r="AF58" i="19"/>
  <c r="AI58" i="19"/>
  <c r="AJ58" i="19"/>
  <c r="AM58" i="19"/>
  <c r="AN58" i="19"/>
  <c r="AQ58" i="19"/>
  <c r="AR58" i="19"/>
  <c r="AU58" i="19"/>
  <c r="AV58" i="19"/>
  <c r="AW58" i="19"/>
  <c r="K58" i="19" s="1"/>
  <c r="AZ58" i="19"/>
  <c r="BB58" i="19"/>
  <c r="BD58" i="19"/>
  <c r="I57" i="19"/>
  <c r="J57" i="19"/>
  <c r="P57" i="19"/>
  <c r="S57" i="19"/>
  <c r="T57" i="19"/>
  <c r="W57" i="19"/>
  <c r="X57" i="19"/>
  <c r="AA57" i="19"/>
  <c r="AE57" i="19"/>
  <c r="AF57" i="19"/>
  <c r="AI57" i="19"/>
  <c r="AJ57" i="19"/>
  <c r="AM57" i="19"/>
  <c r="AN57" i="19"/>
  <c r="AQ57" i="19"/>
  <c r="AR57" i="19"/>
  <c r="AU57" i="19"/>
  <c r="AV57" i="19"/>
  <c r="AW57" i="19"/>
  <c r="K57" i="19" s="1"/>
  <c r="AZ57" i="19"/>
  <c r="BB57" i="19"/>
  <c r="BD57" i="19"/>
  <c r="I56" i="19"/>
  <c r="J56" i="19"/>
  <c r="P56" i="19"/>
  <c r="S56" i="19"/>
  <c r="T56" i="19"/>
  <c r="W56" i="19"/>
  <c r="X56" i="19"/>
  <c r="AA56" i="19"/>
  <c r="AE56" i="19"/>
  <c r="AF56" i="19"/>
  <c r="AI56" i="19"/>
  <c r="AJ56" i="19"/>
  <c r="AM56" i="19"/>
  <c r="AN56" i="19"/>
  <c r="AQ56" i="19"/>
  <c r="AR56" i="19"/>
  <c r="AU56" i="19"/>
  <c r="AV56" i="19"/>
  <c r="AW56" i="19"/>
  <c r="K56" i="19" s="1"/>
  <c r="AZ56" i="19"/>
  <c r="BB56" i="19"/>
  <c r="BD56" i="19"/>
  <c r="I55" i="19"/>
  <c r="J55" i="19"/>
  <c r="P55" i="19"/>
  <c r="S55" i="19"/>
  <c r="T55" i="19"/>
  <c r="W55" i="19"/>
  <c r="X55" i="19"/>
  <c r="AA55" i="19"/>
  <c r="AE55" i="19"/>
  <c r="AF55" i="19"/>
  <c r="AI55" i="19"/>
  <c r="AJ55" i="19"/>
  <c r="AM55" i="19"/>
  <c r="AN55" i="19"/>
  <c r="AQ55" i="19"/>
  <c r="AR55" i="19"/>
  <c r="AU55" i="19"/>
  <c r="AV55" i="19"/>
  <c r="AW55" i="19"/>
  <c r="K55" i="19" s="1"/>
  <c r="AZ55" i="19"/>
  <c r="BB55" i="19"/>
  <c r="BD55" i="19"/>
  <c r="I54" i="19"/>
  <c r="J54" i="19"/>
  <c r="P54" i="19"/>
  <c r="S54" i="19"/>
  <c r="T54" i="19"/>
  <c r="W54" i="19"/>
  <c r="X54" i="19"/>
  <c r="AA54" i="19"/>
  <c r="AE54" i="19"/>
  <c r="AF54" i="19"/>
  <c r="AI54" i="19"/>
  <c r="AJ54" i="19"/>
  <c r="AM54" i="19"/>
  <c r="AN54" i="19"/>
  <c r="AQ54" i="19"/>
  <c r="AR54" i="19"/>
  <c r="AU54" i="19"/>
  <c r="AV54" i="19"/>
  <c r="AW54" i="19"/>
  <c r="K54" i="19" s="1"/>
  <c r="AZ54" i="19"/>
  <c r="BB54" i="19"/>
  <c r="BD54" i="19"/>
  <c r="I53" i="19"/>
  <c r="J53" i="19"/>
  <c r="P53" i="19"/>
  <c r="S53" i="19"/>
  <c r="T53" i="19"/>
  <c r="W53" i="19"/>
  <c r="X53" i="19"/>
  <c r="AA53" i="19"/>
  <c r="AE53" i="19"/>
  <c r="AF53" i="19"/>
  <c r="AI53" i="19"/>
  <c r="AJ53" i="19"/>
  <c r="AM53" i="19"/>
  <c r="AN53" i="19"/>
  <c r="AQ53" i="19"/>
  <c r="AR53" i="19"/>
  <c r="AU53" i="19"/>
  <c r="AV53" i="19"/>
  <c r="AW53" i="19"/>
  <c r="K53" i="19" s="1"/>
  <c r="AZ53" i="19"/>
  <c r="BB53" i="19"/>
  <c r="BD53" i="19"/>
  <c r="I52" i="19"/>
  <c r="J52" i="19"/>
  <c r="P52" i="19"/>
  <c r="S52" i="19"/>
  <c r="T52" i="19"/>
  <c r="W52" i="19"/>
  <c r="X52" i="19"/>
  <c r="AA52" i="19"/>
  <c r="AE52" i="19"/>
  <c r="AF52" i="19"/>
  <c r="AI52" i="19"/>
  <c r="AJ52" i="19"/>
  <c r="AM52" i="19"/>
  <c r="AN52" i="19"/>
  <c r="AQ52" i="19"/>
  <c r="AR52" i="19"/>
  <c r="AU52" i="19"/>
  <c r="AV52" i="19"/>
  <c r="AW52" i="19"/>
  <c r="K52" i="19" s="1"/>
  <c r="AZ52" i="19"/>
  <c r="BB52" i="19"/>
  <c r="BD52" i="19"/>
  <c r="I51" i="19"/>
  <c r="J51" i="19"/>
  <c r="P51" i="19"/>
  <c r="S51" i="19"/>
  <c r="T51" i="19"/>
  <c r="W51" i="19"/>
  <c r="X51" i="19"/>
  <c r="AA51" i="19"/>
  <c r="AE51" i="19"/>
  <c r="AF51" i="19"/>
  <c r="AI51" i="19"/>
  <c r="AJ51" i="19"/>
  <c r="AM51" i="19"/>
  <c r="AN51" i="19"/>
  <c r="AQ51" i="19"/>
  <c r="AR51" i="19"/>
  <c r="AU51" i="19"/>
  <c r="AV51" i="19"/>
  <c r="AW51" i="19"/>
  <c r="K51" i="19" s="1"/>
  <c r="AZ51" i="19"/>
  <c r="BB51" i="19"/>
  <c r="BD51" i="19"/>
  <c r="I50" i="19"/>
  <c r="J50" i="19"/>
  <c r="P50" i="19"/>
  <c r="S50" i="19"/>
  <c r="T50" i="19"/>
  <c r="W50" i="19"/>
  <c r="X50" i="19"/>
  <c r="AA50" i="19"/>
  <c r="AE50" i="19"/>
  <c r="AF50" i="19"/>
  <c r="AI50" i="19"/>
  <c r="AJ50" i="19"/>
  <c r="AM50" i="19"/>
  <c r="AN50" i="19"/>
  <c r="AQ50" i="19"/>
  <c r="AR50" i="19"/>
  <c r="AU50" i="19"/>
  <c r="AV50" i="19"/>
  <c r="AW50" i="19"/>
  <c r="K50" i="19" s="1"/>
  <c r="AZ50" i="19"/>
  <c r="BB50" i="19"/>
  <c r="BD50" i="19"/>
  <c r="I49" i="19"/>
  <c r="J49" i="19"/>
  <c r="P49" i="19"/>
  <c r="S49" i="19"/>
  <c r="T49" i="19"/>
  <c r="W49" i="19"/>
  <c r="X49" i="19"/>
  <c r="AA49" i="19"/>
  <c r="AE49" i="19"/>
  <c r="AF49" i="19"/>
  <c r="AI49" i="19"/>
  <c r="AJ49" i="19"/>
  <c r="AM49" i="19"/>
  <c r="AN49" i="19"/>
  <c r="AQ49" i="19"/>
  <c r="AR49" i="19"/>
  <c r="AU49" i="19"/>
  <c r="AV49" i="19"/>
  <c r="AW49" i="19"/>
  <c r="K49" i="19" s="1"/>
  <c r="AZ49" i="19"/>
  <c r="BB49" i="19"/>
  <c r="BD49" i="19"/>
  <c r="I48" i="19"/>
  <c r="J48" i="19"/>
  <c r="P48" i="19"/>
  <c r="S48" i="19"/>
  <c r="T48" i="19"/>
  <c r="W48" i="19"/>
  <c r="X48" i="19"/>
  <c r="AA48" i="19"/>
  <c r="AE48" i="19"/>
  <c r="AF48" i="19"/>
  <c r="AI48" i="19"/>
  <c r="AJ48" i="19"/>
  <c r="AM48" i="19"/>
  <c r="AN48" i="19"/>
  <c r="AQ48" i="19"/>
  <c r="AR48" i="19"/>
  <c r="AU48" i="19"/>
  <c r="AV48" i="19"/>
  <c r="AW48" i="19"/>
  <c r="K48" i="19" s="1"/>
  <c r="AZ48" i="19"/>
  <c r="BB48" i="19"/>
  <c r="BD48" i="19"/>
  <c r="I47" i="19"/>
  <c r="J47" i="19"/>
  <c r="P47" i="19"/>
  <c r="S47" i="19"/>
  <c r="T47" i="19"/>
  <c r="W47" i="19"/>
  <c r="X47" i="19"/>
  <c r="AA47" i="19"/>
  <c r="AE47" i="19"/>
  <c r="AF47" i="19"/>
  <c r="AI47" i="19"/>
  <c r="AJ47" i="19"/>
  <c r="AM47" i="19"/>
  <c r="AN47" i="19"/>
  <c r="AQ47" i="19"/>
  <c r="AR47" i="19"/>
  <c r="AU47" i="19"/>
  <c r="AV47" i="19"/>
  <c r="AW47" i="19"/>
  <c r="K47" i="19" s="1"/>
  <c r="AZ47" i="19"/>
  <c r="BB47" i="19"/>
  <c r="BD47" i="19"/>
  <c r="I46" i="19"/>
  <c r="J46" i="19"/>
  <c r="P46" i="19"/>
  <c r="S46" i="19"/>
  <c r="T46" i="19"/>
  <c r="W46" i="19"/>
  <c r="X46" i="19"/>
  <c r="AA46" i="19"/>
  <c r="AE46" i="19"/>
  <c r="AF46" i="19"/>
  <c r="AI46" i="19"/>
  <c r="AJ46" i="19"/>
  <c r="AM46" i="19"/>
  <c r="AN46" i="19"/>
  <c r="AQ46" i="19"/>
  <c r="AR46" i="19"/>
  <c r="AU46" i="19"/>
  <c r="AV46" i="19"/>
  <c r="AW46" i="19"/>
  <c r="K46" i="19" s="1"/>
  <c r="AZ46" i="19"/>
  <c r="BB46" i="19"/>
  <c r="BD46" i="19"/>
  <c r="I45" i="19"/>
  <c r="J45" i="19"/>
  <c r="P45" i="19"/>
  <c r="S45" i="19"/>
  <c r="T45" i="19"/>
  <c r="W45" i="19"/>
  <c r="X45" i="19"/>
  <c r="AA45" i="19"/>
  <c r="AE45" i="19"/>
  <c r="AF45" i="19"/>
  <c r="AI45" i="19"/>
  <c r="AJ45" i="19"/>
  <c r="AM45" i="19"/>
  <c r="AN45" i="19"/>
  <c r="AQ45" i="19"/>
  <c r="AR45" i="19"/>
  <c r="AU45" i="19"/>
  <c r="AV45" i="19"/>
  <c r="AW45" i="19"/>
  <c r="K45" i="19" s="1"/>
  <c r="AZ45" i="19"/>
  <c r="BB45" i="19"/>
  <c r="BD45" i="19"/>
  <c r="I44" i="19"/>
  <c r="J44" i="19"/>
  <c r="O44" i="19"/>
  <c r="P44" i="19"/>
  <c r="T44" i="19"/>
  <c r="W44" i="19"/>
  <c r="X44" i="19"/>
  <c r="AA44" i="19"/>
  <c r="AE44" i="19"/>
  <c r="AF44" i="19"/>
  <c r="AI44" i="19"/>
  <c r="AJ44" i="19"/>
  <c r="AM44" i="19"/>
  <c r="AN44" i="19"/>
  <c r="AQ44" i="19"/>
  <c r="AR44" i="19"/>
  <c r="AU44" i="19"/>
  <c r="AV44" i="19"/>
  <c r="AW44" i="19"/>
  <c r="K44" i="19" s="1"/>
  <c r="AZ44" i="19"/>
  <c r="BB44" i="19"/>
  <c r="BD44" i="19"/>
  <c r="I43" i="19"/>
  <c r="J43" i="19"/>
  <c r="P43" i="19"/>
  <c r="S43" i="19"/>
  <c r="T43" i="19"/>
  <c r="W43" i="19"/>
  <c r="X43" i="19"/>
  <c r="AA43" i="19"/>
  <c r="AE43" i="19"/>
  <c r="AF43" i="19"/>
  <c r="AI43" i="19"/>
  <c r="AJ43" i="19"/>
  <c r="AM43" i="19"/>
  <c r="AN43" i="19"/>
  <c r="AQ43" i="19"/>
  <c r="AR43" i="19"/>
  <c r="AU43" i="19"/>
  <c r="AV43" i="19"/>
  <c r="AW43" i="19"/>
  <c r="K43" i="19" s="1"/>
  <c r="AZ43" i="19"/>
  <c r="BB43" i="19"/>
  <c r="BD43" i="19"/>
  <c r="I42" i="19"/>
  <c r="J42" i="19"/>
  <c r="P42" i="19"/>
  <c r="S42" i="19"/>
  <c r="T42" i="19"/>
  <c r="W42" i="19"/>
  <c r="X42" i="19"/>
  <c r="AA42" i="19"/>
  <c r="AE42" i="19"/>
  <c r="AF42" i="19"/>
  <c r="AI42" i="19"/>
  <c r="AJ42" i="19"/>
  <c r="AM42" i="19"/>
  <c r="AN42" i="19"/>
  <c r="AQ42" i="19"/>
  <c r="AR42" i="19"/>
  <c r="AU42" i="19"/>
  <c r="AV42" i="19"/>
  <c r="AW42" i="19"/>
  <c r="K42" i="19" s="1"/>
  <c r="AZ42" i="19"/>
  <c r="BB42" i="19"/>
  <c r="BD42" i="19"/>
  <c r="I41" i="19"/>
  <c r="J41" i="19"/>
  <c r="O41" i="19"/>
  <c r="P41" i="19"/>
  <c r="S41" i="19"/>
  <c r="T41" i="19"/>
  <c r="X41" i="19"/>
  <c r="AA41" i="19"/>
  <c r="AE41" i="19"/>
  <c r="AF41" i="19"/>
  <c r="AI41" i="19"/>
  <c r="AJ41" i="19"/>
  <c r="AM41" i="19"/>
  <c r="AN41" i="19"/>
  <c r="AQ41" i="19"/>
  <c r="AR41" i="19"/>
  <c r="AU41" i="19"/>
  <c r="AV41" i="19"/>
  <c r="AW41" i="19"/>
  <c r="K41" i="19" s="1"/>
  <c r="AZ41" i="19"/>
  <c r="BB41" i="19"/>
  <c r="BD41" i="19"/>
  <c r="I40" i="19"/>
  <c r="J40" i="19"/>
  <c r="P40" i="19"/>
  <c r="S40" i="19"/>
  <c r="T40" i="19"/>
  <c r="W40" i="19"/>
  <c r="X40" i="19"/>
  <c r="AA40" i="19"/>
  <c r="AE40" i="19"/>
  <c r="AF40" i="19"/>
  <c r="AI40" i="19"/>
  <c r="AJ40" i="19"/>
  <c r="AM40" i="19"/>
  <c r="AN40" i="19"/>
  <c r="AQ40" i="19"/>
  <c r="AR40" i="19"/>
  <c r="AU40" i="19"/>
  <c r="AV40" i="19"/>
  <c r="AW40" i="19"/>
  <c r="K40" i="19" s="1"/>
  <c r="AZ40" i="19"/>
  <c r="BB40" i="19"/>
  <c r="BD40" i="19"/>
  <c r="I39" i="19"/>
  <c r="J39" i="19"/>
  <c r="P39" i="19"/>
  <c r="S39" i="19"/>
  <c r="T39" i="19"/>
  <c r="W39" i="19"/>
  <c r="X39" i="19"/>
  <c r="AA39" i="19"/>
  <c r="AE39" i="19"/>
  <c r="AF39" i="19"/>
  <c r="AI39" i="19"/>
  <c r="AJ39" i="19"/>
  <c r="AM39" i="19"/>
  <c r="AN39" i="19"/>
  <c r="AQ39" i="19"/>
  <c r="AR39" i="19"/>
  <c r="AU39" i="19"/>
  <c r="AV39" i="19"/>
  <c r="AW39" i="19"/>
  <c r="K39" i="19" s="1"/>
  <c r="AZ39" i="19"/>
  <c r="BB39" i="19"/>
  <c r="BD39" i="19"/>
  <c r="I38" i="19"/>
  <c r="J38" i="19"/>
  <c r="P38" i="19"/>
  <c r="S38" i="19"/>
  <c r="T38" i="19"/>
  <c r="W38" i="19"/>
  <c r="X38" i="19"/>
  <c r="AA38" i="19"/>
  <c r="AE38" i="19"/>
  <c r="AF38" i="19"/>
  <c r="AI38" i="19"/>
  <c r="AJ38" i="19"/>
  <c r="AM38" i="19"/>
  <c r="AN38" i="19"/>
  <c r="AQ38" i="19"/>
  <c r="AR38" i="19"/>
  <c r="AU38" i="19"/>
  <c r="AV38" i="19"/>
  <c r="AW38" i="19"/>
  <c r="K38" i="19" s="1"/>
  <c r="AZ38" i="19"/>
  <c r="BB38" i="19"/>
  <c r="BD38" i="19"/>
  <c r="I37" i="19"/>
  <c r="J37" i="19"/>
  <c r="O37" i="19"/>
  <c r="P37" i="19"/>
  <c r="S37" i="19"/>
  <c r="T37" i="19"/>
  <c r="W37" i="19"/>
  <c r="X37" i="19"/>
  <c r="AA37" i="19"/>
  <c r="AE37" i="19"/>
  <c r="AF37" i="19"/>
  <c r="AI37" i="19"/>
  <c r="AJ37" i="19"/>
  <c r="AM37" i="19"/>
  <c r="AN37" i="19"/>
  <c r="AQ37" i="19"/>
  <c r="AR37" i="19"/>
  <c r="AV37" i="19"/>
  <c r="AW37" i="19"/>
  <c r="K37" i="19" s="1"/>
  <c r="AZ37" i="19"/>
  <c r="BB37" i="19"/>
  <c r="BD37" i="19"/>
  <c r="I36" i="19"/>
  <c r="J36" i="19"/>
  <c r="P36" i="19"/>
  <c r="S36" i="19"/>
  <c r="T36" i="19"/>
  <c r="W36" i="19"/>
  <c r="X36" i="19"/>
  <c r="AA36" i="19"/>
  <c r="AE36" i="19"/>
  <c r="AF36" i="19"/>
  <c r="AI36" i="19"/>
  <c r="AJ36" i="19"/>
  <c r="AM36" i="19"/>
  <c r="AN36" i="19"/>
  <c r="AQ36" i="19"/>
  <c r="AR36" i="19"/>
  <c r="AU36" i="19"/>
  <c r="AV36" i="19"/>
  <c r="AW36" i="19"/>
  <c r="K36" i="19" s="1"/>
  <c r="AZ36" i="19"/>
  <c r="BB36" i="19"/>
  <c r="BD36" i="19"/>
  <c r="I35" i="19"/>
  <c r="J35" i="19"/>
  <c r="O35" i="19"/>
  <c r="P35" i="19"/>
  <c r="S35" i="19"/>
  <c r="T35" i="19"/>
  <c r="W35" i="19"/>
  <c r="X35" i="19"/>
  <c r="AA35" i="19"/>
  <c r="AE35" i="19"/>
  <c r="AF35" i="19"/>
  <c r="AI35" i="19"/>
  <c r="AJ35" i="19"/>
  <c r="AM35" i="19"/>
  <c r="AN35" i="19"/>
  <c r="AR35" i="19"/>
  <c r="AQ35" i="19" s="1"/>
  <c r="AU35" i="19"/>
  <c r="AV35" i="19"/>
  <c r="AW35" i="19"/>
  <c r="K35" i="19" s="1"/>
  <c r="AZ35" i="19"/>
  <c r="BB35" i="19"/>
  <c r="BD35" i="19"/>
  <c r="I34" i="19"/>
  <c r="J34" i="19"/>
  <c r="O34" i="19"/>
  <c r="P34" i="19"/>
  <c r="S34" i="19"/>
  <c r="T34" i="19"/>
  <c r="W34" i="19"/>
  <c r="X34" i="19"/>
  <c r="AA34" i="19"/>
  <c r="AE34" i="19"/>
  <c r="AF34" i="19"/>
  <c r="AI34" i="19"/>
  <c r="AJ34" i="19"/>
  <c r="AM34" i="19"/>
  <c r="AN34" i="19"/>
  <c r="AR34" i="19"/>
  <c r="AQ34" i="19" s="1"/>
  <c r="AU34" i="19"/>
  <c r="AV34" i="19"/>
  <c r="AW34" i="19"/>
  <c r="K34" i="19" s="1"/>
  <c r="AZ34" i="19"/>
  <c r="BB34" i="19"/>
  <c r="BD34" i="19"/>
  <c r="I33" i="19"/>
  <c r="J33" i="19"/>
  <c r="P33" i="19"/>
  <c r="S33" i="19"/>
  <c r="T33" i="19"/>
  <c r="W33" i="19"/>
  <c r="X33" i="19"/>
  <c r="AA33" i="19"/>
  <c r="AE33" i="19"/>
  <c r="AF33" i="19"/>
  <c r="AI33" i="19"/>
  <c r="AJ33" i="19"/>
  <c r="AM33" i="19"/>
  <c r="AN33" i="19"/>
  <c r="AQ33" i="19"/>
  <c r="AR33" i="19"/>
  <c r="AU33" i="19"/>
  <c r="AV33" i="19"/>
  <c r="AW33" i="19"/>
  <c r="K33" i="19" s="1"/>
  <c r="AZ33" i="19"/>
  <c r="BB33" i="19"/>
  <c r="BD33" i="19"/>
  <c r="I32" i="19"/>
  <c r="J32" i="19"/>
  <c r="P32" i="19"/>
  <c r="S32" i="19"/>
  <c r="T32" i="19"/>
  <c r="W32" i="19"/>
  <c r="X32" i="19"/>
  <c r="AA32" i="19"/>
  <c r="AE32" i="19"/>
  <c r="AF32" i="19"/>
  <c r="AI32" i="19"/>
  <c r="AJ32" i="19"/>
  <c r="AM32" i="19"/>
  <c r="AN32" i="19"/>
  <c r="AQ32" i="19"/>
  <c r="AR32" i="19"/>
  <c r="AU32" i="19"/>
  <c r="AV32" i="19"/>
  <c r="AW32" i="19"/>
  <c r="K32" i="19" s="1"/>
  <c r="AZ32" i="19"/>
  <c r="BB32" i="19"/>
  <c r="BD32" i="19"/>
  <c r="I31" i="19"/>
  <c r="J31" i="19"/>
  <c r="P31" i="19"/>
  <c r="S31" i="19"/>
  <c r="T31" i="19"/>
  <c r="W31" i="19"/>
  <c r="X31" i="19"/>
  <c r="AA31" i="19"/>
  <c r="AE31" i="19"/>
  <c r="AF31" i="19"/>
  <c r="AI31" i="19"/>
  <c r="AJ31" i="19"/>
  <c r="AM31" i="19"/>
  <c r="AN31" i="19"/>
  <c r="AQ31" i="19"/>
  <c r="AR31" i="19"/>
  <c r="AU31" i="19"/>
  <c r="AV31" i="19"/>
  <c r="AW31" i="19"/>
  <c r="K31" i="19" s="1"/>
  <c r="AZ31" i="19"/>
  <c r="BB31" i="19"/>
  <c r="BD31" i="19"/>
  <c r="I30" i="19"/>
  <c r="J30" i="19"/>
  <c r="P30" i="19"/>
  <c r="S30" i="19"/>
  <c r="T30" i="19"/>
  <c r="W30" i="19"/>
  <c r="X30" i="19"/>
  <c r="AA30" i="19"/>
  <c r="AE30" i="19"/>
  <c r="AF30" i="19"/>
  <c r="AI30" i="19"/>
  <c r="AJ30" i="19"/>
  <c r="AM30" i="19"/>
  <c r="AN30" i="19"/>
  <c r="AQ30" i="19"/>
  <c r="AR30" i="19"/>
  <c r="AU30" i="19"/>
  <c r="AV30" i="19"/>
  <c r="AW30" i="19"/>
  <c r="K30" i="19" s="1"/>
  <c r="AZ30" i="19"/>
  <c r="BB30" i="19"/>
  <c r="BD30" i="19"/>
  <c r="I29" i="19"/>
  <c r="J29" i="19"/>
  <c r="P29" i="19"/>
  <c r="S29" i="19"/>
  <c r="T29" i="19"/>
  <c r="W29" i="19"/>
  <c r="X29" i="19"/>
  <c r="AA29" i="19"/>
  <c r="AE29" i="19"/>
  <c r="AF29" i="19"/>
  <c r="AI29" i="19"/>
  <c r="AJ29" i="19"/>
  <c r="AM29" i="19"/>
  <c r="AN29" i="19"/>
  <c r="AQ29" i="19"/>
  <c r="AR29" i="19"/>
  <c r="AU29" i="19"/>
  <c r="AV29" i="19"/>
  <c r="AW29" i="19"/>
  <c r="K29" i="19" s="1"/>
  <c r="AZ29" i="19"/>
  <c r="BB29" i="19"/>
  <c r="BD29" i="19"/>
  <c r="I28" i="19"/>
  <c r="J28" i="19"/>
  <c r="P28" i="19"/>
  <c r="S28" i="19"/>
  <c r="T28" i="19"/>
  <c r="W28" i="19"/>
  <c r="X28" i="19"/>
  <c r="AA28" i="19"/>
  <c r="AE28" i="19"/>
  <c r="AF28" i="19"/>
  <c r="AI28" i="19"/>
  <c r="AJ28" i="19"/>
  <c r="AM28" i="19"/>
  <c r="AN28" i="19"/>
  <c r="AQ28" i="19"/>
  <c r="AR28" i="19"/>
  <c r="AU28" i="19"/>
  <c r="AV28" i="19"/>
  <c r="AW28" i="19"/>
  <c r="K28" i="19" s="1"/>
  <c r="AZ28" i="19"/>
  <c r="BB28" i="19"/>
  <c r="BD28" i="19"/>
  <c r="I27" i="19"/>
  <c r="J27" i="19"/>
  <c r="P27" i="19"/>
  <c r="S27" i="19"/>
  <c r="T27" i="19"/>
  <c r="W27" i="19"/>
  <c r="X27" i="19"/>
  <c r="AA27" i="19"/>
  <c r="AE27" i="19"/>
  <c r="AF27" i="19"/>
  <c r="AI27" i="19"/>
  <c r="AJ27" i="19"/>
  <c r="AM27" i="19"/>
  <c r="AN27" i="19"/>
  <c r="AQ27" i="19"/>
  <c r="AR27" i="19"/>
  <c r="AU27" i="19"/>
  <c r="AV27" i="19"/>
  <c r="AW27" i="19"/>
  <c r="K27" i="19" s="1"/>
  <c r="AZ27" i="19"/>
  <c r="BB27" i="19"/>
  <c r="BD27" i="19"/>
  <c r="I26" i="19"/>
  <c r="J26" i="19"/>
  <c r="P26" i="19"/>
  <c r="S26" i="19"/>
  <c r="T26" i="19"/>
  <c r="W26" i="19"/>
  <c r="X26" i="19"/>
  <c r="AA26" i="19"/>
  <c r="AE26" i="19"/>
  <c r="AF26" i="19"/>
  <c r="AI26" i="19"/>
  <c r="AJ26" i="19"/>
  <c r="AM26" i="19"/>
  <c r="AN26" i="19"/>
  <c r="AQ26" i="19"/>
  <c r="AR26" i="19"/>
  <c r="AU26" i="19"/>
  <c r="AV26" i="19"/>
  <c r="AW26" i="19"/>
  <c r="K26" i="19" s="1"/>
  <c r="AZ26" i="19"/>
  <c r="BB26" i="19"/>
  <c r="BD26" i="19"/>
  <c r="I25" i="19"/>
  <c r="J25" i="19"/>
  <c r="P25" i="19"/>
  <c r="S25" i="19"/>
  <c r="T25" i="19"/>
  <c r="W25" i="19"/>
  <c r="X25" i="19"/>
  <c r="AA25" i="19"/>
  <c r="AE25" i="19"/>
  <c r="AF25" i="19"/>
  <c r="AI25" i="19"/>
  <c r="AJ25" i="19"/>
  <c r="AM25" i="19"/>
  <c r="AN25" i="19"/>
  <c r="AQ25" i="19"/>
  <c r="AR25" i="19"/>
  <c r="AU25" i="19"/>
  <c r="AV25" i="19"/>
  <c r="AW25" i="19"/>
  <c r="K25" i="19" s="1"/>
  <c r="AZ25" i="19"/>
  <c r="BB25" i="19"/>
  <c r="BD25" i="19"/>
  <c r="I24" i="19"/>
  <c r="J24" i="19"/>
  <c r="P24" i="19"/>
  <c r="O24" i="19" s="1"/>
  <c r="S24" i="19"/>
  <c r="T24" i="19"/>
  <c r="W24" i="19"/>
  <c r="X24" i="19"/>
  <c r="AA24" i="19"/>
  <c r="AE24" i="19"/>
  <c r="AF24" i="19"/>
  <c r="AI24" i="19"/>
  <c r="AJ24" i="19"/>
  <c r="AM24" i="19"/>
  <c r="AN24" i="19"/>
  <c r="AQ24" i="19"/>
  <c r="AR24" i="19"/>
  <c r="AU24" i="19"/>
  <c r="AV24" i="19"/>
  <c r="AW24" i="19"/>
  <c r="K24" i="19" s="1"/>
  <c r="AZ24" i="19"/>
  <c r="BB24" i="19"/>
  <c r="BD24" i="19"/>
  <c r="I23" i="19"/>
  <c r="J23" i="19"/>
  <c r="O23" i="19"/>
  <c r="P23" i="19"/>
  <c r="T23" i="19"/>
  <c r="W23" i="19"/>
  <c r="X23" i="19"/>
  <c r="AA23" i="19"/>
  <c r="AE23" i="19"/>
  <c r="AF23" i="19"/>
  <c r="AI23" i="19"/>
  <c r="AJ23" i="19"/>
  <c r="AM23" i="19"/>
  <c r="AN23" i="19"/>
  <c r="AQ23" i="19"/>
  <c r="AR23" i="19"/>
  <c r="AU23" i="19"/>
  <c r="AV23" i="19"/>
  <c r="AW23" i="19"/>
  <c r="K23" i="19" s="1"/>
  <c r="AZ23" i="19"/>
  <c r="BB23" i="19"/>
  <c r="BD23" i="19"/>
  <c r="I22" i="19"/>
  <c r="J22" i="19"/>
  <c r="O22" i="19"/>
  <c r="P22" i="19"/>
  <c r="T22" i="19"/>
  <c r="W22" i="19"/>
  <c r="X22" i="19"/>
  <c r="AA22" i="19"/>
  <c r="AE22" i="19"/>
  <c r="AF22" i="19"/>
  <c r="AI22" i="19"/>
  <c r="AJ22" i="19"/>
  <c r="AM22" i="19"/>
  <c r="AN22" i="19"/>
  <c r="AQ22" i="19"/>
  <c r="AR22" i="19"/>
  <c r="AU22" i="19"/>
  <c r="AV22" i="19"/>
  <c r="AW22" i="19"/>
  <c r="K22" i="19" s="1"/>
  <c r="AZ22" i="19"/>
  <c r="BB22" i="19"/>
  <c r="BD22" i="19"/>
  <c r="I21" i="19"/>
  <c r="J21" i="19"/>
  <c r="O21" i="19"/>
  <c r="P21" i="19"/>
  <c r="S21" i="19"/>
  <c r="T21" i="19"/>
  <c r="X21" i="19"/>
  <c r="AA21" i="19"/>
  <c r="AE21" i="19"/>
  <c r="AF21" i="19"/>
  <c r="AI21" i="19"/>
  <c r="AJ21" i="19"/>
  <c r="AM21" i="19"/>
  <c r="AN21" i="19"/>
  <c r="AQ21" i="19"/>
  <c r="AR21" i="19"/>
  <c r="AU21" i="19"/>
  <c r="AV21" i="19"/>
  <c r="AW21" i="19"/>
  <c r="K21" i="19" s="1"/>
  <c r="AZ21" i="19"/>
  <c r="BB21" i="19"/>
  <c r="BD21" i="19"/>
  <c r="I20" i="19"/>
  <c r="J20" i="19"/>
  <c r="O20" i="19"/>
  <c r="P20" i="19"/>
  <c r="S20" i="19"/>
  <c r="T20" i="19"/>
  <c r="X20" i="19"/>
  <c r="AA20" i="19"/>
  <c r="AE20" i="19"/>
  <c r="AF20" i="19"/>
  <c r="AI20" i="19"/>
  <c r="AJ20" i="19"/>
  <c r="AM20" i="19"/>
  <c r="AN20" i="19"/>
  <c r="AQ20" i="19"/>
  <c r="AR20" i="19"/>
  <c r="AU20" i="19"/>
  <c r="AV20" i="19"/>
  <c r="AW20" i="19"/>
  <c r="K20" i="19" s="1"/>
  <c r="AZ20" i="19"/>
  <c r="BB20" i="19"/>
  <c r="BD20" i="19"/>
  <c r="I19" i="19"/>
  <c r="J19" i="19"/>
  <c r="P19" i="19"/>
  <c r="S19" i="19"/>
  <c r="T19" i="19"/>
  <c r="W19" i="19"/>
  <c r="X19" i="19"/>
  <c r="AA19" i="19"/>
  <c r="AE19" i="19"/>
  <c r="AF19" i="19"/>
  <c r="AI19" i="19"/>
  <c r="AJ19" i="19"/>
  <c r="AM19" i="19"/>
  <c r="AN19" i="19"/>
  <c r="AQ19" i="19"/>
  <c r="AR19" i="19"/>
  <c r="AU19" i="19"/>
  <c r="AV19" i="19"/>
  <c r="AW19" i="19"/>
  <c r="K19" i="19" s="1"/>
  <c r="AZ19" i="19"/>
  <c r="BB19" i="19"/>
  <c r="BD19" i="19"/>
  <c r="I18" i="19"/>
  <c r="J18" i="19"/>
  <c r="P18" i="19"/>
  <c r="S18" i="19"/>
  <c r="T18" i="19"/>
  <c r="W18" i="19"/>
  <c r="X18" i="19"/>
  <c r="AA18" i="19"/>
  <c r="AE18" i="19"/>
  <c r="AF18" i="19"/>
  <c r="AI18" i="19"/>
  <c r="AJ18" i="19"/>
  <c r="AM18" i="19"/>
  <c r="AN18" i="19"/>
  <c r="AQ18" i="19"/>
  <c r="AR18" i="19"/>
  <c r="AU18" i="19"/>
  <c r="AV18" i="19"/>
  <c r="AW18" i="19"/>
  <c r="K18" i="19" s="1"/>
  <c r="AZ18" i="19"/>
  <c r="BB18" i="19"/>
  <c r="BD18" i="19"/>
  <c r="I17" i="19"/>
  <c r="J17" i="19"/>
  <c r="O17" i="19"/>
  <c r="P17" i="19"/>
  <c r="S17" i="19"/>
  <c r="T17" i="19"/>
  <c r="X17" i="19"/>
  <c r="AA17" i="19"/>
  <c r="AE17" i="19"/>
  <c r="AF17" i="19"/>
  <c r="AI17" i="19"/>
  <c r="AJ17" i="19"/>
  <c r="AM17" i="19"/>
  <c r="AN17" i="19"/>
  <c r="AQ17" i="19"/>
  <c r="AR17" i="19"/>
  <c r="AU17" i="19"/>
  <c r="AV17" i="19"/>
  <c r="AW17" i="19"/>
  <c r="K17" i="19" s="1"/>
  <c r="AZ17" i="19"/>
  <c r="BB17" i="19"/>
  <c r="BD17" i="19"/>
  <c r="I16" i="19"/>
  <c r="J16" i="19"/>
  <c r="P16" i="19"/>
  <c r="O16" i="19" s="1"/>
  <c r="S16" i="19"/>
  <c r="T16" i="19"/>
  <c r="W16" i="19"/>
  <c r="X16" i="19"/>
  <c r="AA16" i="19"/>
  <c r="AE16" i="19"/>
  <c r="AF16" i="19"/>
  <c r="AI16" i="19"/>
  <c r="AJ16" i="19"/>
  <c r="AM16" i="19"/>
  <c r="AN16" i="19"/>
  <c r="AQ16" i="19"/>
  <c r="AR16" i="19"/>
  <c r="AU16" i="19"/>
  <c r="AV16" i="19"/>
  <c r="AW16" i="19"/>
  <c r="K16" i="19" s="1"/>
  <c r="AZ16" i="19"/>
  <c r="BB16" i="19"/>
  <c r="BD16" i="19"/>
  <c r="I15" i="19"/>
  <c r="J15" i="19"/>
  <c r="P15" i="19"/>
  <c r="S15" i="19"/>
  <c r="T15" i="19"/>
  <c r="W15" i="19"/>
  <c r="X15" i="19"/>
  <c r="AA15" i="19"/>
  <c r="AE15" i="19"/>
  <c r="AF15" i="19"/>
  <c r="AI15" i="19"/>
  <c r="AJ15" i="19"/>
  <c r="AM15" i="19"/>
  <c r="AN15" i="19"/>
  <c r="AQ15" i="19"/>
  <c r="AR15" i="19"/>
  <c r="AU15" i="19"/>
  <c r="AV15" i="19"/>
  <c r="AW15" i="19"/>
  <c r="K15" i="19" s="1"/>
  <c r="AZ15" i="19"/>
  <c r="BB15" i="19"/>
  <c r="BD15" i="19"/>
  <c r="I14" i="19"/>
  <c r="J14" i="19"/>
  <c r="P14" i="19"/>
  <c r="S14" i="19"/>
  <c r="T14" i="19"/>
  <c r="W14" i="19"/>
  <c r="X14" i="19"/>
  <c r="AA14" i="19"/>
  <c r="AE14" i="19"/>
  <c r="AF14" i="19"/>
  <c r="AI14" i="19"/>
  <c r="AJ14" i="19"/>
  <c r="AM14" i="19"/>
  <c r="AN14" i="19"/>
  <c r="AQ14" i="19"/>
  <c r="AR14" i="19"/>
  <c r="AU14" i="19"/>
  <c r="AV14" i="19"/>
  <c r="AW14" i="19"/>
  <c r="K14" i="19" s="1"/>
  <c r="AZ14" i="19"/>
  <c r="BB14" i="19"/>
  <c r="BD14" i="19"/>
  <c r="I13" i="19"/>
  <c r="J13" i="19"/>
  <c r="P13" i="19"/>
  <c r="S13" i="19"/>
  <c r="T13" i="19"/>
  <c r="W13" i="19"/>
  <c r="X13" i="19"/>
  <c r="AA13" i="19"/>
  <c r="AE13" i="19"/>
  <c r="AF13" i="19"/>
  <c r="AI13" i="19"/>
  <c r="AJ13" i="19"/>
  <c r="AM13" i="19"/>
  <c r="AN13" i="19"/>
  <c r="AQ13" i="19"/>
  <c r="AR13" i="19"/>
  <c r="AU13" i="19"/>
  <c r="AV13" i="19"/>
  <c r="AW13" i="19"/>
  <c r="K13" i="19" s="1"/>
  <c r="AZ13" i="19"/>
  <c r="BB13" i="19"/>
  <c r="BD13" i="19"/>
  <c r="I12" i="19"/>
  <c r="J12" i="19"/>
  <c r="P12" i="19"/>
  <c r="O12" i="19" s="1"/>
  <c r="S12" i="19"/>
  <c r="T12" i="19"/>
  <c r="W12" i="19"/>
  <c r="X12" i="19"/>
  <c r="AA12" i="19"/>
  <c r="AE12" i="19"/>
  <c r="AF12" i="19"/>
  <c r="AI12" i="19"/>
  <c r="AJ12" i="19"/>
  <c r="AM12" i="19"/>
  <c r="AN12" i="19"/>
  <c r="AQ12" i="19"/>
  <c r="AR12" i="19"/>
  <c r="AU12" i="19"/>
  <c r="AV12" i="19"/>
  <c r="AW12" i="19"/>
  <c r="K12" i="19" s="1"/>
  <c r="AZ12" i="19"/>
  <c r="BB12" i="19"/>
  <c r="BD12" i="19"/>
  <c r="I11" i="19"/>
  <c r="J11" i="19"/>
  <c r="O11" i="19"/>
  <c r="P11" i="19"/>
  <c r="S11" i="19"/>
  <c r="T11" i="19"/>
  <c r="W11" i="19"/>
  <c r="X11" i="19"/>
  <c r="AA11" i="19"/>
  <c r="AE11" i="19"/>
  <c r="AF11" i="19"/>
  <c r="AI11" i="19"/>
  <c r="AJ11" i="19"/>
  <c r="AM11" i="19"/>
  <c r="AN11" i="19"/>
  <c r="AQ11" i="19"/>
  <c r="AR11" i="19"/>
  <c r="AV11" i="19"/>
  <c r="AU11" i="19" s="1"/>
  <c r="AW11" i="19"/>
  <c r="K11" i="19" s="1"/>
  <c r="AZ11" i="19"/>
  <c r="BB11" i="19"/>
  <c r="BD11" i="19"/>
  <c r="I10" i="19"/>
  <c r="J10" i="19"/>
  <c r="P10" i="19"/>
  <c r="O10" i="19" s="1"/>
  <c r="S10" i="19"/>
  <c r="T10" i="19"/>
  <c r="W10" i="19"/>
  <c r="X10" i="19"/>
  <c r="AA10" i="19"/>
  <c r="AE10" i="19"/>
  <c r="AF10" i="19"/>
  <c r="AI10" i="19"/>
  <c r="AJ10" i="19"/>
  <c r="AM10" i="19"/>
  <c r="AN10" i="19"/>
  <c r="AQ10" i="19"/>
  <c r="AR10" i="19"/>
  <c r="AU10" i="19"/>
  <c r="AV10" i="19"/>
  <c r="AW10" i="19"/>
  <c r="K10" i="19" s="1"/>
  <c r="AZ10" i="19"/>
  <c r="BB10" i="19"/>
  <c r="BD10" i="19"/>
  <c r="I9" i="19"/>
  <c r="J9" i="19"/>
  <c r="O9" i="19"/>
  <c r="P9" i="19"/>
  <c r="T9" i="19"/>
  <c r="S9" i="19" s="1"/>
  <c r="W9" i="19"/>
  <c r="X9" i="19"/>
  <c r="AA9" i="19"/>
  <c r="AE9" i="19"/>
  <c r="AF9" i="19"/>
  <c r="AI9" i="19"/>
  <c r="AJ9" i="19"/>
  <c r="AM9" i="19"/>
  <c r="AN9" i="19"/>
  <c r="AQ9" i="19"/>
  <c r="AR9" i="19"/>
  <c r="AU9" i="19"/>
  <c r="AV9" i="19"/>
  <c r="AW9" i="19"/>
  <c r="K9" i="19" s="1"/>
  <c r="AZ9" i="19"/>
  <c r="BB9" i="19"/>
  <c r="BD9" i="19"/>
  <c r="I8" i="19"/>
  <c r="J8" i="19"/>
  <c r="O8" i="19"/>
  <c r="P8" i="19"/>
  <c r="T8" i="19"/>
  <c r="S8" i="19" s="1"/>
  <c r="W8" i="19"/>
  <c r="X8" i="19"/>
  <c r="AA8" i="19"/>
  <c r="AE8" i="19"/>
  <c r="AF8" i="19"/>
  <c r="AI8" i="19"/>
  <c r="AJ8" i="19"/>
  <c r="AM8" i="19"/>
  <c r="AN8" i="19"/>
  <c r="AQ8" i="19"/>
  <c r="AR8" i="19"/>
  <c r="AU8" i="19"/>
  <c r="AV8" i="19"/>
  <c r="AW8" i="19"/>
  <c r="K8" i="19" s="1"/>
  <c r="AZ8" i="19"/>
  <c r="BB8" i="19"/>
  <c r="BD8" i="19"/>
  <c r="I7" i="19"/>
  <c r="J7" i="19"/>
  <c r="O7" i="19"/>
  <c r="P7" i="19"/>
  <c r="T7" i="19"/>
  <c r="S7" i="19" s="1"/>
  <c r="W7" i="19"/>
  <c r="X7" i="19"/>
  <c r="AA7" i="19"/>
  <c r="AE7" i="19"/>
  <c r="AF7" i="19"/>
  <c r="AI7" i="19"/>
  <c r="AJ7" i="19"/>
  <c r="AM7" i="19"/>
  <c r="AN7" i="19"/>
  <c r="AQ7" i="19"/>
  <c r="AR7" i="19"/>
  <c r="AU7" i="19"/>
  <c r="AV7" i="19"/>
  <c r="AW7" i="19"/>
  <c r="K7" i="19" s="1"/>
  <c r="AZ7" i="19"/>
  <c r="BB7" i="19"/>
  <c r="BD7" i="19"/>
  <c r="I6" i="19"/>
  <c r="J6" i="19"/>
  <c r="O6" i="19"/>
  <c r="P6" i="19"/>
  <c r="T6" i="19"/>
  <c r="S6" i="19" s="1"/>
  <c r="W6" i="19"/>
  <c r="X6" i="19"/>
  <c r="AA6" i="19"/>
  <c r="AE6" i="19"/>
  <c r="AF6" i="19"/>
  <c r="AI6" i="19"/>
  <c r="AJ6" i="19"/>
  <c r="AM6" i="19"/>
  <c r="AN6" i="19"/>
  <c r="AQ6" i="19"/>
  <c r="AR6" i="19"/>
  <c r="AU6" i="19"/>
  <c r="AV6" i="19"/>
  <c r="AW6" i="19"/>
  <c r="K6" i="19" s="1"/>
  <c r="AZ6" i="19"/>
  <c r="BB6" i="19"/>
  <c r="BD6" i="19"/>
  <c r="I5" i="19"/>
  <c r="J5" i="19"/>
  <c r="P5" i="19"/>
  <c r="S5" i="19"/>
  <c r="T5" i="19"/>
  <c r="W5" i="19"/>
  <c r="X5" i="19"/>
  <c r="AA5" i="19"/>
  <c r="AE5" i="19"/>
  <c r="AF5" i="19"/>
  <c r="AI5" i="19"/>
  <c r="AJ5" i="19"/>
  <c r="AM5" i="19"/>
  <c r="AN5" i="19"/>
  <c r="AQ5" i="19"/>
  <c r="AR5" i="19"/>
  <c r="AU5" i="19"/>
  <c r="AV5" i="19"/>
  <c r="AW5" i="19"/>
  <c r="K5" i="19" s="1"/>
  <c r="AZ5" i="19"/>
  <c r="BB5" i="19"/>
  <c r="BD5" i="19"/>
  <c r="I4" i="19"/>
  <c r="J4" i="19"/>
  <c r="P4" i="19"/>
  <c r="S4" i="19"/>
  <c r="T4" i="19"/>
  <c r="W4" i="19"/>
  <c r="X4" i="19"/>
  <c r="AA4" i="19"/>
  <c r="AE4" i="19"/>
  <c r="AF4" i="19"/>
  <c r="AI4" i="19"/>
  <c r="AJ4" i="19"/>
  <c r="AM4" i="19"/>
  <c r="AN4" i="19"/>
  <c r="AQ4" i="19"/>
  <c r="AR4" i="19"/>
  <c r="AU4" i="19"/>
  <c r="AV4" i="19"/>
  <c r="AW4" i="19"/>
  <c r="K4" i="19" s="1"/>
  <c r="AZ4" i="19"/>
  <c r="BB4" i="19"/>
  <c r="BD4" i="19"/>
  <c r="I3" i="19"/>
  <c r="J3" i="19"/>
  <c r="P3" i="19"/>
  <c r="O3" i="19" s="1"/>
  <c r="S3" i="19"/>
  <c r="T3" i="19"/>
  <c r="W3" i="19"/>
  <c r="X3" i="19"/>
  <c r="AA3" i="19"/>
  <c r="AE3" i="19"/>
  <c r="AF3" i="19"/>
  <c r="AI3" i="19"/>
  <c r="AJ3" i="19"/>
  <c r="AM3" i="19"/>
  <c r="AN3" i="19"/>
  <c r="AQ3" i="19"/>
  <c r="AR3" i="19"/>
  <c r="AU3" i="19"/>
  <c r="AV3" i="19"/>
  <c r="AW3" i="19"/>
  <c r="K3" i="19" s="1"/>
  <c r="AZ3" i="19"/>
  <c r="BB3" i="19"/>
  <c r="BD3" i="19"/>
  <c r="I2" i="19"/>
  <c r="J2" i="19"/>
  <c r="O2" i="19"/>
  <c r="P2" i="19"/>
  <c r="S2" i="19"/>
  <c r="T2" i="19"/>
  <c r="W2" i="19"/>
  <c r="X2" i="19"/>
  <c r="AA2" i="19"/>
  <c r="AE2" i="19"/>
  <c r="AF2" i="19"/>
  <c r="AI2" i="19"/>
  <c r="AJ2" i="19"/>
  <c r="AM2" i="19"/>
  <c r="AN2" i="19"/>
  <c r="AR2" i="19"/>
  <c r="AQ2" i="19" s="1"/>
  <c r="AU2" i="19"/>
  <c r="AV2" i="19"/>
  <c r="AW2" i="19"/>
  <c r="K2" i="19" s="1"/>
  <c r="AZ2" i="19"/>
  <c r="BB2" i="19"/>
  <c r="BD2" i="19"/>
  <c r="O402" i="19" l="1"/>
  <c r="L402" i="19" s="1"/>
  <c r="O401" i="19"/>
  <c r="L401" i="19" s="1"/>
  <c r="O400" i="19"/>
  <c r="L400" i="19" s="1"/>
  <c r="O399" i="19"/>
  <c r="L399" i="19" s="1"/>
  <c r="O398" i="19"/>
  <c r="L398" i="19" s="1"/>
  <c r="O397" i="19"/>
  <c r="L397" i="19" s="1"/>
  <c r="O396" i="19"/>
  <c r="L396" i="19" s="1"/>
  <c r="O395" i="19"/>
  <c r="L395" i="19" s="1"/>
  <c r="AE394" i="19"/>
  <c r="L394" i="19" s="1"/>
  <c r="W393" i="19"/>
  <c r="L393" i="19" s="1"/>
  <c r="O391" i="19"/>
  <c r="L391" i="19" s="1"/>
  <c r="W390" i="19"/>
  <c r="L390" i="19" s="1"/>
  <c r="O389" i="19"/>
  <c r="L389" i="19" s="1"/>
  <c r="O388" i="19"/>
  <c r="L388" i="19" s="1"/>
  <c r="O387" i="19"/>
  <c r="L387" i="19" s="1"/>
  <c r="S386" i="19"/>
  <c r="L386" i="19" s="1"/>
  <c r="O385" i="19"/>
  <c r="L385" i="19" s="1"/>
  <c r="O384" i="19"/>
  <c r="L384" i="19" s="1"/>
  <c r="O383" i="19"/>
  <c r="L383" i="19" s="1"/>
  <c r="O382" i="19"/>
  <c r="L382" i="19" s="1"/>
  <c r="O381" i="19"/>
  <c r="L381" i="19" s="1"/>
  <c r="O380" i="19"/>
  <c r="L380" i="19" s="1"/>
  <c r="O379" i="19"/>
  <c r="L379" i="19" s="1"/>
  <c r="O378" i="19"/>
  <c r="L378" i="19" s="1"/>
  <c r="O377" i="19"/>
  <c r="L377" i="19" s="1"/>
  <c r="O376" i="19"/>
  <c r="L376" i="19" s="1"/>
  <c r="O375" i="19"/>
  <c r="L375" i="19" s="1"/>
  <c r="O374" i="19"/>
  <c r="L374" i="19" s="1"/>
  <c r="O373" i="19"/>
  <c r="L373" i="19" s="1"/>
  <c r="O372" i="19"/>
  <c r="L372" i="19" s="1"/>
  <c r="O371" i="19"/>
  <c r="L371" i="19" s="1"/>
  <c r="O370" i="19"/>
  <c r="L370" i="19" s="1"/>
  <c r="O369" i="19"/>
  <c r="L369" i="19" s="1"/>
  <c r="S368" i="19"/>
  <c r="L368" i="19" s="1"/>
  <c r="S367" i="19"/>
  <c r="L367" i="19" s="1"/>
  <c r="S366" i="19"/>
  <c r="L366" i="19" s="1"/>
  <c r="S365" i="19"/>
  <c r="L365" i="19" s="1"/>
  <c r="S364" i="19"/>
  <c r="L364" i="19" s="1"/>
  <c r="O363" i="19"/>
  <c r="L363" i="19" s="1"/>
  <c r="O362" i="19"/>
  <c r="L362" i="19" s="1"/>
  <c r="O361" i="19"/>
  <c r="L361" i="19" s="1"/>
  <c r="O360" i="19"/>
  <c r="L360" i="19" s="1"/>
  <c r="O359" i="19"/>
  <c r="L359" i="19" s="1"/>
  <c r="O358" i="19"/>
  <c r="L358" i="19" s="1"/>
  <c r="O357" i="19"/>
  <c r="L357" i="19" s="1"/>
  <c r="O356" i="19"/>
  <c r="L356" i="19" s="1"/>
  <c r="O355" i="19"/>
  <c r="L355" i="19" s="1"/>
  <c r="O354" i="19"/>
  <c r="L354" i="19" s="1"/>
  <c r="O353" i="19"/>
  <c r="L353" i="19" s="1"/>
  <c r="O352" i="19"/>
  <c r="L352" i="19" s="1"/>
  <c r="O351" i="19"/>
  <c r="L351" i="19" s="1"/>
  <c r="O350" i="19"/>
  <c r="L350" i="19" s="1"/>
  <c r="O349" i="19"/>
  <c r="L349" i="19" s="1"/>
  <c r="O348" i="19"/>
  <c r="L348" i="19" s="1"/>
  <c r="O347" i="19"/>
  <c r="L347" i="19" s="1"/>
  <c r="O346" i="19"/>
  <c r="L346" i="19" s="1"/>
  <c r="O345" i="19"/>
  <c r="L345" i="19" s="1"/>
  <c r="O344" i="19"/>
  <c r="L344" i="19" s="1"/>
  <c r="O343" i="19"/>
  <c r="L343" i="19" s="1"/>
  <c r="O342" i="19"/>
  <c r="L342" i="19" s="1"/>
  <c r="O341" i="19"/>
  <c r="L341" i="19" s="1"/>
  <c r="O340" i="19"/>
  <c r="L340" i="19" s="1"/>
  <c r="O339" i="19"/>
  <c r="L339" i="19" s="1"/>
  <c r="O338" i="19"/>
  <c r="L338" i="19" s="1"/>
  <c r="O337" i="19"/>
  <c r="L337" i="19" s="1"/>
  <c r="O336" i="19"/>
  <c r="L336" i="19" s="1"/>
  <c r="O335" i="19"/>
  <c r="L335" i="19" s="1"/>
  <c r="O334" i="19"/>
  <c r="L334" i="19" s="1"/>
  <c r="O333" i="19"/>
  <c r="L333" i="19" s="1"/>
  <c r="O332" i="19"/>
  <c r="L332" i="19" s="1"/>
  <c r="O331" i="19"/>
  <c r="L331" i="19" s="1"/>
  <c r="O330" i="19"/>
  <c r="L330" i="19" s="1"/>
  <c r="O329" i="19"/>
  <c r="L329" i="19" s="1"/>
  <c r="O328" i="19"/>
  <c r="L328" i="19" s="1"/>
  <c r="O327" i="19"/>
  <c r="L327" i="19" s="1"/>
  <c r="O326" i="19"/>
  <c r="L326" i="19" s="1"/>
  <c r="O325" i="19"/>
  <c r="L325" i="19" s="1"/>
  <c r="O324" i="19"/>
  <c r="L324" i="19" s="1"/>
  <c r="O323" i="19"/>
  <c r="L323" i="19" s="1"/>
  <c r="O322" i="19"/>
  <c r="L322" i="19" s="1"/>
  <c r="O320" i="19"/>
  <c r="L320" i="19" s="1"/>
  <c r="O319" i="19"/>
  <c r="L319" i="19" s="1"/>
  <c r="O318" i="19"/>
  <c r="L318" i="19" s="1"/>
  <c r="O317" i="19"/>
  <c r="L317" i="19" s="1"/>
  <c r="O316" i="19"/>
  <c r="L316" i="19" s="1"/>
  <c r="O315" i="19"/>
  <c r="L315" i="19" s="1"/>
  <c r="O314" i="19"/>
  <c r="L314" i="19" s="1"/>
  <c r="O313" i="19"/>
  <c r="L313" i="19" s="1"/>
  <c r="O312" i="19"/>
  <c r="L312" i="19" s="1"/>
  <c r="O311" i="19"/>
  <c r="L311" i="19" s="1"/>
  <c r="O310" i="19"/>
  <c r="L310" i="19" s="1"/>
  <c r="O309" i="19"/>
  <c r="L309" i="19" s="1"/>
  <c r="O308" i="19"/>
  <c r="L308" i="19" s="1"/>
  <c r="O307" i="19"/>
  <c r="L307" i="19" s="1"/>
  <c r="O306" i="19"/>
  <c r="L306" i="19" s="1"/>
  <c r="O305" i="19"/>
  <c r="L305" i="19" s="1"/>
  <c r="O304" i="19"/>
  <c r="L304" i="19" s="1"/>
  <c r="O303" i="19"/>
  <c r="L303" i="19" s="1"/>
  <c r="O302" i="19"/>
  <c r="L302" i="19" s="1"/>
  <c r="O301" i="19"/>
  <c r="L301" i="19" s="1"/>
  <c r="O300" i="19"/>
  <c r="L300" i="19" s="1"/>
  <c r="O299" i="19"/>
  <c r="L299" i="19" s="1"/>
  <c r="O298" i="19"/>
  <c r="L298" i="19" s="1"/>
  <c r="O297" i="19"/>
  <c r="L297" i="19" s="1"/>
  <c r="O296" i="19"/>
  <c r="L296" i="19" s="1"/>
  <c r="O295" i="19"/>
  <c r="L295" i="19" s="1"/>
  <c r="O294" i="19"/>
  <c r="L294" i="19" s="1"/>
  <c r="O293" i="19"/>
  <c r="L293" i="19" s="1"/>
  <c r="O292" i="19"/>
  <c r="L292" i="19" s="1"/>
  <c r="O291" i="19"/>
  <c r="L291" i="19" s="1"/>
  <c r="O290" i="19"/>
  <c r="L290" i="19" s="1"/>
  <c r="O289" i="19"/>
  <c r="L289" i="19" s="1"/>
  <c r="O288" i="19"/>
  <c r="L288" i="19" s="1"/>
  <c r="O287" i="19"/>
  <c r="L287" i="19" s="1"/>
  <c r="O286" i="19"/>
  <c r="L286" i="19" s="1"/>
  <c r="O285" i="19"/>
  <c r="L285" i="19" s="1"/>
  <c r="O284" i="19"/>
  <c r="L284" i="19" s="1"/>
  <c r="O283" i="19"/>
  <c r="L283" i="19" s="1"/>
  <c r="O282" i="19"/>
  <c r="L282" i="19" s="1"/>
  <c r="O281" i="19"/>
  <c r="L281" i="19" s="1"/>
  <c r="O280" i="19"/>
  <c r="L280" i="19" s="1"/>
  <c r="O279" i="19"/>
  <c r="L279" i="19" s="1"/>
  <c r="O278" i="19"/>
  <c r="L278" i="19" s="1"/>
  <c r="O277" i="19"/>
  <c r="L277" i="19" s="1"/>
  <c r="O276" i="19"/>
  <c r="L276" i="19" s="1"/>
  <c r="O275" i="19"/>
  <c r="L275" i="19" s="1"/>
  <c r="O274" i="19"/>
  <c r="L274" i="19" s="1"/>
  <c r="O273" i="19"/>
  <c r="L273" i="19" s="1"/>
  <c r="O272" i="19"/>
  <c r="L272" i="19" s="1"/>
  <c r="O271" i="19"/>
  <c r="L271" i="19" s="1"/>
  <c r="O270" i="19"/>
  <c r="L270" i="19" s="1"/>
  <c r="O269" i="19"/>
  <c r="L269" i="19" s="1"/>
  <c r="O268" i="19"/>
  <c r="L268" i="19" s="1"/>
  <c r="O267" i="19"/>
  <c r="L267" i="19" s="1"/>
  <c r="O266" i="19"/>
  <c r="L266" i="19" s="1"/>
  <c r="O265" i="19"/>
  <c r="L265" i="19" s="1"/>
  <c r="O264" i="19"/>
  <c r="L264" i="19" s="1"/>
  <c r="O263" i="19"/>
  <c r="L263" i="19" s="1"/>
  <c r="O262" i="19"/>
  <c r="L262" i="19" s="1"/>
  <c r="O261" i="19"/>
  <c r="L261" i="19" s="1"/>
  <c r="O260" i="19"/>
  <c r="L260" i="19" s="1"/>
  <c r="O259" i="19"/>
  <c r="L259" i="19" s="1"/>
  <c r="O258" i="19"/>
  <c r="L258" i="19" s="1"/>
  <c r="O257" i="19"/>
  <c r="L257" i="19" s="1"/>
  <c r="O256" i="19"/>
  <c r="L256" i="19" s="1"/>
  <c r="O255" i="19"/>
  <c r="L255" i="19" s="1"/>
  <c r="O254" i="19"/>
  <c r="L254" i="19" s="1"/>
  <c r="O253" i="19"/>
  <c r="L253" i="19" s="1"/>
  <c r="O252" i="19"/>
  <c r="L252" i="19" s="1"/>
  <c r="O251" i="19"/>
  <c r="L251" i="19" s="1"/>
  <c r="O250" i="19"/>
  <c r="L250" i="19" s="1"/>
  <c r="O249" i="19"/>
  <c r="L249" i="19" s="1"/>
  <c r="O248" i="19"/>
  <c r="L248" i="19" s="1"/>
  <c r="O247" i="19"/>
  <c r="L247" i="19" s="1"/>
  <c r="O246" i="19"/>
  <c r="L246" i="19" s="1"/>
  <c r="O245" i="19"/>
  <c r="L245" i="19" s="1"/>
  <c r="O244" i="19"/>
  <c r="L244" i="19" s="1"/>
  <c r="O243" i="19"/>
  <c r="L243" i="19" s="1"/>
  <c r="O242" i="19"/>
  <c r="L242" i="19" s="1"/>
  <c r="O241" i="19"/>
  <c r="L241" i="19" s="1"/>
  <c r="O240" i="19"/>
  <c r="L240" i="19" s="1"/>
  <c r="O239" i="19"/>
  <c r="L239" i="19" s="1"/>
  <c r="O238" i="19"/>
  <c r="L238" i="19" s="1"/>
  <c r="O237" i="19"/>
  <c r="L237" i="19" s="1"/>
  <c r="O236" i="19"/>
  <c r="L236" i="19" s="1"/>
  <c r="O235" i="19"/>
  <c r="L235" i="19" s="1"/>
  <c r="O234" i="19"/>
  <c r="L234" i="19" s="1"/>
  <c r="O233" i="19"/>
  <c r="L233" i="19" s="1"/>
  <c r="O232" i="19"/>
  <c r="L232" i="19" s="1"/>
  <c r="O231" i="19"/>
  <c r="L231" i="19" s="1"/>
  <c r="O230" i="19"/>
  <c r="L230" i="19" s="1"/>
  <c r="O229" i="19"/>
  <c r="L229" i="19" s="1"/>
  <c r="O228" i="19"/>
  <c r="L228" i="19" s="1"/>
  <c r="O227" i="19"/>
  <c r="L227" i="19" s="1"/>
  <c r="O226" i="19"/>
  <c r="L226" i="19" s="1"/>
  <c r="O225" i="19"/>
  <c r="L225" i="19" s="1"/>
  <c r="O224" i="19"/>
  <c r="L224" i="19" s="1"/>
  <c r="O223" i="19"/>
  <c r="L223" i="19" s="1"/>
  <c r="O222" i="19"/>
  <c r="L222" i="19" s="1"/>
  <c r="O221" i="19"/>
  <c r="L221" i="19" s="1"/>
  <c r="O220" i="19"/>
  <c r="L220" i="19" s="1"/>
  <c r="O219" i="19"/>
  <c r="L219" i="19" s="1"/>
  <c r="O218" i="19"/>
  <c r="L218" i="19" s="1"/>
  <c r="O217" i="19"/>
  <c r="L217" i="19" s="1"/>
  <c r="O216" i="19"/>
  <c r="L216" i="19" s="1"/>
  <c r="O215" i="19"/>
  <c r="L215" i="19" s="1"/>
  <c r="O214" i="19"/>
  <c r="L214" i="19" s="1"/>
  <c r="O213" i="19"/>
  <c r="L213" i="19" s="1"/>
  <c r="O212" i="19"/>
  <c r="L212" i="19" s="1"/>
  <c r="O211" i="19"/>
  <c r="L211" i="19" s="1"/>
  <c r="O210" i="19"/>
  <c r="L210" i="19" s="1"/>
  <c r="O209" i="19"/>
  <c r="L209" i="19" s="1"/>
  <c r="O208" i="19"/>
  <c r="L208" i="19" s="1"/>
  <c r="O207" i="19"/>
  <c r="L207" i="19" s="1"/>
  <c r="O206" i="19"/>
  <c r="L206" i="19" s="1"/>
  <c r="O205" i="19"/>
  <c r="L205" i="19" s="1"/>
  <c r="O204" i="19"/>
  <c r="L204" i="19" s="1"/>
  <c r="O203" i="19"/>
  <c r="L203" i="19" s="1"/>
  <c r="O202" i="19"/>
  <c r="L202" i="19" s="1"/>
  <c r="O201" i="19"/>
  <c r="L201" i="19" s="1"/>
  <c r="O200" i="19"/>
  <c r="L200" i="19" s="1"/>
  <c r="O199" i="19"/>
  <c r="L199" i="19" s="1"/>
  <c r="O198" i="19"/>
  <c r="L198" i="19" s="1"/>
  <c r="O197" i="19"/>
  <c r="L197" i="19" s="1"/>
  <c r="O196" i="19"/>
  <c r="L196" i="19" s="1"/>
  <c r="O195" i="19"/>
  <c r="L195" i="19" s="1"/>
  <c r="O194" i="19"/>
  <c r="L194" i="19" s="1"/>
  <c r="O193" i="19"/>
  <c r="L193" i="19" s="1"/>
  <c r="O192" i="19"/>
  <c r="L192" i="19" s="1"/>
  <c r="O191" i="19"/>
  <c r="L191" i="19" s="1"/>
  <c r="O190" i="19"/>
  <c r="L190" i="19" s="1"/>
  <c r="O189" i="19"/>
  <c r="L189" i="19" s="1"/>
  <c r="S188" i="19"/>
  <c r="L188" i="19" s="1"/>
  <c r="O187" i="19"/>
  <c r="L187" i="19" s="1"/>
  <c r="O186" i="19"/>
  <c r="L186" i="19" s="1"/>
  <c r="O185" i="19"/>
  <c r="L185" i="19" s="1"/>
  <c r="O184" i="19"/>
  <c r="L184" i="19" s="1"/>
  <c r="O183" i="19"/>
  <c r="L183" i="19" s="1"/>
  <c r="O182" i="19"/>
  <c r="L182" i="19" s="1"/>
  <c r="O181" i="19"/>
  <c r="L181" i="19" s="1"/>
  <c r="O179" i="19"/>
  <c r="L179" i="19" s="1"/>
  <c r="O178" i="19"/>
  <c r="L178" i="19" s="1"/>
  <c r="O177" i="19"/>
  <c r="L177" i="19" s="1"/>
  <c r="AI176" i="19"/>
  <c r="L176" i="19" s="1"/>
  <c r="O175" i="19"/>
  <c r="L175" i="19" s="1"/>
  <c r="O174" i="19"/>
  <c r="L174" i="19" s="1"/>
  <c r="O173" i="19"/>
  <c r="L173" i="19" s="1"/>
  <c r="S172" i="19"/>
  <c r="L172" i="19" s="1"/>
  <c r="O171" i="19"/>
  <c r="L171" i="19" s="1"/>
  <c r="AU170" i="19"/>
  <c r="L170" i="19" s="1"/>
  <c r="L169" i="19"/>
  <c r="O168" i="19"/>
  <c r="L168" i="19" s="1"/>
  <c r="O155" i="19"/>
  <c r="L155" i="19" s="1"/>
  <c r="O154" i="19"/>
  <c r="L154" i="19" s="1"/>
  <c r="O153" i="19"/>
  <c r="L153" i="19" s="1"/>
  <c r="O152" i="19"/>
  <c r="L152" i="19" s="1"/>
  <c r="L151" i="19"/>
  <c r="L150" i="19"/>
  <c r="L149" i="19"/>
  <c r="AU148" i="19"/>
  <c r="L148" i="19" s="1"/>
  <c r="AU147" i="19"/>
  <c r="L147" i="19" s="1"/>
  <c r="O146" i="19"/>
  <c r="L146" i="19" s="1"/>
  <c r="O145" i="19"/>
  <c r="L145" i="19" s="1"/>
  <c r="O144" i="19"/>
  <c r="L144" i="19" s="1"/>
  <c r="O143" i="19"/>
  <c r="L143" i="19" s="1"/>
  <c r="O142" i="19"/>
  <c r="L142" i="19" s="1"/>
  <c r="O141" i="19"/>
  <c r="L141" i="19" s="1"/>
  <c r="O140" i="19"/>
  <c r="L140" i="19" s="1"/>
  <c r="O139" i="19"/>
  <c r="L139" i="19" s="1"/>
  <c r="O138" i="19"/>
  <c r="L138" i="19" s="1"/>
  <c r="S137" i="19"/>
  <c r="L137" i="19" s="1"/>
  <c r="S136" i="19"/>
  <c r="L136" i="19" s="1"/>
  <c r="O135" i="19"/>
  <c r="L135" i="19" s="1"/>
  <c r="O134" i="19"/>
  <c r="L134" i="19" s="1"/>
  <c r="O133" i="19"/>
  <c r="L133" i="19" s="1"/>
  <c r="O132" i="19"/>
  <c r="L132" i="19" s="1"/>
  <c r="O131" i="19"/>
  <c r="L131" i="19" s="1"/>
  <c r="O130" i="19"/>
  <c r="L130" i="19" s="1"/>
  <c r="O129" i="19"/>
  <c r="L129" i="19" s="1"/>
  <c r="O128" i="19"/>
  <c r="L128" i="19" s="1"/>
  <c r="S127" i="19"/>
  <c r="L127" i="19" s="1"/>
  <c r="O126" i="19"/>
  <c r="L126" i="19" s="1"/>
  <c r="O125" i="19"/>
  <c r="L125" i="19" s="1"/>
  <c r="O124" i="19"/>
  <c r="L124" i="19" s="1"/>
  <c r="O123" i="19"/>
  <c r="L123" i="19" s="1"/>
  <c r="W122" i="19"/>
  <c r="L122" i="19" s="1"/>
  <c r="O121" i="19"/>
  <c r="L121" i="19" s="1"/>
  <c r="O120" i="19"/>
  <c r="L120" i="19" s="1"/>
  <c r="O119" i="19"/>
  <c r="L119" i="19" s="1"/>
  <c r="O118" i="19"/>
  <c r="L118" i="19" s="1"/>
  <c r="O117" i="19"/>
  <c r="L117" i="19" s="1"/>
  <c r="O116" i="19"/>
  <c r="L116" i="19" s="1"/>
  <c r="O115" i="19"/>
  <c r="L115" i="19" s="1"/>
  <c r="S114" i="19"/>
  <c r="L114" i="19" s="1"/>
  <c r="O113" i="19"/>
  <c r="L113" i="19" s="1"/>
  <c r="O112" i="19"/>
  <c r="L112" i="19" s="1"/>
  <c r="O111" i="19"/>
  <c r="L111" i="19" s="1"/>
  <c r="W110" i="19"/>
  <c r="L110" i="19" s="1"/>
  <c r="S109" i="19"/>
  <c r="L109" i="19" s="1"/>
  <c r="O108" i="19"/>
  <c r="L108" i="19" s="1"/>
  <c r="O107" i="19"/>
  <c r="L107" i="19" s="1"/>
  <c r="O105" i="19"/>
  <c r="L105" i="19" s="1"/>
  <c r="O104" i="19"/>
  <c r="L104" i="19" s="1"/>
  <c r="O103" i="19"/>
  <c r="L103" i="19" s="1"/>
  <c r="O102" i="19"/>
  <c r="L102" i="19" s="1"/>
  <c r="S99" i="19"/>
  <c r="L99" i="19" s="1"/>
  <c r="S98" i="19"/>
  <c r="L98" i="19" s="1"/>
  <c r="O97" i="19"/>
  <c r="L97" i="19" s="1"/>
  <c r="S96" i="19"/>
  <c r="L96" i="19" s="1"/>
  <c r="O95" i="19"/>
  <c r="L95" i="19" s="1"/>
  <c r="O94" i="19"/>
  <c r="L94" i="19" s="1"/>
  <c r="O93" i="19"/>
  <c r="L93" i="19" s="1"/>
  <c r="O92" i="19"/>
  <c r="L92" i="19" s="1"/>
  <c r="O91" i="19"/>
  <c r="L91" i="19" s="1"/>
  <c r="O90" i="19"/>
  <c r="L90" i="19" s="1"/>
  <c r="O89" i="19"/>
  <c r="L89" i="19" s="1"/>
  <c r="O88" i="19"/>
  <c r="L88" i="19" s="1"/>
  <c r="O87" i="19"/>
  <c r="L87" i="19" s="1"/>
  <c r="O86" i="19"/>
  <c r="L86" i="19" s="1"/>
  <c r="O85" i="19"/>
  <c r="L85" i="19" s="1"/>
  <c r="O84" i="19"/>
  <c r="L84" i="19" s="1"/>
  <c r="O83" i="19"/>
  <c r="L83" i="19" s="1"/>
  <c r="O82" i="19"/>
  <c r="L82" i="19" s="1"/>
  <c r="O81" i="19"/>
  <c r="L81" i="19" s="1"/>
  <c r="O80" i="19"/>
  <c r="L80" i="19" s="1"/>
  <c r="O79" i="19"/>
  <c r="L79" i="19" s="1"/>
  <c r="O78" i="19"/>
  <c r="L78" i="19" s="1"/>
  <c r="O77" i="19"/>
  <c r="L77" i="19" s="1"/>
  <c r="O76" i="19"/>
  <c r="L76" i="19" s="1"/>
  <c r="O75" i="19"/>
  <c r="L75" i="19" s="1"/>
  <c r="O74" i="19"/>
  <c r="L74" i="19" s="1"/>
  <c r="O73" i="19"/>
  <c r="L73" i="19" s="1"/>
  <c r="O72" i="19"/>
  <c r="L72" i="19" s="1"/>
  <c r="O71" i="19"/>
  <c r="L71" i="19" s="1"/>
  <c r="O70" i="19"/>
  <c r="L70" i="19" s="1"/>
  <c r="O69" i="19"/>
  <c r="L69" i="19" s="1"/>
  <c r="O68" i="19"/>
  <c r="L68" i="19" s="1"/>
  <c r="O67" i="19"/>
  <c r="L67" i="19" s="1"/>
  <c r="O66" i="19"/>
  <c r="L66" i="19" s="1"/>
  <c r="O65" i="19"/>
  <c r="L65" i="19" s="1"/>
  <c r="O64" i="19"/>
  <c r="L64" i="19" s="1"/>
  <c r="O63" i="19"/>
  <c r="L63" i="19" s="1"/>
  <c r="O62" i="19"/>
  <c r="L62" i="19" s="1"/>
  <c r="O61" i="19"/>
  <c r="L61" i="19" s="1"/>
  <c r="O60" i="19"/>
  <c r="L60" i="19" s="1"/>
  <c r="O59" i="19"/>
  <c r="L59" i="19" s="1"/>
  <c r="O58" i="19"/>
  <c r="L58" i="19" s="1"/>
  <c r="O57" i="19"/>
  <c r="L57" i="19" s="1"/>
  <c r="O56" i="19"/>
  <c r="L56" i="19" s="1"/>
  <c r="O55" i="19"/>
  <c r="L55" i="19" s="1"/>
  <c r="O54" i="19"/>
  <c r="L54" i="19" s="1"/>
  <c r="O53" i="19"/>
  <c r="L53" i="19" s="1"/>
  <c r="O52" i="19"/>
  <c r="L52" i="19" s="1"/>
  <c r="O51" i="19"/>
  <c r="L51" i="19" s="1"/>
  <c r="O50" i="19"/>
  <c r="L50" i="19" s="1"/>
  <c r="O49" i="19"/>
  <c r="L49" i="19" s="1"/>
  <c r="O48" i="19"/>
  <c r="L48" i="19" s="1"/>
  <c r="O47" i="19"/>
  <c r="L47" i="19" s="1"/>
  <c r="O46" i="19"/>
  <c r="L46" i="19" s="1"/>
  <c r="O45" i="19"/>
  <c r="L45" i="19" s="1"/>
  <c r="S44" i="19"/>
  <c r="L44" i="19" s="1"/>
  <c r="O43" i="19"/>
  <c r="L43" i="19" s="1"/>
  <c r="O42" i="19"/>
  <c r="L42" i="19" s="1"/>
  <c r="W41" i="19"/>
  <c r="L41" i="19" s="1"/>
  <c r="O40" i="19"/>
  <c r="L40" i="19" s="1"/>
  <c r="O39" i="19"/>
  <c r="L39" i="19" s="1"/>
  <c r="O38" i="19"/>
  <c r="L38" i="19" s="1"/>
  <c r="AU37" i="19"/>
  <c r="L37" i="19" s="1"/>
  <c r="O36" i="19"/>
  <c r="L36" i="19" s="1"/>
  <c r="L35" i="19"/>
  <c r="L34" i="19"/>
  <c r="O33" i="19"/>
  <c r="L33" i="19" s="1"/>
  <c r="O32" i="19"/>
  <c r="L32" i="19" s="1"/>
  <c r="O31" i="19"/>
  <c r="L31" i="19" s="1"/>
  <c r="O30" i="19"/>
  <c r="L30" i="19" s="1"/>
  <c r="O29" i="19"/>
  <c r="L29" i="19" s="1"/>
  <c r="O28" i="19"/>
  <c r="L28" i="19" s="1"/>
  <c r="O27" i="19"/>
  <c r="L27" i="19" s="1"/>
  <c r="O26" i="19"/>
  <c r="L26" i="19" s="1"/>
  <c r="O25" i="19"/>
  <c r="L25" i="19" s="1"/>
  <c r="L24" i="19"/>
  <c r="S23" i="19"/>
  <c r="L23" i="19" s="1"/>
  <c r="S22" i="19"/>
  <c r="L22" i="19" s="1"/>
  <c r="W21" i="19"/>
  <c r="L21" i="19" s="1"/>
  <c r="W20" i="19"/>
  <c r="L20" i="19" s="1"/>
  <c r="O19" i="19"/>
  <c r="L19" i="19" s="1"/>
  <c r="O18" i="19"/>
  <c r="L18" i="19" s="1"/>
  <c r="W17" i="19"/>
  <c r="L17" i="19" s="1"/>
  <c r="L16" i="19"/>
  <c r="O15" i="19"/>
  <c r="L15" i="19" s="1"/>
  <c r="O14" i="19"/>
  <c r="L14" i="19" s="1"/>
  <c r="O13" i="19"/>
  <c r="L13" i="19" s="1"/>
  <c r="L12" i="19"/>
  <c r="L11" i="19"/>
  <c r="L10" i="19"/>
  <c r="L9" i="19"/>
  <c r="L8" i="19"/>
  <c r="L7" i="19"/>
  <c r="L6" i="19"/>
  <c r="O5" i="19"/>
  <c r="L5" i="19" s="1"/>
  <c r="O4" i="19"/>
  <c r="L4" i="19" s="1"/>
  <c r="L3" i="19"/>
  <c r="L2" i="19"/>
  <c r="K3" i="15"/>
  <c r="J3" i="15"/>
  <c r="K2" i="15"/>
  <c r="J2" i="15"/>
  <c r="I180" i="19" l="1"/>
  <c r="J180" i="19"/>
  <c r="K180" i="19"/>
  <c r="AZ180" i="19" l="1"/>
  <c r="AV180" i="19"/>
  <c r="AU180" i="19"/>
  <c r="AR180" i="19"/>
  <c r="AQ180" i="19"/>
  <c r="AN180" i="19"/>
  <c r="AM180" i="19"/>
  <c r="AJ180" i="19"/>
  <c r="AI180" i="19"/>
  <c r="AF180" i="19"/>
  <c r="AE180" i="19"/>
  <c r="AA180" i="19"/>
  <c r="P180" i="19"/>
  <c r="X180" i="19"/>
  <c r="W180" i="19"/>
  <c r="T180" i="19"/>
  <c r="S180" i="19" s="1"/>
  <c r="O180" i="19" l="1"/>
  <c r="L180" i="19" s="1"/>
  <c r="BD180" i="19" l="1"/>
  <c r="BB180" i="19"/>
  <c r="L3" i="15" l="1"/>
  <c r="I2" i="22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F2" i="22"/>
  <c r="G2" i="22" s="1"/>
  <c r="C19" i="20"/>
  <c r="C11" i="20"/>
  <c r="C3" i="20"/>
  <c r="C26" i="3"/>
  <c r="C18" i="3"/>
  <c r="C10" i="3"/>
  <c r="C25" i="16"/>
  <c r="C17" i="16"/>
  <c r="F2" i="16"/>
  <c r="G2" i="16" s="1"/>
  <c r="C2" i="22"/>
  <c r="C29" i="20"/>
  <c r="C27" i="20"/>
  <c r="C26" i="20"/>
  <c r="C18" i="20"/>
  <c r="C10" i="20"/>
  <c r="C33" i="3"/>
  <c r="C25" i="3"/>
  <c r="C17" i="3"/>
  <c r="C9" i="3"/>
  <c r="C24" i="16"/>
  <c r="C16" i="16"/>
  <c r="B2" i="22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H2" i="22"/>
  <c r="J2" i="22" l="1"/>
  <c r="J2" i="16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7" i="22"/>
  <c r="C21" i="22"/>
  <c r="C3" i="22"/>
  <c r="C10" i="22"/>
  <c r="C25" i="22"/>
  <c r="C9" i="22"/>
  <c r="C4" i="22"/>
  <c r="C17" i="22"/>
  <c r="C22" i="22"/>
  <c r="C19" i="22"/>
  <c r="C18" i="22"/>
  <c r="C20" i="22"/>
  <c r="C15" i="22"/>
  <c r="C6" i="22"/>
  <c r="C7" i="22"/>
  <c r="C11" i="22"/>
  <c r="C12" i="22"/>
  <c r="C14" i="22"/>
  <c r="C5" i="22"/>
  <c r="C23" i="22"/>
  <c r="C13" i="22"/>
  <c r="C8" i="22"/>
  <c r="C24" i="22"/>
  <c r="C30" i="22"/>
  <c r="C16" i="22"/>
  <c r="C29" i="22"/>
  <c r="C26" i="22"/>
  <c r="C28" i="22"/>
  <c r="E33" i="21" l="1"/>
  <c r="E28" i="22" l="1"/>
  <c r="B23" i="22" l="1"/>
  <c r="F23" i="22"/>
  <c r="G23" i="22" s="1"/>
  <c r="I23" i="22"/>
  <c r="B8" i="22"/>
  <c r="F8" i="22"/>
  <c r="G8" i="22" s="1"/>
  <c r="I8" i="22"/>
  <c r="B13" i="22"/>
  <c r="F13" i="22"/>
  <c r="G13" i="22" s="1"/>
  <c r="I13" i="22"/>
  <c r="B5" i="22"/>
  <c r="F5" i="22"/>
  <c r="G5" i="22" s="1"/>
  <c r="I5" i="22"/>
  <c r="B14" i="22"/>
  <c r="F14" i="22"/>
  <c r="G14" i="22" s="1"/>
  <c r="I14" i="22"/>
  <c r="B20" i="22"/>
  <c r="F20" i="22"/>
  <c r="G20" i="22" s="1"/>
  <c r="I20" i="22"/>
  <c r="B12" i="21"/>
  <c r="F12" i="21"/>
  <c r="G12" i="21" s="1"/>
  <c r="I12" i="21"/>
  <c r="J23" i="22" l="1"/>
  <c r="J8" i="22"/>
  <c r="J13" i="22"/>
  <c r="J5" i="22"/>
  <c r="J14" i="22"/>
  <c r="J20" i="22"/>
  <c r="J12" i="21"/>
  <c r="I28" i="22" l="1"/>
  <c r="B28" i="22"/>
  <c r="F28" i="22"/>
  <c r="B15" i="22"/>
  <c r="F15" i="22"/>
  <c r="G15" i="22" s="1"/>
  <c r="I15" i="22"/>
  <c r="B12" i="22"/>
  <c r="F12" i="22"/>
  <c r="G12" i="22" s="1"/>
  <c r="I12" i="22"/>
  <c r="H15" i="22"/>
  <c r="G28" i="22" l="1"/>
  <c r="J28" i="22"/>
  <c r="J15" i="22"/>
  <c r="J12" i="22"/>
  <c r="B15" i="21"/>
  <c r="B14" i="21"/>
  <c r="F14" i="21"/>
  <c r="G14" i="21" s="1"/>
  <c r="I14" i="21"/>
  <c r="J14" i="21" l="1"/>
  <c r="B5" i="21" l="1"/>
  <c r="F5" i="21"/>
  <c r="G5" i="21" s="1"/>
  <c r="I5" i="21"/>
  <c r="H5" i="21" l="1"/>
  <c r="J5" i="21"/>
  <c r="B21" i="22"/>
  <c r="F21" i="22"/>
  <c r="G21" i="22" s="1"/>
  <c r="I21" i="22"/>
  <c r="B27" i="22"/>
  <c r="F27" i="22"/>
  <c r="G27" i="22" s="1"/>
  <c r="I27" i="22"/>
  <c r="I26" i="22"/>
  <c r="F26" i="22"/>
  <c r="G26" i="22" s="1"/>
  <c r="B26" i="22"/>
  <c r="I29" i="22"/>
  <c r="F29" i="22"/>
  <c r="B29" i="22"/>
  <c r="I16" i="22"/>
  <c r="F16" i="22"/>
  <c r="G16" i="22" s="1"/>
  <c r="B16" i="22"/>
  <c r="I30" i="22"/>
  <c r="F30" i="22"/>
  <c r="G30" i="22" s="1"/>
  <c r="B30" i="22"/>
  <c r="I24" i="22"/>
  <c r="F24" i="22"/>
  <c r="G24" i="22" s="1"/>
  <c r="B24" i="22"/>
  <c r="I11" i="22"/>
  <c r="F11" i="22"/>
  <c r="B11" i="22"/>
  <c r="I7" i="22"/>
  <c r="F7" i="22"/>
  <c r="G7" i="22" s="1"/>
  <c r="B7" i="22"/>
  <c r="I6" i="22"/>
  <c r="F6" i="22"/>
  <c r="B6" i="22"/>
  <c r="I18" i="22"/>
  <c r="F18" i="22"/>
  <c r="G18" i="22" s="1"/>
  <c r="B18" i="22"/>
  <c r="I19" i="22"/>
  <c r="F19" i="22"/>
  <c r="G19" i="22" s="1"/>
  <c r="B19" i="22"/>
  <c r="I22" i="22"/>
  <c r="F22" i="22"/>
  <c r="B22" i="22"/>
  <c r="I17" i="22"/>
  <c r="F17" i="22"/>
  <c r="B17" i="22"/>
  <c r="I9" i="22"/>
  <c r="F9" i="22"/>
  <c r="G9" i="22" s="1"/>
  <c r="B9" i="22"/>
  <c r="I4" i="22"/>
  <c r="F4" i="22"/>
  <c r="B4" i="22"/>
  <c r="I25" i="22"/>
  <c r="F25" i="22"/>
  <c r="G25" i="22" s="1"/>
  <c r="B25" i="22"/>
  <c r="I10" i="22"/>
  <c r="F10" i="22"/>
  <c r="G10" i="22" s="1"/>
  <c r="B10" i="22"/>
  <c r="I3" i="22"/>
  <c r="F3" i="22"/>
  <c r="B3" i="22"/>
  <c r="H21" i="22"/>
  <c r="H27" i="22"/>
  <c r="H10" i="22" l="1"/>
  <c r="J4" i="22"/>
  <c r="J22" i="22"/>
  <c r="J29" i="22"/>
  <c r="J11" i="22"/>
  <c r="J25" i="22"/>
  <c r="J21" i="22"/>
  <c r="J27" i="22"/>
  <c r="G4" i="22"/>
  <c r="J9" i="22"/>
  <c r="J18" i="22"/>
  <c r="J3" i="22"/>
  <c r="J17" i="22"/>
  <c r="G17" i="22"/>
  <c r="J6" i="22"/>
  <c r="J19" i="22"/>
  <c r="J16" i="22"/>
  <c r="J10" i="22"/>
  <c r="J30" i="22"/>
  <c r="G6" i="22"/>
  <c r="G11" i="22"/>
  <c r="G29" i="22"/>
  <c r="J7" i="22"/>
  <c r="J24" i="22"/>
  <c r="J26" i="22"/>
  <c r="G3" i="22"/>
  <c r="G22" i="22"/>
  <c r="E31" i="2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H8" i="22"/>
  <c r="H14" i="22"/>
  <c r="H13" i="22"/>
  <c r="H5" i="22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23" i="22" l="1"/>
  <c r="H14" i="21"/>
  <c r="H12" i="22"/>
  <c r="H19" i="16"/>
  <c r="H11" i="22"/>
  <c r="H16" i="16"/>
  <c r="H7" i="22"/>
  <c r="H7" i="16"/>
  <c r="H6" i="16"/>
  <c r="H4" i="22"/>
  <c r="H18" i="16"/>
  <c r="H15" i="16"/>
  <c r="H6" i="22"/>
  <c r="H9" i="16"/>
  <c r="H9" i="22"/>
  <c r="H3" i="16"/>
  <c r="H3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24" i="22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28" i="22"/>
  <c r="H12" i="21"/>
  <c r="H20" i="22"/>
  <c r="H27" i="3"/>
  <c r="H16" i="3"/>
  <c r="H15" i="21"/>
  <c r="H26" i="16"/>
  <c r="H10" i="21"/>
  <c r="H19" i="22"/>
  <c r="H25" i="16"/>
  <c r="H12" i="16"/>
  <c r="H26" i="21"/>
  <c r="H16" i="22"/>
  <c r="H24" i="16"/>
  <c r="H26" i="22"/>
  <c r="H10" i="16"/>
  <c r="H17" i="22"/>
  <c r="H27" i="21"/>
  <c r="H30" i="22"/>
  <c r="H11" i="16"/>
  <c r="H22" i="22"/>
  <c r="H23" i="16"/>
  <c r="H29" i="22"/>
  <c r="H8" i="21"/>
  <c r="H25" i="22"/>
  <c r="H14" i="16"/>
  <c r="H18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1" i="22" l="1"/>
  <c r="H35" i="2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8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  <comment ref="D23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</commentList>
</comments>
</file>

<file path=xl/sharedStrings.xml><?xml version="1.0" encoding="utf-8"?>
<sst xmlns="http://schemas.openxmlformats.org/spreadsheetml/2006/main" count="10163" uniqueCount="2456">
  <si>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</si>
  <si>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</si>
  <si>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</si>
  <si>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</si>
  <si>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</si>
  <si>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</si>
  <si>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</si>
  <si>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</si>
  <si>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</si>
  <si>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</si>
  <si>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</si>
  <si>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</si>
  <si>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</si>
  <si>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</si>
  <si>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</si>
  <si>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</si>
  <si>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</si>
  <si>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</si>
  <si>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</si>
  <si>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</si>
  <si>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</si>
  <si>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</si>
  <si>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</si>
  <si>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</si>
  <si>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</si>
  <si>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</si>
  <si>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</si>
  <si>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</si>
  <si>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</si>
  <si>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</si>
  <si>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</si>
  <si>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</si>
  <si>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</si>
  <si>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</si>
  <si>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</si>
  <si>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</si>
  <si>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</si>
  <si>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</si>
  <si>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</si>
  <si>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</si>
  <si>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</si>
  <si>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</si>
  <si>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</si>
  <si>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</si>
  <si>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</si>
  <si>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</si>
  <si>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</si>
  <si>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</si>
  <si>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</si>
  <si>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</si>
  <si>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</si>
  <si>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</si>
  <si>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</si>
  <si>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</si>
  <si>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</si>
  <si>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</si>
  <si>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</si>
  <si>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</si>
  <si>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</si>
  <si>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</si>
  <si>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</si>
  <si>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</si>
  <si>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</si>
  <si>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</si>
  <si>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</si>
  <si>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</si>
  <si>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</si>
  <si>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</si>
  <si>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</si>
  <si>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</si>
  <si>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</si>
  <si>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</si>
  <si>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</si>
  <si>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</si>
  <si>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</si>
  <si>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</si>
  <si>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</si>
  <si>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</si>
  <si>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</si>
  <si>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</si>
  <si>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</si>
  <si>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</si>
  <si>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</si>
  <si>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</si>
  <si>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</si>
  <si>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</si>
  <si>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</si>
  <si>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</si>
  <si>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</si>
  <si>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</si>
  <si>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</si>
  <si>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</si>
  <si>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</si>
  <si>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</si>
  <si>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</si>
  <si>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</si>
  <si>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</si>
  <si>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</si>
  <si>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</si>
  <si>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</si>
  <si>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</si>
  <si>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</si>
  <si>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</si>
  <si>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</si>
  <si>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</si>
  <si>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</si>
  <si>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</si>
  <si>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</si>
  <si>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</si>
  <si>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</si>
  <si>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</si>
  <si>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</si>
  <si>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</si>
  <si>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</si>
  <si>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</si>
  <si>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</si>
  <si>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</si>
  <si>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</si>
  <si>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</si>
  <si>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</si>
  <si>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</si>
  <si>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</si>
  <si>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</si>
  <si>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</si>
  <si>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</si>
  <si>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</si>
  <si>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</si>
  <si>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</si>
  <si>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</si>
  <si>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</si>
  <si>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</si>
  <si>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</si>
  <si>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</si>
  <si>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</si>
  <si>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</si>
  <si>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</si>
  <si>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</si>
  <si>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</si>
  <si>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</si>
  <si>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</si>
  <si>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</si>
  <si>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</si>
  <si>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</si>
  <si>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</si>
  <si>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</si>
  <si>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</si>
  <si>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</si>
  <si>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</si>
  <si>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</si>
  <si>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</si>
  <si>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</si>
  <si>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</si>
  <si>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</si>
  <si>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</si>
  <si>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</si>
  <si>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</si>
  <si>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</si>
  <si>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</si>
  <si>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</si>
  <si>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</si>
  <si>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</si>
  <si>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</si>
  <si>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</si>
  <si>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</si>
  <si>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</si>
  <si>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</si>
  <si>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</si>
  <si>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</si>
  <si>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</si>
  <si>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</si>
  <si>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</si>
  <si>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</si>
  <si>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</si>
  <si>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</si>
  <si>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</si>
  <si>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</si>
  <si>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</si>
  <si>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</si>
  <si>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</si>
  <si>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</si>
  <si>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ESR03EZPJ103</t>
  </si>
  <si>
    <t>ESR03EZPJ331</t>
  </si>
  <si>
    <t>ESR03EZPJ121</t>
  </si>
  <si>
    <t>ESR03EZPJ151</t>
  </si>
  <si>
    <t>ESR03EZPJ472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</si>
  <si>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</si>
  <si>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</si>
  <si>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</si>
  <si>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</si>
  <si>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</si>
  <si>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</si>
  <si>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</si>
  <si>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ESR03EZPJ561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</si>
  <si>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</si>
  <si>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</si>
  <si>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</si>
  <si>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</si>
  <si>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</si>
  <si>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</si>
  <si>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</si>
  <si>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</si>
  <si>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</si>
  <si>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</si>
  <si>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</si>
  <si>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</si>
  <si>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</si>
  <si>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</si>
  <si>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</si>
  <si>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</si>
  <si>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</si>
  <si>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</si>
  <si>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</si>
  <si>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</si>
  <si>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</si>
  <si>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</si>
  <si>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</si>
  <si>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</si>
  <si>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</si>
  <si>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</si>
  <si>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</si>
  <si>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</si>
  <si>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</si>
  <si>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</si>
  <si>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</si>
  <si>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</si>
  <si>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</si>
  <si>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</si>
  <si>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</si>
  <si>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</si>
  <si>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</si>
  <si>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</si>
  <si>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</si>
  <si>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25521</t>
  </si>
  <si>
    <t>4689</t>
  </si>
  <si>
    <t>50M040070D008</t>
  </si>
  <si>
    <t>R3,R8,R9,R12</t>
  </si>
  <si>
    <t>R4,R5</t>
  </si>
  <si>
    <t>R7</t>
  </si>
  <si>
    <t>R10</t>
  </si>
  <si>
    <t>W3..5,X2</t>
  </si>
  <si>
    <t>150080BS75000</t>
  </si>
  <si>
    <t>MCP2221AT-I/ST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</si>
  <si>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</si>
  <si>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</si>
  <si>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</si>
  <si>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</si>
  <si>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</si>
  <si>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</si>
  <si>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</si>
  <si>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</si>
  <si>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</si>
  <si>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</si>
  <si>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R5,R9..10,R12..13,R19..23</t>
  </si>
  <si>
    <t>0679H0250-01</t>
  </si>
  <si>
    <t>C1,C7,C9,C10</t>
  </si>
  <si>
    <t>C3..6,C8,C11,C12</t>
  </si>
  <si>
    <t>D200-XXXX</t>
  </si>
  <si>
    <t>D501-XXXX</t>
  </si>
  <si>
    <t>D600-XXXX</t>
  </si>
  <si>
    <t>D0XX-XXXX</t>
  </si>
  <si>
    <t>D1XX-XXXX</t>
  </si>
  <si>
    <t>PIC18LF46K40-I/PT</t>
  </si>
  <si>
    <t>E-PCB-003-001</t>
  </si>
  <si>
    <t>E-PCB-000-005</t>
  </si>
  <si>
    <t>ESR10EZPJ332</t>
  </si>
  <si>
    <t>Dgikey Table 2</t>
  </si>
  <si>
    <t>Bauhaus</t>
  </si>
  <si>
    <t>Obsolete</t>
  </si>
  <si>
    <t>Obsolete_Hidden</t>
  </si>
  <si>
    <t>Locked</t>
  </si>
  <si>
    <t>D300-XXXX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</si>
  <si>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</si>
  <si>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</si>
  <si>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</si>
  <si>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</si>
  <si>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</si>
  <si>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</si>
  <si>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</si>
  <si>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</si>
  <si>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</si>
  <si>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</si>
  <si>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- Banggood</t>
  </si>
  <si>
    <t>Link - Other</t>
  </si>
  <si>
    <t>Unit price - BricoEtLoisirs</t>
  </si>
  <si>
    <t>Default Link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</si>
  <si>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</si>
  <si>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</si>
  <si>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</si>
  <si>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</si>
  <si>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</si>
  <si>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</si>
  <si>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</si>
  <si>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</si>
  <si>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</si>
  <si>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</si>
  <si>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Link - Aliexpress</t>
  </si>
  <si>
    <t>Product Template</t>
  </si>
  <si>
    <t>ProductTemplate</t>
  </si>
  <si>
    <t>Predefined configs</t>
  </si>
  <si>
    <t>Link  - Aliexpress</t>
  </si>
  <si>
    <t>MULTICOMP</t>
  </si>
  <si>
    <t>D200-000</t>
  </si>
  <si>
    <t>Condensateur électrolytique, 4.7 µF, 35 V, Série MCGPR, ± 20%, À sorties radiales, 5 mm</t>
  </si>
  <si>
    <t>Capacitor</t>
  </si>
  <si>
    <t>Link (9451234)</t>
  </si>
  <si>
    <t>D200-001</t>
  </si>
  <si>
    <t>Condensateur électrolytique, 10 µF, 35 V, Série MCGPR, ± 20%, À sorties radiales, 5 mm</t>
  </si>
  <si>
    <t>Link (9451242)</t>
  </si>
  <si>
    <t>QIACHIP</t>
  </si>
  <si>
    <t>Antenna For 433mhz RF Receiver and transmitter</t>
  </si>
  <si>
    <t>Accessory</t>
  </si>
  <si>
    <t>Link (32673925190)</t>
  </si>
  <si>
    <t>WS102N</t>
  </si>
  <si>
    <t>Apex Tool Group</t>
  </si>
  <si>
    <t>ASSY BARREL NUT FOR WSP80</t>
  </si>
  <si>
    <t>WS102N-ND</t>
  </si>
  <si>
    <t>Link (WS102N-ND)</t>
  </si>
  <si>
    <t>578-WS102</t>
  </si>
  <si>
    <t>Link (578-WS102)</t>
  </si>
  <si>
    <t>MICROCHIP</t>
  </si>
  <si>
    <t>D001-003</t>
  </si>
  <si>
    <t>Amplificateur opérationnel, Simple, 1 amplificateur, 1 MHz, 0.6 V/µs, 1.8V à 6V</t>
  </si>
  <si>
    <t>AOP</t>
  </si>
  <si>
    <t>Link (8540829)</t>
  </si>
  <si>
    <t>MCP6002-I/MS</t>
  </si>
  <si>
    <t>D001-004</t>
  </si>
  <si>
    <t>Amplificateur opérationnel, Double</t>
  </si>
  <si>
    <t>Link (8540853)</t>
  </si>
  <si>
    <t>D200-004</t>
  </si>
  <si>
    <t>Batterie Li-Po 3.7V 2000mAh</t>
  </si>
  <si>
    <t>Battery</t>
  </si>
  <si>
    <t>Link (90990)</t>
  </si>
  <si>
    <t>MCP6004-I/ST</t>
  </si>
  <si>
    <t>D001-005</t>
  </si>
  <si>
    <t>Amplificateur opérationnel, Quadruple</t>
  </si>
  <si>
    <t>Link (8540861)</t>
  </si>
  <si>
    <t>PJ-005A</t>
  </si>
  <si>
    <t>CUI Inc.</t>
  </si>
  <si>
    <t xml:space="preserve"> Through Hole"</t>
  </si>
  <si>
    <t>Barrel Connector</t>
  </si>
  <si>
    <t>CP-5-ND</t>
  </si>
  <si>
    <t>Link (CP-5-ND)</t>
  </si>
  <si>
    <t>Sullins Connector Solutions</t>
  </si>
  <si>
    <t>D200-005</t>
  </si>
  <si>
    <t>Jumper</t>
  </si>
  <si>
    <t>S9337-ND</t>
  </si>
  <si>
    <t>Link (S9337-ND)</t>
  </si>
  <si>
    <t>827914-1</t>
  </si>
  <si>
    <t>TE Connectivity AMP Connectors</t>
  </si>
  <si>
    <t>D200-006</t>
  </si>
  <si>
    <t>A106373-ND</t>
  </si>
  <si>
    <t>Link (A106373-ND)</t>
  </si>
  <si>
    <t>TE CONNECTIVITY</t>
  </si>
  <si>
    <t>D200-007</t>
  </si>
  <si>
    <t xml:space="preserve"> 2.54 mm"</t>
  </si>
  <si>
    <t>A107340-ND</t>
  </si>
  <si>
    <t>Link (A107340-ND)</t>
  </si>
  <si>
    <t>Link (1822174)</t>
  </si>
  <si>
    <t>Bud Industries</t>
  </si>
  <si>
    <t>Box</t>
  </si>
  <si>
    <t>377-2428-ND</t>
  </si>
  <si>
    <t>Link (377-2428-ND)</t>
  </si>
  <si>
    <t>RB53P06C16C</t>
  </si>
  <si>
    <t>Serpac</t>
  </si>
  <si>
    <t>SRB53-TCBC-ND</t>
  </si>
  <si>
    <t>Link (SRB53-TCBC-ND)</t>
  </si>
  <si>
    <t>RP1085C</t>
  </si>
  <si>
    <t>Hammond Manufacturing</t>
  </si>
  <si>
    <t>HM5785-ND</t>
  </si>
  <si>
    <t>Link (HM5785-ND)</t>
  </si>
  <si>
    <t>150-11-705</t>
  </si>
  <si>
    <t>Hammond</t>
  </si>
  <si>
    <t>Cast Enclosure 51x51x31mm Aluminium Naturel IP54</t>
  </si>
  <si>
    <t>1590LB</t>
  </si>
  <si>
    <t>Link (1590LB)</t>
  </si>
  <si>
    <t>Microchip Technology</t>
  </si>
  <si>
    <t>D001-021</t>
  </si>
  <si>
    <t>IC CONVERTER USB-SPI 20-SSOP</t>
  </si>
  <si>
    <t>Bridge</t>
  </si>
  <si>
    <t>MCP2210-I/SS-ND</t>
  </si>
  <si>
    <t>Link (MCP2210-I/SS-ND)</t>
  </si>
  <si>
    <t>PUI Audio, Inc.</t>
  </si>
  <si>
    <t>AUDIO PIEZO INDICATOR 2-5V TH</t>
  </si>
  <si>
    <t>Buzzer</t>
  </si>
  <si>
    <t>668-1204-ND</t>
  </si>
  <si>
    <t>Link (668-1204-ND)</t>
  </si>
  <si>
    <t>LIYV 0,50 MM² BLACK</t>
  </si>
  <si>
    <t>Kabeltronik</t>
  </si>
  <si>
    <t>Toron, PVC, 0.5mm², Cuivre étamé, Noir, 100m</t>
  </si>
  <si>
    <t>Cable</t>
  </si>
  <si>
    <t>155-79-877</t>
  </si>
  <si>
    <t>Link (155-79-877)</t>
  </si>
  <si>
    <t>LIYV 0,50 MM² RED</t>
  </si>
  <si>
    <t>Toron 0.5 mm² Toron à fil en cuivre étamé Rouge 100 m</t>
  </si>
  <si>
    <t>155-79-878</t>
  </si>
  <si>
    <t>Link (155-79-878)</t>
  </si>
  <si>
    <t>Wurth Electronics Inc.</t>
  </si>
  <si>
    <t>CAP ALUM 4.7UF 20% 400V RADIAL</t>
  </si>
  <si>
    <t>732-8886-1-ND</t>
  </si>
  <si>
    <t>Link (732-8886-1-ND)</t>
  </si>
  <si>
    <t>D101-150</t>
  </si>
  <si>
    <t>10µF ±20% 10V Ceramic Capacitor X5R 0805 (2012 Metric)</t>
  </si>
  <si>
    <t>732-7620-1-ND</t>
  </si>
  <si>
    <t>Link (732-7620-1-ND)</t>
  </si>
  <si>
    <t>D101-151</t>
  </si>
  <si>
    <t>4.7µF ±20% 25V Ceramic Capacitor X5R 0805 (2012 Metric)</t>
  </si>
  <si>
    <t>732-7628-1-ND</t>
  </si>
  <si>
    <t>Link (732-7628-1-ND)</t>
  </si>
  <si>
    <t>710-885012107018</t>
  </si>
  <si>
    <t>Link (710-885012107018)</t>
  </si>
  <si>
    <t>D101-153</t>
  </si>
  <si>
    <t>4700pF ±10% 25V Ceramic Capacitor X7R 0805 (2012 Metric)</t>
  </si>
  <si>
    <t>732-8053-1-ND</t>
  </si>
  <si>
    <t>Link (732-8053-1-ND)</t>
  </si>
  <si>
    <t>D101-152</t>
  </si>
  <si>
    <t>0.47µF ±10% 25V Ceramic Capacitor X7R 0805 (2012 Metric)</t>
  </si>
  <si>
    <t>732-7670-1-ND</t>
  </si>
  <si>
    <t>Link (732-7670-1-ND)</t>
  </si>
  <si>
    <t>D101-149</t>
  </si>
  <si>
    <t>1µF ±10% 25V Ceramic Capacitor X7R 0805 (2012 Metric)</t>
  </si>
  <si>
    <t>732-7672-1-ND</t>
  </si>
  <si>
    <t>Link (732-7672-1-ND)</t>
  </si>
  <si>
    <t>710-885012207078</t>
  </si>
  <si>
    <t>Link (710-885012207078)</t>
  </si>
  <si>
    <t>Samsung Electro-Mechanics</t>
  </si>
  <si>
    <t>D101-148</t>
  </si>
  <si>
    <t>0.1µF ±10% 50V Ceramic Capacitor X7R 0805 (2012 Metric)</t>
  </si>
  <si>
    <t>1276-6468-1-ND</t>
  </si>
  <si>
    <t>Link (1276-6468-1-ND)</t>
  </si>
  <si>
    <t>D100-149</t>
  </si>
  <si>
    <t>4.7µF ±10% 25V Ceramic Capacitor X7R 1206 (3216 Metric)</t>
  </si>
  <si>
    <t>1276-3178-1-ND</t>
  </si>
  <si>
    <t>Link (1276-3178-1-ND)</t>
  </si>
  <si>
    <t>D200-008</t>
  </si>
  <si>
    <t>LED, Rouge, Traversant, 3mm, 20 mA, 1.8 V, 643 nm</t>
  </si>
  <si>
    <t>Led</t>
  </si>
  <si>
    <t>Link (2112100)</t>
  </si>
  <si>
    <t>NSL-19M51</t>
  </si>
  <si>
    <t>Luna Optoelectronics</t>
  </si>
  <si>
    <t>PHOTOCELL</t>
  </si>
  <si>
    <t>Photocell</t>
  </si>
  <si>
    <t>NSL-19M51-ND</t>
  </si>
  <si>
    <t>Link (NSL-19M51-ND)</t>
  </si>
  <si>
    <t>VISHAY</t>
  </si>
  <si>
    <t>D100-148</t>
  </si>
  <si>
    <t>Condensateur céramique multicouche CMS, 1206 [3216 Metric], 0.1 µF, 25 V, ± 10%, X7R</t>
  </si>
  <si>
    <t>720-1805-1-ND</t>
  </si>
  <si>
    <t>Link (720-1805-1-ND)</t>
  </si>
  <si>
    <t>Link (2896645)</t>
  </si>
  <si>
    <t>Keystone Electronics</t>
  </si>
  <si>
    <t>D200-009</t>
  </si>
  <si>
    <t>Nut</t>
  </si>
  <si>
    <t>36-4689-ND</t>
  </si>
  <si>
    <t>Link (36-4689-ND)</t>
  </si>
  <si>
    <t>Essentra Components</t>
  </si>
  <si>
    <t>M4x0.7 Cheese Head Bolt Slotted Drive Nylon</t>
  </si>
  <si>
    <t>Screw</t>
  </si>
  <si>
    <t>RPC7016-ND</t>
  </si>
  <si>
    <t>Link (RPC7016-ND)</t>
  </si>
  <si>
    <t>MOLEX</t>
  </si>
  <si>
    <t>Connector</t>
  </si>
  <si>
    <t>WM50014-36-ND</t>
  </si>
  <si>
    <t>Link (WM50014-36-ND)</t>
  </si>
  <si>
    <t>Link (1654535)</t>
  </si>
  <si>
    <t>32845729569A</t>
  </si>
  <si>
    <t>Mayitr</t>
  </si>
  <si>
    <t>Jack Plugs Male conector 2.1mm x 5.5mm</t>
  </si>
  <si>
    <t>Link (32845729569)</t>
  </si>
  <si>
    <t>32845729569B</t>
  </si>
  <si>
    <t>DC Power Jack Plugs Male / Female Socket Adapter Connectors 2.1mm x 5.5mm</t>
  </si>
  <si>
    <t>WURTH ELEKTRONIK</t>
  </si>
  <si>
    <t>Connecteur carte-à-carte, male, Angle Droit, 2.54 mm, 40 Contact(s)</t>
  </si>
  <si>
    <t>732-5350-ND</t>
  </si>
  <si>
    <t>Link (732-5350-ND)</t>
  </si>
  <si>
    <t>Link (2356192)</t>
  </si>
  <si>
    <t>Standoff</t>
  </si>
  <si>
    <t>36-25521-ND</t>
  </si>
  <si>
    <t>Link (36-25521-ND)</t>
  </si>
  <si>
    <t>BU2032SM-JJ-GTR</t>
  </si>
  <si>
    <t>MPD (Memory Protection Devices)</t>
  </si>
  <si>
    <t>D200-010</t>
  </si>
  <si>
    <t>BATTERY HOLDER COIN 20MM SMD</t>
  </si>
  <si>
    <t>Battery Holder</t>
  </si>
  <si>
    <t>BU2032SM-JJ-GCT-ND</t>
  </si>
  <si>
    <t>Link (BU2032SM-JJ-GCT-ND)</t>
  </si>
  <si>
    <t>Porte-batterie</t>
  </si>
  <si>
    <t>Link (965083)</t>
  </si>
  <si>
    <t>M20-7890346</t>
  </si>
  <si>
    <t>Harwin Inc.</t>
  </si>
  <si>
    <t>952-1782-ND</t>
  </si>
  <si>
    <t>Link (952-1782-ND)</t>
  </si>
  <si>
    <t>PEC08DAAN</t>
  </si>
  <si>
    <t>S2012E-08-ND</t>
  </si>
  <si>
    <t>Link (S2012E-08-ND)</t>
  </si>
  <si>
    <t>PPTC082LFBN-RC</t>
  </si>
  <si>
    <t>S7076-ND</t>
  </si>
  <si>
    <t>Link (S7076-ND)</t>
  </si>
  <si>
    <t>300-64-175</t>
  </si>
  <si>
    <t>Lumberg Connect GmbH</t>
  </si>
  <si>
    <t>Prise Jack à encastrer 3 Pôles</t>
  </si>
  <si>
    <t>KLB 4</t>
  </si>
  <si>
    <t>Link (KLB 4)</t>
  </si>
  <si>
    <t>DW-08-07-T-S-200</t>
  </si>
  <si>
    <t>Samtec Inc.</t>
  </si>
  <si>
    <t>D200-013</t>
  </si>
  <si>
    <t>CONN HDR 8POS 0.1 STACK T/H TIN</t>
  </si>
  <si>
    <t>SAM15136-ND</t>
  </si>
  <si>
    <t>Link (SAM15136-ND)</t>
  </si>
  <si>
    <t>Molex</t>
  </si>
  <si>
    <t>CONN 22-30AWG CRIMP TIN</t>
  </si>
  <si>
    <t>Connector C</t>
  </si>
  <si>
    <t>WM1114-ND</t>
  </si>
  <si>
    <t>Link (WM1114-ND)</t>
  </si>
  <si>
    <t>7-188275-4</t>
  </si>
  <si>
    <t>D200-030</t>
  </si>
  <si>
    <t>CONN RCPT 4POS 0.1 TIN SMD</t>
  </si>
  <si>
    <t>Connector F</t>
  </si>
  <si>
    <t>A99473CT-ND</t>
  </si>
  <si>
    <t>Link (A99473CT-ND)</t>
  </si>
  <si>
    <t>188275-6</t>
  </si>
  <si>
    <t>D200-031</t>
  </si>
  <si>
    <t>CONN RCPT 6POS 0.1 TIN SMD</t>
  </si>
  <si>
    <t>A107023CT-ND</t>
  </si>
  <si>
    <t>Link (A107023CT-ND)</t>
  </si>
  <si>
    <t>188275-8</t>
  </si>
  <si>
    <t>CONN RCPT 8POS 0.1 TIN SMD</t>
  </si>
  <si>
    <t>A107024CT-ND</t>
  </si>
  <si>
    <t>Link (A107024CT-ND)</t>
  </si>
  <si>
    <t>1-188275-0</t>
  </si>
  <si>
    <t>CONN RCPT 10POS 0.1 TIN SMD</t>
  </si>
  <si>
    <t>A110866CT-ND</t>
  </si>
  <si>
    <t>Link (A110866CT-ND)</t>
  </si>
  <si>
    <t>1-188275-2</t>
  </si>
  <si>
    <t>CONN RCPT 12POS 0.1 TIN SMD</t>
  </si>
  <si>
    <t>A116161CT-ND</t>
  </si>
  <si>
    <t>Link (A116161CT-ND)</t>
  </si>
  <si>
    <t>1-188275-4</t>
  </si>
  <si>
    <t>CONN RCPT 14POS 0.1 TIN SMD</t>
  </si>
  <si>
    <t>A110867CT-ND</t>
  </si>
  <si>
    <t>Link (A110867CT-ND)</t>
  </si>
  <si>
    <t>1-188275-6</t>
  </si>
  <si>
    <t>CONN RCPT 16POS 0.1 TIN SMD</t>
  </si>
  <si>
    <t>A116162CT-ND</t>
  </si>
  <si>
    <t>Link (A116162CT-ND)</t>
  </si>
  <si>
    <t>1-188275-8</t>
  </si>
  <si>
    <t>CONN RCPT 18POS 0.1 TIN SMD</t>
  </si>
  <si>
    <t>A110868CT-ND</t>
  </si>
  <si>
    <t>Link (A110868CT-ND)</t>
  </si>
  <si>
    <t>2-188275-0</t>
  </si>
  <si>
    <t>CONN RCPT 20POS 0.1 TIN SMD</t>
  </si>
  <si>
    <t>A111118CT-ND</t>
  </si>
  <si>
    <t>Link (A111118CT-ND)</t>
  </si>
  <si>
    <t>CONN HOUS 4POS .100 W/RAMP/RIB</t>
  </si>
  <si>
    <t>Connector H</t>
  </si>
  <si>
    <t>WM2002-ND</t>
  </si>
  <si>
    <t>Link (WM2002-ND)</t>
  </si>
  <si>
    <t>CONN HOUS 5POS .100 W/RAMP/RIB</t>
  </si>
  <si>
    <t>WM2003-ND</t>
  </si>
  <si>
    <t>Link (WM2003-ND)</t>
  </si>
  <si>
    <t>CONN HOUS 6POS .100 W/RAMP/RIB</t>
  </si>
  <si>
    <t>WM2004-ND</t>
  </si>
  <si>
    <t>Link (WM2004-ND)</t>
  </si>
  <si>
    <t>CONN HOUS 7POS .100 W/RAMP/RIB</t>
  </si>
  <si>
    <t>WM2005-ND</t>
  </si>
  <si>
    <t>Link (WM2005-ND)</t>
  </si>
  <si>
    <t>CONN HOUS 8POS .100 W/RAMP/RIB</t>
  </si>
  <si>
    <t>WM2006-ND</t>
  </si>
  <si>
    <t>Link (WM2006-ND)</t>
  </si>
  <si>
    <t>CONN HOUS 9POS .100 W/RAMP/RIB</t>
  </si>
  <si>
    <t>WM2007-ND</t>
  </si>
  <si>
    <t>Link (WM2007-ND)</t>
  </si>
  <si>
    <t>CONN HOUS 10POS .100 W/RAMP/RIB</t>
  </si>
  <si>
    <t>WM2008-ND</t>
  </si>
  <si>
    <t>Link (WM2008-ND)</t>
  </si>
  <si>
    <t>CONN HOUS 12POS .100 W/RAMP/RIB</t>
  </si>
  <si>
    <t>WM2010-ND</t>
  </si>
  <si>
    <t>Link (WM2010-ND)</t>
  </si>
  <si>
    <t>CONN HOUS 2POS .100 W/RAMP/RIB</t>
  </si>
  <si>
    <t>WM2000-ND</t>
  </si>
  <si>
    <t>Link (WM2000-ND)</t>
  </si>
  <si>
    <t>CONN HOUS 3POS .100 W/RAMP/RIB</t>
  </si>
  <si>
    <t>WM2001-ND</t>
  </si>
  <si>
    <t>Link (WM2001-ND)</t>
  </si>
  <si>
    <t>2-215083-0</t>
  </si>
  <si>
    <t>MICROMATCH CONN PLUG 20POS IDC 28AWG TIN</t>
  </si>
  <si>
    <t>A111124CT-ND</t>
  </si>
  <si>
    <t>Link (A111124CT-ND)</t>
  </si>
  <si>
    <t>1-215083-8</t>
  </si>
  <si>
    <t>MICROMATCH CONN PLUG 18POS IDC 28AWG TIN</t>
  </si>
  <si>
    <t>A110876CT-ND</t>
  </si>
  <si>
    <t>Link (A110876CT-ND)</t>
  </si>
  <si>
    <t>1-215083-6</t>
  </si>
  <si>
    <t>MICROMATCH CONN PLUG 16POS IDC 28AWG TIN</t>
  </si>
  <si>
    <t>A116163CT-ND</t>
  </si>
  <si>
    <t>Link (A116163CT-ND)</t>
  </si>
  <si>
    <t>1-215083-4</t>
  </si>
  <si>
    <t>MICROMATCH CONN PLUG 14POS IDC 28AWG TIN</t>
  </si>
  <si>
    <t>A110875CT-ND</t>
  </si>
  <si>
    <t>Link (A110875CT-ND)</t>
  </si>
  <si>
    <t>1-215083-2</t>
  </si>
  <si>
    <t>MICROMATCH CONN PLUG 12POS IDC 28AWG TIN</t>
  </si>
  <si>
    <t>A110874CT-ND</t>
  </si>
  <si>
    <t>Link (A110874CT-ND)</t>
  </si>
  <si>
    <t>1-215083-0</t>
  </si>
  <si>
    <t>D200-032</t>
  </si>
  <si>
    <t>MICROMATCH CONN PLUG 10POS IDC 28AWG TIN</t>
  </si>
  <si>
    <t>A107014CT-ND</t>
  </si>
  <si>
    <t>Link (A107014CT-ND)</t>
  </si>
  <si>
    <t>215083-8</t>
  </si>
  <si>
    <t>MICROMATCH CONN PLUG 8POS IDC 28AWG TIN</t>
  </si>
  <si>
    <t>A111108CT-ND</t>
  </si>
  <si>
    <t>Link (A111108CT-ND)</t>
  </si>
  <si>
    <t>215083-6</t>
  </si>
  <si>
    <t>MICROMATCH CONN PLUG 6POS IDC 28AWG TIN</t>
  </si>
  <si>
    <t>A105451CT-ND</t>
  </si>
  <si>
    <t>Link (A105451CT-ND)</t>
  </si>
  <si>
    <t>7-215083-4</t>
  </si>
  <si>
    <t>MICROMATCH CONN PLUG 4POS IDC 28AWG TIN</t>
  </si>
  <si>
    <t>A99464CT-ND</t>
  </si>
  <si>
    <t>Link (A99464CT-ND)</t>
  </si>
  <si>
    <t>CONN HEADER VERT 3POS 2.54MM</t>
  </si>
  <si>
    <t>Connector M</t>
  </si>
  <si>
    <t>WM4201-ND</t>
  </si>
  <si>
    <t>Link (WM4201-ND)</t>
  </si>
  <si>
    <t>CONN HEADER VERT 4POS 2.54MM</t>
  </si>
  <si>
    <t>WM4202-ND</t>
  </si>
  <si>
    <t>Link (WM4202-ND)</t>
  </si>
  <si>
    <t>CONN HEADER VERT 5POS 2.54MM</t>
  </si>
  <si>
    <t>WM4203-ND</t>
  </si>
  <si>
    <t>Link (WM4203-ND)</t>
  </si>
  <si>
    <t>CONN HEADER VERT 6POS 2.54MM</t>
  </si>
  <si>
    <t>WM4204-ND</t>
  </si>
  <si>
    <t>Link (WM4204-ND)</t>
  </si>
  <si>
    <t>CONN HEADER VERT 7POS 2.54MM</t>
  </si>
  <si>
    <t>WM4205-ND</t>
  </si>
  <si>
    <t>Link (WM4205-ND)</t>
  </si>
  <si>
    <t>CONN HEADER VERT 8POS 2.54MM</t>
  </si>
  <si>
    <t>WM4206-ND</t>
  </si>
  <si>
    <t>Link (WM4206-ND)</t>
  </si>
  <si>
    <t>CONN HEADER VERT 9POS 2.54MM</t>
  </si>
  <si>
    <t>WM4207-ND</t>
  </si>
  <si>
    <t>Link (WM4207-ND)</t>
  </si>
  <si>
    <t>CONN HEADER VERT 10POS 2.54MM</t>
  </si>
  <si>
    <t>WM4208-ND</t>
  </si>
  <si>
    <t>Link (WM4208-ND)</t>
  </si>
  <si>
    <t>CONN HEADER VERT 12POS 2.54MM</t>
  </si>
  <si>
    <t>WM4210-ND</t>
  </si>
  <si>
    <t>Link (WM4210-ND)</t>
  </si>
  <si>
    <t>22-23-2021</t>
  </si>
  <si>
    <t>CONN HEADER VERT 2POS 2.54MM</t>
  </si>
  <si>
    <t>WM4200-ND</t>
  </si>
  <si>
    <t>Link (WM4200-ND)</t>
  </si>
  <si>
    <t>215464-4</t>
  </si>
  <si>
    <t>MICROMATCH CONN HEADER VERT 4POS 2.54MM</t>
  </si>
  <si>
    <t>A107034CT-ND</t>
  </si>
  <si>
    <t>Link (A107034CT-ND)</t>
  </si>
  <si>
    <t>215464-6</t>
  </si>
  <si>
    <t>MICROMATCH CONN HEADER VERT 6POS 2.54MM</t>
  </si>
  <si>
    <t>A107035CT-ND</t>
  </si>
  <si>
    <t>Link (A107035CT-ND)</t>
  </si>
  <si>
    <t>215464-8</t>
  </si>
  <si>
    <t>MICROMATCH CONN HEADER VERT 8POS 2.54MM</t>
  </si>
  <si>
    <t>A116230CT-ND</t>
  </si>
  <si>
    <t>Link (A116230CT-ND)</t>
  </si>
  <si>
    <t>1-215464-0</t>
  </si>
  <si>
    <t>MICROMATCH CONN HEADER VERT 10POS 2.54MM</t>
  </si>
  <si>
    <t>A110881CT-ND</t>
  </si>
  <si>
    <t>Link (A110881CT-ND)</t>
  </si>
  <si>
    <t>1-215464-2</t>
  </si>
  <si>
    <t>MICROMATCH CONN HEADER VERT 12POS 2.54MM</t>
  </si>
  <si>
    <t>A110882CT-ND</t>
  </si>
  <si>
    <t>Link (A110882CT-ND)</t>
  </si>
  <si>
    <t>1-215464-4</t>
  </si>
  <si>
    <t>MICROMATCH CONN HEADER VERT 14POS 2.54MM</t>
  </si>
  <si>
    <t>A110883CT-ND</t>
  </si>
  <si>
    <t>Link (A110883CT-ND)</t>
  </si>
  <si>
    <t>1-215464-6</t>
  </si>
  <si>
    <t>MICROMATCH CONN HEADER VERT 16POS 2.54MM</t>
  </si>
  <si>
    <t>A116164CT-ND</t>
  </si>
  <si>
    <t>Link (A116164CT-ND)</t>
  </si>
  <si>
    <t>1-215464-8</t>
  </si>
  <si>
    <t>MICROMATCH CONN HEADER VERT 18POS 2.54MM</t>
  </si>
  <si>
    <t>A110884CT-ND</t>
  </si>
  <si>
    <t>Link (A110884CT-ND)</t>
  </si>
  <si>
    <t>2-215464-0</t>
  </si>
  <si>
    <t>MICROMATCH CONN HEADER VERT 20POS 2.54MM</t>
  </si>
  <si>
    <t>A111126CT-ND</t>
  </si>
  <si>
    <t>Link (A111126CT-ND)</t>
  </si>
  <si>
    <t>378005-01</t>
  </si>
  <si>
    <t>Qualtek</t>
  </si>
  <si>
    <t>5.91' (1.80m) Power Cord Black SEV 1011, 3 pos To IEC 320-C13 H05VV-F</t>
  </si>
  <si>
    <t>Cord</t>
  </si>
  <si>
    <t>Q412-ND</t>
  </si>
  <si>
    <t>Link (Q412-ND)</t>
  </si>
  <si>
    <t xml:space="preserve">1N4148TR </t>
  </si>
  <si>
    <t>ON SEMICONDUCTOR</t>
  </si>
  <si>
    <t>Diode signaux faibles</t>
  </si>
  <si>
    <t>Diode</t>
  </si>
  <si>
    <t>Link (9843680)</t>
  </si>
  <si>
    <t>PDZ3.9BGWJ</t>
  </si>
  <si>
    <t>Nexperia USA Inc.</t>
  </si>
  <si>
    <t>Zener Diode 3.9V 365mW ±2% Surface Mount SOD-123</t>
  </si>
  <si>
    <t>1727-7767-1-ND</t>
  </si>
  <si>
    <t>Link (1727-7767-1-ND)</t>
  </si>
  <si>
    <t>TEXAS INSTRUMENTS</t>
  </si>
  <si>
    <t>D001-002</t>
  </si>
  <si>
    <t>Réseau de transistors bipolaires, NPN, 50 V, 500 mA</t>
  </si>
  <si>
    <t>Driver</t>
  </si>
  <si>
    <t>Link (2769437)</t>
  </si>
  <si>
    <t>Amphenol FCI</t>
  </si>
  <si>
    <t>CONN RCPT STD MICRO USB TYPE B</t>
  </si>
  <si>
    <t>609-4052-1-ND</t>
  </si>
  <si>
    <t>Link (609-4052-1-ND)</t>
  </si>
  <si>
    <t>2213S-40G</t>
  </si>
  <si>
    <t>D200-011</t>
  </si>
  <si>
    <t>Connecteur carte-à-carte, 2.54 mm, 40 Contact(s), Embase, Traversant, 2 Rangée(s)</t>
  </si>
  <si>
    <t>Link (2725179)</t>
  </si>
  <si>
    <t>3M</t>
  </si>
  <si>
    <t>Connecteur carte-à-carte, femelle, 2.54 mm, 36 Contact(s), Embase</t>
  </si>
  <si>
    <t>929974E-01-36-ND</t>
  </si>
  <si>
    <t>Link (929974E-01-36-ND)</t>
  </si>
  <si>
    <t>Link (2064805)</t>
  </si>
  <si>
    <t>SMD291</t>
  </si>
  <si>
    <t>MAN</t>
  </si>
  <si>
    <t>FLUX NO-CLEAN 10CC SYR SMD</t>
  </si>
  <si>
    <t>Flux</t>
  </si>
  <si>
    <t>SMD291-ND</t>
  </si>
  <si>
    <t>Link (SMD291-ND)</t>
  </si>
  <si>
    <t>Bel Fuse Inc.</t>
  </si>
  <si>
    <t>D100-137</t>
  </si>
  <si>
    <t>250mA 350V AC 72V DC Fuse Board Mount (Cartridge Style Excluded) Surface Mount 2410 (6125 Metric)</t>
  </si>
  <si>
    <t>Fuse</t>
  </si>
  <si>
    <t>507-2021-1-ND</t>
  </si>
  <si>
    <t>Link (507-2021-1-ND)</t>
  </si>
  <si>
    <t>530-0679H0250-01</t>
  </si>
  <si>
    <t>Link (530-0679H0250-01)</t>
  </si>
  <si>
    <t>D100-136</t>
  </si>
  <si>
    <t>FUSE BRD MNT 500MA 350VAC 72VDC</t>
  </si>
  <si>
    <t>507-2023-1-ND</t>
  </si>
  <si>
    <t>Link (507-2023-1-ND)</t>
  </si>
  <si>
    <t>08743.15MXEP</t>
  </si>
  <si>
    <t>Littelfuse Inc.</t>
  </si>
  <si>
    <t>FUSE CERAMIC 3.15A 250VAC AXIAL</t>
  </si>
  <si>
    <t>F10794-ND</t>
  </si>
  <si>
    <t>Link (F10794-ND)</t>
  </si>
  <si>
    <t>ESKA</t>
  </si>
  <si>
    <t>Fusible CMS ESKA 431015 rapide -F- CMS 1206 630 mA 125 V</t>
  </si>
  <si>
    <t>418973 - 62</t>
  </si>
  <si>
    <t>Link (418973 - 62)</t>
  </si>
  <si>
    <t>93992-436HLF</t>
  </si>
  <si>
    <t>Amphenol ICC (FCI)</t>
  </si>
  <si>
    <t>609-5544-ND</t>
  </si>
  <si>
    <t>Link (609-5544-ND)</t>
  </si>
  <si>
    <t>649-93992-436HLF</t>
  </si>
  <si>
    <t>Link (649-93992-436HLF)</t>
  </si>
  <si>
    <t>14 9600</t>
  </si>
  <si>
    <t>D200-055</t>
  </si>
  <si>
    <t>Fiche mâle F12</t>
  </si>
  <si>
    <t>Power plug</t>
  </si>
  <si>
    <t>Link (63190092)</t>
  </si>
  <si>
    <t>MFU0805FF00630P100</t>
  </si>
  <si>
    <t>Vishay Beyschlag</t>
  </si>
  <si>
    <t>FUSE BOARD MNT 630MA 32VDC 0805</t>
  </si>
  <si>
    <t>MFU0805.63CT-ND</t>
  </si>
  <si>
    <t>Link (MFU0805.63CT-ND)</t>
  </si>
  <si>
    <t>D100-138</t>
  </si>
  <si>
    <t>FUSE BOARD MNT 630MA 63VDC 1206</t>
  </si>
  <si>
    <t>MFU1206.63CT-ND</t>
  </si>
  <si>
    <t>Link (MFU1206.63CT-ND)</t>
  </si>
  <si>
    <t>594-MFU1206FF00630P1</t>
  </si>
  <si>
    <t>Link (594-MFU1206FF00630P1)</t>
  </si>
  <si>
    <t>LNK304PN</t>
  </si>
  <si>
    <t>Power Integrations</t>
  </si>
  <si>
    <t>Switching controller IC DIL-8</t>
  </si>
  <si>
    <t>IC</t>
  </si>
  <si>
    <t>596-1023-5-ND</t>
  </si>
  <si>
    <t>Link (596-1023-5-ND)</t>
  </si>
  <si>
    <t>173-36-289</t>
  </si>
  <si>
    <t>Link (173-36-289)</t>
  </si>
  <si>
    <t>D001-013</t>
  </si>
  <si>
    <t>Superviseur, Reset drain ouvert, actif à l'état bas, 1V-5.5Vin</t>
  </si>
  <si>
    <t>MCP121T-315E/TTCT-ND</t>
  </si>
  <si>
    <t>Link (MCP121T-315E/TTCT-ND)</t>
  </si>
  <si>
    <t>Link (1851909)</t>
  </si>
  <si>
    <t>D001-022</t>
  </si>
  <si>
    <t>USB Bridge, USB to I²C/UART USB 2.0 I²C, UART Interface 14-TSSOP</t>
  </si>
  <si>
    <t>MCP2221AT-I/STCT-ND</t>
  </si>
  <si>
    <t>Link (MCP2221AT-I/STCT-ND)</t>
  </si>
  <si>
    <t>D001-014</t>
  </si>
  <si>
    <t>Chargeur de batterie pour 1 cellule Li-Ion, batterie Li-Pol, entrée 6V, charge 4.2V/500mA, SOT23-5</t>
  </si>
  <si>
    <t>Link (1332159)</t>
  </si>
  <si>
    <t>D001-020</t>
  </si>
  <si>
    <t>Temperature Sensor Analog, Local -40°C ~ 125°C 10mV/°C SOT-23-3</t>
  </si>
  <si>
    <t>MCP9700AT-E/TTCT-ND</t>
  </si>
  <si>
    <t>Link (MCP9700AT-E/TTCT-ND)</t>
  </si>
  <si>
    <t>MMA8452QR1</t>
  </si>
  <si>
    <t>NXP USA Inc.</t>
  </si>
  <si>
    <t>D001-027</t>
  </si>
  <si>
    <t>ACCELEROMETER 2-8G I2C 16QFN</t>
  </si>
  <si>
    <t>MMA8452QR1CT-ND</t>
  </si>
  <si>
    <t>Link (MMA8452QR1CT-ND)</t>
  </si>
  <si>
    <t>B82144A2474J000</t>
  </si>
  <si>
    <t>EPCOS (TDK)</t>
  </si>
  <si>
    <t>FIXED IND 470UH 280MA 2.5 OHM TH</t>
  </si>
  <si>
    <t>Inductor</t>
  </si>
  <si>
    <t>495-5623-1-ND</t>
  </si>
  <si>
    <t>Link (495-5623-1-ND)</t>
  </si>
  <si>
    <t>B82145A1474J000</t>
  </si>
  <si>
    <t>FIXED IND 470UH 510MA 1.9 OHM TH</t>
  </si>
  <si>
    <t>495-5633-1-ND</t>
  </si>
  <si>
    <t>Link (495-5633-1-ND)</t>
  </si>
  <si>
    <t>D200-015</t>
  </si>
  <si>
    <t>IC MCU 8BIT 7KB FLASH 18DIP</t>
  </si>
  <si>
    <t>MCU</t>
  </si>
  <si>
    <t>PIC16LF1827-I/P-ND</t>
  </si>
  <si>
    <t>Link (PIC16LF1827-I/P-ND)</t>
  </si>
  <si>
    <t>PIC16F18346-I/P</t>
  </si>
  <si>
    <t>D200-016</t>
  </si>
  <si>
    <t>IC MCU 8BIT 28KB FLASH 20DIP</t>
  </si>
  <si>
    <t>PIC16F18346-I/P-ND</t>
  </si>
  <si>
    <t>Link (PIC16F18346-I/P-ND)</t>
  </si>
  <si>
    <t>ULN2004AN</t>
  </si>
  <si>
    <t>D200-017</t>
  </si>
  <si>
    <t>Réseau de transistors bipolaires, Darlington, NPN, 50 V, 350 mA</t>
  </si>
  <si>
    <t>Link (1103041)</t>
  </si>
  <si>
    <t>138-16-681</t>
  </si>
  <si>
    <t>Mentor</t>
  </si>
  <si>
    <t>Bouton rotatif Aluminium d12mm Trait de repère blanc</t>
  </si>
  <si>
    <t>Knob</t>
  </si>
  <si>
    <t>Link (505.411)</t>
  </si>
  <si>
    <t>STMicroelectronics</t>
  </si>
  <si>
    <t>D001-023</t>
  </si>
  <si>
    <t>Linear Voltage Regulator IC Positive Fixed 1 Output  2A 6-DFN (3x3)</t>
  </si>
  <si>
    <t>LDO</t>
  </si>
  <si>
    <t>497-15229-1-ND</t>
  </si>
  <si>
    <t>Link (497-15229-1-ND)</t>
  </si>
  <si>
    <t>LP38511MRX-ADJ/NOPB</t>
  </si>
  <si>
    <t>D001-018</t>
  </si>
  <si>
    <t>IC REG LIN POS ADJ 800MA 8SO</t>
  </si>
  <si>
    <t>296-46314-1-ND</t>
  </si>
  <si>
    <t>Link (296-46314-1-ND)</t>
  </si>
  <si>
    <t>MIC5504-2.5YM5-TR</t>
  </si>
  <si>
    <t>D001-017</t>
  </si>
  <si>
    <t>IC REG LINEAR 2.5V 300MA SOT23-5</t>
  </si>
  <si>
    <t>576-4880-1-ND</t>
  </si>
  <si>
    <t>Link (576-4880-1-ND)</t>
  </si>
  <si>
    <t>D001-015</t>
  </si>
  <si>
    <t>Régulateur LDO, Fixe, Entrée 1.7 V à 5,5 V, Sortie 3.3 V/300 mA, Chute de 150 mV</t>
  </si>
  <si>
    <t>NCP114ASN330T1GOSCT-ND</t>
  </si>
  <si>
    <t>Link (NCP114ASN330T1GOSCT-ND)</t>
  </si>
  <si>
    <t>Link (2677151)</t>
  </si>
  <si>
    <t>863-NCP114ASN330T1G</t>
  </si>
  <si>
    <t>Link (863-NCP114ASN330T1G)</t>
  </si>
  <si>
    <t>150060BS75000</t>
  </si>
  <si>
    <t>D001-052</t>
  </si>
  <si>
    <t>Blue 470nm LED Indication - Discrete 3.2V 0603 (1608 Metric)</t>
  </si>
  <si>
    <t>732-4966-1-ND</t>
  </si>
  <si>
    <t>Link (732-4966-1-ND)</t>
  </si>
  <si>
    <t>710-150060BS75000</t>
  </si>
  <si>
    <t>Link (710-150060BS75000)</t>
  </si>
  <si>
    <t>150060RS75000</t>
  </si>
  <si>
    <t>D001-053</t>
  </si>
  <si>
    <t>Red 625nm LED Indication - Discrete 2V 0603 (1608 Metric)</t>
  </si>
  <si>
    <t>732-4978-1-ND</t>
  </si>
  <si>
    <t>Link (732-4978-1-ND)</t>
  </si>
  <si>
    <t>710-150060RS75000</t>
  </si>
  <si>
    <t>Link (710-150060RS75000)</t>
  </si>
  <si>
    <t>D001-048</t>
  </si>
  <si>
    <t>Green 570nm LED Indication - Discrete 2V 0603 (1608 Metric)</t>
  </si>
  <si>
    <t>732-4980-1-ND</t>
  </si>
  <si>
    <t>Link (732-4980-1-ND)</t>
  </si>
  <si>
    <t>710-150060VS75000</t>
  </si>
  <si>
    <t>Link (710-150060VS75000)</t>
  </si>
  <si>
    <t>150060YS75000</t>
  </si>
  <si>
    <t>D001-054</t>
  </si>
  <si>
    <t>Yellow 590nm LED Indication - Discrete 2V 0603 (1608 Metric)</t>
  </si>
  <si>
    <t>732-4981-1-ND</t>
  </si>
  <si>
    <t>Link (732-4981-1-ND)</t>
  </si>
  <si>
    <t>710-150060YS75000</t>
  </si>
  <si>
    <t>Link (710-150060YS75000)</t>
  </si>
  <si>
    <t>D001-050</t>
  </si>
  <si>
    <t>Blue 470nm LED Indication - Discrete 3.2V 0805 (2012 Metric)</t>
  </si>
  <si>
    <t>732-4982-1-ND</t>
  </si>
  <si>
    <t>Link (732-4982-1-ND)</t>
  </si>
  <si>
    <t>D001-051</t>
  </si>
  <si>
    <t>LED RGB CLEAR 3528 SMD</t>
  </si>
  <si>
    <t>732-4998-1-ND</t>
  </si>
  <si>
    <t>Link (732-4998-1-ND)</t>
  </si>
  <si>
    <t>710-150141M173100</t>
  </si>
  <si>
    <t>Link (710-150141M173100)</t>
  </si>
  <si>
    <t>MCP6004-I/P.</t>
  </si>
  <si>
    <t>D200-018</t>
  </si>
  <si>
    <t>Link (1605571)</t>
  </si>
  <si>
    <t>Vishay Semiconductor Opto Division</t>
  </si>
  <si>
    <t>D001-049</t>
  </si>
  <si>
    <t>Red 628nm LED Indication - Discrete 1.8V 0603 (1608 Metric)</t>
  </si>
  <si>
    <t>TLMS1000-GS08CT-ND</t>
  </si>
  <si>
    <t>Link (TLMS1000-GS08CT-ND)</t>
  </si>
  <si>
    <t>78-TLMS1000</t>
  </si>
  <si>
    <t>Link (78-TLMS1000)</t>
  </si>
  <si>
    <t>VEML6040A3OG</t>
  </si>
  <si>
    <t>D001-019</t>
  </si>
  <si>
    <t>RGBW COLOR SENSOR I2C INTERFACE</t>
  </si>
  <si>
    <t>VEML6040A3OGCT-ND</t>
  </si>
  <si>
    <t>Link (VEML6040A3OGCT-ND)</t>
  </si>
  <si>
    <t>SN74AHC1G04QDCKRQ1</t>
  </si>
  <si>
    <t>D001-016</t>
  </si>
  <si>
    <t>Porte Logique Inverseur, 1 entrée, 8 mA, 2V à 5.5V</t>
  </si>
  <si>
    <t>Logic</t>
  </si>
  <si>
    <t>Link (2334901)</t>
  </si>
  <si>
    <t>D001-012</t>
  </si>
  <si>
    <t>Porte Logique NON-ET, 4 Portes, 2 entrées, 12 mA, 2V à 5.5V</t>
  </si>
  <si>
    <t>Link (1287598)</t>
  </si>
  <si>
    <t>PIC16F15323T-I/SL</t>
  </si>
  <si>
    <t>D001-029</t>
  </si>
  <si>
    <t>PIC PIC® XLP™ 16F Microcontroller IC 8-Bit 32MHz 3.5KB (2K x 14) FLASH 14-SOIC</t>
  </si>
  <si>
    <t>PIC16F15323T-I/SLCT-ND</t>
  </si>
  <si>
    <t>Link (PIC16F15323T-I/SLCT-ND)</t>
  </si>
  <si>
    <t>PIC16F18325-I/SL</t>
  </si>
  <si>
    <t>PIC PIC® XLP™ 16F Microcontroller IC 8-Bit 32MHz 14KB (8K x 14) FLASH 14-SOIC</t>
  </si>
  <si>
    <t>PIC16F18325-I/SL-ND</t>
  </si>
  <si>
    <t>Link (PIC16F18325-I/SL-ND)</t>
  </si>
  <si>
    <t>1-1825059-3</t>
  </si>
  <si>
    <t>TE Connectivity ALCOSWITCH Switches</t>
  </si>
  <si>
    <t>D200-020</t>
  </si>
  <si>
    <t>SWITCH SLIDE DIP SPST 100MA 24V</t>
  </si>
  <si>
    <t>Switch</t>
  </si>
  <si>
    <t>1-1825059-3-ND</t>
  </si>
  <si>
    <t>Link (1-1825059-3-ND)</t>
  </si>
  <si>
    <t>APEM Inc.</t>
  </si>
  <si>
    <t>SWITCH SLIDE SPDT 300MA 125V</t>
  </si>
  <si>
    <t>679-3547-ND</t>
  </si>
  <si>
    <t>Link (679-3547-ND)</t>
  </si>
  <si>
    <t>D001-025</t>
  </si>
  <si>
    <t>IC MCU 8BIT 7KB FLASH 20SSOP</t>
  </si>
  <si>
    <t>PIC16LF1827-I/SS-ND</t>
  </si>
  <si>
    <t>Link (PIC16LF1827-I/SS-ND)</t>
  </si>
  <si>
    <t>PIC16LF18324-I/SL</t>
  </si>
  <si>
    <t>D001-026</t>
  </si>
  <si>
    <t>IC MCU 8BIT 7KB FLASH 14SOIC</t>
  </si>
  <si>
    <t>PIC16LF18324-I/SL-ND</t>
  </si>
  <si>
    <t>Link (PIC16LF18324-I/SL-ND)</t>
  </si>
  <si>
    <t>PIC16LF18346-E/SO</t>
  </si>
  <si>
    <t>D001-024</t>
  </si>
  <si>
    <t>IC MCU 8BIT 28KB FLASH 20SOIC</t>
  </si>
  <si>
    <t>PIC16LF18346-E/SO-ND</t>
  </si>
  <si>
    <t>Link (PIC16LF18346-E/SO-ND)</t>
  </si>
  <si>
    <t>D001-028</t>
  </si>
  <si>
    <t>IC MCU 8BIT 64KB FLASH 44TQFP</t>
  </si>
  <si>
    <t>PIC18F46K40-I/PT-ND</t>
  </si>
  <si>
    <t>Link (PIC18F46K40-I/PT-ND)</t>
  </si>
  <si>
    <t>PIC18LF46K40-I/PT-ND</t>
  </si>
  <si>
    <t>Link (PIC18LF46K40-I/PT-ND)</t>
  </si>
  <si>
    <t>Communication RF</t>
  </si>
  <si>
    <t>Module</t>
  </si>
  <si>
    <t>Link (912951)</t>
  </si>
  <si>
    <t>DC Step-up</t>
  </si>
  <si>
    <t>Link (1181876)</t>
  </si>
  <si>
    <t>433 Mhz Remote Control</t>
  </si>
  <si>
    <t>Link (32710723814)</t>
  </si>
  <si>
    <t>433mhz RF Receiver Learning Code Decoding Receiving Module</t>
  </si>
  <si>
    <t>Link (32845056564)</t>
  </si>
  <si>
    <t>SHANGSIMOUDLECX</t>
  </si>
  <si>
    <t>ESP32 Development Board</t>
  </si>
  <si>
    <t>Link (32867696371)</t>
  </si>
  <si>
    <t>D000-000</t>
  </si>
  <si>
    <t>General ISM &lt; 1GHz  Transceiver Module 868MHz Integrated, Trace Surface Mount</t>
  </si>
  <si>
    <t>MRF89XAM8A-I/RM-ND</t>
  </si>
  <si>
    <t>Link (MRF89XAM8A-I/RM-ND)</t>
  </si>
  <si>
    <t>RN4871-I/RM130</t>
  </si>
  <si>
    <t>Bluetooth Bluetooth v4.2 Transceiver Module 2.402GHz - 2.48GHz Integrated, Chip Surface Mount</t>
  </si>
  <si>
    <t>RN4871-I/RM130-ND</t>
  </si>
  <si>
    <t>Link (RN4871-I/RM130-ND)</t>
  </si>
  <si>
    <t>579-RN4871IRM130</t>
  </si>
  <si>
    <t>Link (579-RN4871IRM130)</t>
  </si>
  <si>
    <t>BOURNS</t>
  </si>
  <si>
    <t>Potentiomètres variables, 10 ohm, 15 Tour(s), Traversant</t>
  </si>
  <si>
    <t>Trimmer</t>
  </si>
  <si>
    <t>3006P-1-100LF-ND</t>
  </si>
  <si>
    <t>Link (3006P-1-100LF-ND)</t>
  </si>
  <si>
    <t>Link (9352260)</t>
  </si>
  <si>
    <t>D001-006</t>
  </si>
  <si>
    <t>MEMS OSC XO 12.0000MHZ CMOS SMD</t>
  </si>
  <si>
    <t>Oscillator</t>
  </si>
  <si>
    <t>DSC6003JI2A-012.0000TCT-ND</t>
  </si>
  <si>
    <t>Link (DSC6003JI2A-012.0000TCT-ND)</t>
  </si>
  <si>
    <t>E-PCB-000-000</t>
  </si>
  <si>
    <t>EsseivaN</t>
  </si>
  <si>
    <t>PCB Lampe solaire v1</t>
  </si>
  <si>
    <t>PCB</t>
  </si>
  <si>
    <t>E-PCB-000-001</t>
  </si>
  <si>
    <t>PCB Lampe solaire v2</t>
  </si>
  <si>
    <t>PCB Lampe solaire v4</t>
  </si>
  <si>
    <t>PCB Lampe solaire v5</t>
  </si>
  <si>
    <t>E-PCB-000-004</t>
  </si>
  <si>
    <t>PCB Lampe solaire v6</t>
  </si>
  <si>
    <t>PCB Lampe Solaire v6.2</t>
  </si>
  <si>
    <t>E-PCB-000-006</t>
  </si>
  <si>
    <t>PCB Lampe Solaire v7</t>
  </si>
  <si>
    <t>PCB Led adaptateur v1</t>
  </si>
  <si>
    <t>E-PCB-001-001</t>
  </si>
  <si>
    <t>PCB Led adaptateur v2</t>
  </si>
  <si>
    <t>E-PCB-002-000</t>
  </si>
  <si>
    <t>PCB TempoMetter v1</t>
  </si>
  <si>
    <t>PCB USB Tool v1</t>
  </si>
  <si>
    <t>PCB USB Tool v4</t>
  </si>
  <si>
    <t xml:space="preserve">VISHAY </t>
  </si>
  <si>
    <t>Potentiomètres variables, 100 kohm, 23 Tour(s), Traversant</t>
  </si>
  <si>
    <t>T93XA-100K-ND</t>
  </si>
  <si>
    <t>Link (T93XA-100K-ND)</t>
  </si>
  <si>
    <t>Link (1141380)</t>
  </si>
  <si>
    <t>164-28-452</t>
  </si>
  <si>
    <t>Piher</t>
  </si>
  <si>
    <t>Potentiomètre à carbone 2x, 10 kOhm, Lug</t>
  </si>
  <si>
    <t>Potentiometer</t>
  </si>
  <si>
    <t>PC16DH07CP04-103B2020--TA</t>
  </si>
  <si>
    <t>Link (PC16DH07CP04-103B2020--TA)</t>
  </si>
  <si>
    <t>Panneau solaire</t>
  </si>
  <si>
    <t>Power</t>
  </si>
  <si>
    <t>Link (1004068)</t>
  </si>
  <si>
    <t>SPHWHTL3DA0CF4QTW6</t>
  </si>
  <si>
    <t>Samsung Semiconductor, Inc.</t>
  </si>
  <si>
    <t>LED Lighting LH351D White, Cool 5700K 3V 1.5A 128° 1414 (3535 Metric)</t>
  </si>
  <si>
    <t>Power Led</t>
  </si>
  <si>
    <t>1510-2262-1-ND</t>
  </si>
  <si>
    <t>Link (1510-2262-1-ND)</t>
  </si>
  <si>
    <t>D001-036</t>
  </si>
  <si>
    <t>LED Lighting Little Star® White, Cool  3.5V 350mA 120° 2424 (6060 Metric)</t>
  </si>
  <si>
    <t>Link (2682731)</t>
  </si>
  <si>
    <t>XQDAWT-00-0000-00000BF50</t>
  </si>
  <si>
    <t>Cree Inc.</t>
  </si>
  <si>
    <t>LED Lighting XLamp® XQ-D White, Cool 6200K 3.1V 350mA 145° 0606 (1616 Metric)</t>
  </si>
  <si>
    <t>XQDAWT-00-0000-00000BF50CT-ND</t>
  </si>
  <si>
    <t>Link (XQDAWT-00-0000-00000BF50CT-ND)</t>
  </si>
  <si>
    <t>XTEAWT-00-0000-000000KE1</t>
  </si>
  <si>
    <t>LED Lighting XLamp® XT-E White, Cool 6500K 2.9V 350mA 115° 1414 (3535 Metric)</t>
  </si>
  <si>
    <t>XTEAWT-00-0000-000000KE1CT-ND</t>
  </si>
  <si>
    <t>Link (XTEAWT-00-0000-000000KE1CT-ND)</t>
  </si>
  <si>
    <t>XTEAWT-00-0000-000000KD1</t>
  </si>
  <si>
    <t>D001-055</t>
  </si>
  <si>
    <t>LED Lighting XLamp® XT-E White, Neutral 4750K 2.9V 350mA 115° 1414 (3535 Metric)</t>
  </si>
  <si>
    <t>XTEAWT-00-0000-000000KD1CT-ND</t>
  </si>
  <si>
    <t>Link (XTEAWT-00-0000-000000KD1CT-ND)</t>
  </si>
  <si>
    <t>Omron Electronics Inc-EMC Div</t>
  </si>
  <si>
    <t>D200-021</t>
  </si>
  <si>
    <t>Telecom Relay DPDT (2 Form C) Through Hole 2A 3V</t>
  </si>
  <si>
    <t>Relay</t>
  </si>
  <si>
    <t>Z3622-ND</t>
  </si>
  <si>
    <t>Link (Z3622-ND)</t>
  </si>
  <si>
    <t>TE Connectivity Potter &amp; Brumfield Relays</t>
  </si>
  <si>
    <t>D001-037</t>
  </si>
  <si>
    <t>RELAY TELECOM DPDT 5A 2.4V</t>
  </si>
  <si>
    <t>PB1175CT-ND</t>
  </si>
  <si>
    <t>Link (PB1175CT-ND)</t>
  </si>
  <si>
    <t>Telecom Relay DPDT (2 Form C) Surface Mount 2A 3V</t>
  </si>
  <si>
    <t>Z3815-ND</t>
  </si>
  <si>
    <t>Link (Z3815-ND)</t>
  </si>
  <si>
    <t>D200-023</t>
  </si>
  <si>
    <t>Battery Contact Clip 18650 1 Cell PC Pin</t>
  </si>
  <si>
    <t>36-54-ND</t>
  </si>
  <si>
    <t>Link (36-54-ND)</t>
  </si>
  <si>
    <t>534-54</t>
  </si>
  <si>
    <t>Link (534-54)</t>
  </si>
  <si>
    <t>CRCW0805100RFKEAC</t>
  </si>
  <si>
    <t>Vishay Dale</t>
  </si>
  <si>
    <t>D101-006</t>
  </si>
  <si>
    <t>RES SMD 100 OHM 1% 1/8W 0805</t>
  </si>
  <si>
    <t>541-3979-1-ND</t>
  </si>
  <si>
    <t>Link (541-3979-1-ND)</t>
  </si>
  <si>
    <t>D101-000</t>
  </si>
  <si>
    <t>RES SMD 4.7K OHM 1% 1/8W 0805 vishay</t>
  </si>
  <si>
    <t>541-4131-1-ND</t>
  </si>
  <si>
    <t>Link (541-4131-1-ND)</t>
  </si>
  <si>
    <t>CRCW12061K00FKEAHP</t>
  </si>
  <si>
    <t>RES SMD 1K OHM 1% 3/4W 1206</t>
  </si>
  <si>
    <t>541-1.00KUCT-ND</t>
  </si>
  <si>
    <t>Link (541-1.00KUCT-ND)</t>
  </si>
  <si>
    <t>CRCW12061K00JNEAHP</t>
  </si>
  <si>
    <t>RES SMD 1K OHM 5% 3/4W 1206</t>
  </si>
  <si>
    <t>541-1.0KUACT-ND</t>
  </si>
  <si>
    <t>Link (541-1.0KUACT-ND)</t>
  </si>
  <si>
    <t>D100-124</t>
  </si>
  <si>
    <t>RES SMD 5.1 OHM 5% 3/4W 1206</t>
  </si>
  <si>
    <t>541-5.1UACT-ND</t>
  </si>
  <si>
    <t>Link (541-5.1UACT-ND)</t>
  </si>
  <si>
    <t>EP1WS22RJ</t>
  </si>
  <si>
    <t>TE Connectivity Passive Product</t>
  </si>
  <si>
    <t>RES 22 OHM 1W 5% AXIAL</t>
  </si>
  <si>
    <t>A129415CT-ND</t>
  </si>
  <si>
    <t>Link (A129415CT-ND)</t>
  </si>
  <si>
    <t>ERJ-6ENF1500V</t>
  </si>
  <si>
    <t>Panasonic Electronic Components</t>
  </si>
  <si>
    <t>D101-007</t>
  </si>
  <si>
    <t>RES SMD 150 OHM 1% 1/8W 0805 panasonic</t>
  </si>
  <si>
    <t>P150CCT-ND</t>
  </si>
  <si>
    <t>Link (P150CCT-ND)</t>
  </si>
  <si>
    <t xml:space="preserve">PANASONIC ELECTRONIC COMPONENTS  </t>
  </si>
  <si>
    <t>D101-004</t>
  </si>
  <si>
    <t>Résistance à puce CMS, Couche épaisse, 110 kohm</t>
  </si>
  <si>
    <t>Link (2380458)</t>
  </si>
  <si>
    <t>Link (RHM1.00KADCT-ND)</t>
  </si>
  <si>
    <t>755-ESR03EZPF1001</t>
  </si>
  <si>
    <t>Link (755-ESR03EZPF1001)</t>
  </si>
  <si>
    <t>ESR03EZPF1002</t>
  </si>
  <si>
    <t>D100-022</t>
  </si>
  <si>
    <t>RES SMD 10K OHM 1% 1/4W 0603</t>
  </si>
  <si>
    <t>RHM10KADCT-ND</t>
  </si>
  <si>
    <t>Link (RHM10KADCT-ND)</t>
  </si>
  <si>
    <t>755-ESR03EZPF1002</t>
  </si>
  <si>
    <t>Link (755-ESR03EZPF1002)</t>
  </si>
  <si>
    <t>ESR03EZPF1003</t>
  </si>
  <si>
    <t>D100-015</t>
  </si>
  <si>
    <t>RES SMD 100K OHM 1% 1/4W 0603</t>
  </si>
  <si>
    <t>RHM100KADCT-ND</t>
  </si>
  <si>
    <t>Link (RHM100KADCT-ND)</t>
  </si>
  <si>
    <t>755-ESR03EZPF1003</t>
  </si>
  <si>
    <t>Link (755-ESR03EZPF1003)</t>
  </si>
  <si>
    <t>ESR03EZPJ100</t>
  </si>
  <si>
    <t>RES SMD 10 OHM 5% 1/4W 0603</t>
  </si>
  <si>
    <t>RHM10DCT-ND</t>
  </si>
  <si>
    <t>Link (RHM10DCT-ND)</t>
  </si>
  <si>
    <t>755-ESR03EZPJ100</t>
  </si>
  <si>
    <t>Link (755-ESR03EZPJ100)</t>
  </si>
  <si>
    <t>ESR03EZPJ101</t>
  </si>
  <si>
    <t>RES SMD 100 OHM 5% 1/4W 0603</t>
  </si>
  <si>
    <t>RHM100DCT-ND</t>
  </si>
  <si>
    <t>Link (RHM100DCT-ND)</t>
  </si>
  <si>
    <t>755-ESR03EZPJ101</t>
  </si>
  <si>
    <t>Link (755-ESR03EZPJ101)</t>
  </si>
  <si>
    <t>D100-002</t>
  </si>
  <si>
    <t>RES SMD 1K OHM 5% 1/4W 0603</t>
  </si>
  <si>
    <t>RHM1.0KDCT-ND</t>
  </si>
  <si>
    <t>Link (RHM1.0KDCT-ND)</t>
  </si>
  <si>
    <t>755-ESR03EZPJ102</t>
  </si>
  <si>
    <t>Link (755-ESR03EZPJ102)</t>
  </si>
  <si>
    <t>D100-006</t>
  </si>
  <si>
    <t>RES SMD 10K OHM 5% 1/4W 0603</t>
  </si>
  <si>
    <t>RHM10KDCT-ND</t>
  </si>
  <si>
    <t>Link (RHM10KDCT-ND)</t>
  </si>
  <si>
    <t>755-ESR03EZPJ103</t>
  </si>
  <si>
    <t>Link (755-ESR03EZPJ103)</t>
  </si>
  <si>
    <t>ESR03EZPJ104</t>
  </si>
  <si>
    <t>RES SMD 100K OHM 5% 1/4W 0603</t>
  </si>
  <si>
    <t>RHM100KDCT-ND</t>
  </si>
  <si>
    <t>Link (RHM100KDCT-ND)</t>
  </si>
  <si>
    <t>755-ESR03EZPJ104</t>
  </si>
  <si>
    <t>Link (755-ESR03EZPJ104)</t>
  </si>
  <si>
    <t>D100-007</t>
  </si>
  <si>
    <t>RES SMD 1M OHM 5% 1/4W 0603</t>
  </si>
  <si>
    <t>RHM1MDCT-ND</t>
  </si>
  <si>
    <t>Link (RHM1MDCT-ND)</t>
  </si>
  <si>
    <t>755-ESR03EZPJ105</t>
  </si>
  <si>
    <t>Link (755-ESR03EZPJ105)</t>
  </si>
  <si>
    <t>ESR03EZPJ106</t>
  </si>
  <si>
    <t>RES SMD 10M OHM 5% 1/4W 0603</t>
  </si>
  <si>
    <t>RHM10MDCT-ND</t>
  </si>
  <si>
    <t>Link (RHM10MDCT-ND)</t>
  </si>
  <si>
    <t>755-ESR03EZPJ106</t>
  </si>
  <si>
    <t>Link (755-ESR03EZPJ106)</t>
  </si>
  <si>
    <t>ESR03EZPJ110</t>
  </si>
  <si>
    <t>RES SMD 11 OHM 5% 1/4W 0603</t>
  </si>
  <si>
    <t>RHM11DCT-ND</t>
  </si>
  <si>
    <t>Link (RHM11DCT-ND)</t>
  </si>
  <si>
    <t>755-ESR03EZPJ110</t>
  </si>
  <si>
    <t>Link (755-ESR03EZPJ110)</t>
  </si>
  <si>
    <t>ESR03EZPJ111</t>
  </si>
  <si>
    <t>RES SMD 110 OHM 5% 1/4W 0603</t>
  </si>
  <si>
    <t>RHM110DCT-ND</t>
  </si>
  <si>
    <t>Link (RHM110DCT-ND)</t>
  </si>
  <si>
    <t>755-ESR03EZPJ111</t>
  </si>
  <si>
    <t>Link (755-ESR03EZPJ111)</t>
  </si>
  <si>
    <t>ESR03EZPJ112</t>
  </si>
  <si>
    <t>RES SMD 1.1K OHM 5% 1/4W 0603</t>
  </si>
  <si>
    <t>RHM1.1KDCT-ND</t>
  </si>
  <si>
    <t>Link (RHM1.1KDCT-ND)</t>
  </si>
  <si>
    <t>755-ESR03EZPJ112</t>
  </si>
  <si>
    <t>Link (755-ESR03EZPJ112)</t>
  </si>
  <si>
    <t>ESR03EZPJ113</t>
  </si>
  <si>
    <t>RES SMD 11K OHM 5% 1/4W 0603</t>
  </si>
  <si>
    <t>RHM11KDCT-ND</t>
  </si>
  <si>
    <t>Link (RHM11KDCT-ND)</t>
  </si>
  <si>
    <t>755-ESR03EZPJ113</t>
  </si>
  <si>
    <t>Link (755-ESR03EZPJ113)</t>
  </si>
  <si>
    <t>ESR03EZPJ114</t>
  </si>
  <si>
    <t>RES SMD 110K OHM 5% 1/4W 0603</t>
  </si>
  <si>
    <t>RHM110KDCT-ND</t>
  </si>
  <si>
    <t>Link (RHM110KDCT-ND)</t>
  </si>
  <si>
    <t>755-ESR03EZPJ114</t>
  </si>
  <si>
    <t>Link (755-ESR03EZPJ114)</t>
  </si>
  <si>
    <t>ESR03EZPJ115</t>
  </si>
  <si>
    <t>RES SMD 1.1M OHM 5% 1/4W 0603</t>
  </si>
  <si>
    <t>RHM1.1MDCT-ND</t>
  </si>
  <si>
    <t>Link (RHM1.1MDCT-ND)</t>
  </si>
  <si>
    <t>755-ESR03EZPJ115</t>
  </si>
  <si>
    <t>Link (755-ESR03EZPJ115)</t>
  </si>
  <si>
    <t>ESR03EZPJ120</t>
  </si>
  <si>
    <t>RES SMD 12 OHM 5% 1/4W 0603</t>
  </si>
  <si>
    <t>RHM12DCT-ND</t>
  </si>
  <si>
    <t>Link (RHM12DCT-ND)</t>
  </si>
  <si>
    <t>755-ESR03EZPJ120</t>
  </si>
  <si>
    <t>Link (755-ESR03EZPJ120)</t>
  </si>
  <si>
    <t>D100-010</t>
  </si>
  <si>
    <t>RES SMD 120 OHM 5% 1/4W 0603</t>
  </si>
  <si>
    <t>RHM120DCT-ND</t>
  </si>
  <si>
    <t>Link (RHM120DCT-ND)</t>
  </si>
  <si>
    <t>755-ESR03EZPJ121</t>
  </si>
  <si>
    <t>Link (755-ESR03EZPJ121)</t>
  </si>
  <si>
    <t>ESR03EZPJ122</t>
  </si>
  <si>
    <t>D100-020</t>
  </si>
  <si>
    <t>RES SMD 1.2K OHM 5% 1/4W 0603</t>
  </si>
  <si>
    <t>RHM1.2KDCT-ND</t>
  </si>
  <si>
    <t>Link (RHM1.2KDCT-ND)</t>
  </si>
  <si>
    <t>755-ESR03EZPJ122</t>
  </si>
  <si>
    <t>Link (755-ESR03EZPJ122)</t>
  </si>
  <si>
    <t>ESR03EZPJ123</t>
  </si>
  <si>
    <t>RES SMD 12K OHM 5% 1/4W 0603</t>
  </si>
  <si>
    <t>RHM12KDCT-ND</t>
  </si>
  <si>
    <t>Link (RHM12KDCT-ND)</t>
  </si>
  <si>
    <t>755-ESR03EZPJ123</t>
  </si>
  <si>
    <t>Link (755-ESR03EZPJ123)</t>
  </si>
  <si>
    <t>ESR03EZPJ124</t>
  </si>
  <si>
    <t>RES SMD 120K OHM 5% 1/4W 0603</t>
  </si>
  <si>
    <t>RHM120KDCT-ND</t>
  </si>
  <si>
    <t>Link (RHM120KDCT-ND)</t>
  </si>
  <si>
    <t>755-ESR03EZPJ124</t>
  </si>
  <si>
    <t>Link (755-ESR03EZPJ124)</t>
  </si>
  <si>
    <t>ESR03EZPJ125</t>
  </si>
  <si>
    <t>RES SMD 1.2M OHM 5% 1/4W 0603</t>
  </si>
  <si>
    <t>RHM1.2MDCT-ND</t>
  </si>
  <si>
    <t>Link (RHM1.2MDCT-ND)</t>
  </si>
  <si>
    <t>755-ESR03EZPJ125</t>
  </si>
  <si>
    <t>Link (755-ESR03EZPJ125)</t>
  </si>
  <si>
    <t>ESR03EZPJ130</t>
  </si>
  <si>
    <t>RES SMD 13 OHM 5% 1/4W 0603</t>
  </si>
  <si>
    <t>RHM13DCT-ND</t>
  </si>
  <si>
    <t>Link (RHM13DCT-ND)</t>
  </si>
  <si>
    <t>755-ESR03EZPJ130</t>
  </si>
  <si>
    <t>Link (755-ESR03EZPJ130)</t>
  </si>
  <si>
    <t>ESR03EZPJ131</t>
  </si>
  <si>
    <t>RES SMD 130 OHM 5% 1/4W 0603</t>
  </si>
  <si>
    <t>RHM130DCT-ND</t>
  </si>
  <si>
    <t>Link (RHM130DCT-ND)</t>
  </si>
  <si>
    <t>755-ESR03EZPJ131</t>
  </si>
  <si>
    <t>Link (755-ESR03EZPJ131)</t>
  </si>
  <si>
    <t>ESR03EZPJ132</t>
  </si>
  <si>
    <t>RES SMD 1.3K OHM 5% 1/4W 0603</t>
  </si>
  <si>
    <t>RHM1.3KDCT-ND</t>
  </si>
  <si>
    <t>Link (RHM1.3KDCT-ND)</t>
  </si>
  <si>
    <t>755-ESR03EZPJ132</t>
  </si>
  <si>
    <t>Link (755-ESR03EZPJ132)</t>
  </si>
  <si>
    <t>ESR03EZPJ133</t>
  </si>
  <si>
    <t>RES SMD 13K OHM 5% 1/4W 0603</t>
  </si>
  <si>
    <t>RHM13KDCT-ND</t>
  </si>
  <si>
    <t>Link (RHM13KDCT-ND)</t>
  </si>
  <si>
    <t>755-ESR03EZPJ133</t>
  </si>
  <si>
    <t>Link (755-ESR03EZPJ133)</t>
  </si>
  <si>
    <t>ESR03EZPJ134</t>
  </si>
  <si>
    <t>RES SMD 130K OHM 5% 1/4W 0603</t>
  </si>
  <si>
    <t>RHM130KDCT-ND</t>
  </si>
  <si>
    <t>Link (RHM130KDCT-ND)</t>
  </si>
  <si>
    <t>755-ESR03EZPJ134</t>
  </si>
  <si>
    <t>Link (755-ESR03EZPJ134)</t>
  </si>
  <si>
    <t>ESR03EZPJ135</t>
  </si>
  <si>
    <t>RES SMD 1.3M OHM 5% 1/4W 0603</t>
  </si>
  <si>
    <t>RHM1.3MDCT-ND</t>
  </si>
  <si>
    <t>Link (RHM1.3MDCT-ND)</t>
  </si>
  <si>
    <t>755-ESR03EZPJ135</t>
  </si>
  <si>
    <t>Link (755-ESR03EZPJ135)</t>
  </si>
  <si>
    <t>ESR03EZPJ150</t>
  </si>
  <si>
    <t>RES SMD 15 OHM 5% 1/4W 0603</t>
  </si>
  <si>
    <t>RHM15DCT-ND</t>
  </si>
  <si>
    <t>Link (RHM15DCT-ND)</t>
  </si>
  <si>
    <t>755-ESR03EZPJ150</t>
  </si>
  <si>
    <t>Link (755-ESR03EZPJ150)</t>
  </si>
  <si>
    <t>D100-000</t>
  </si>
  <si>
    <t>RES SMD 150 OHM 5% 1/4W 0603</t>
  </si>
  <si>
    <t>RHM150DCT-ND</t>
  </si>
  <si>
    <t>Link (RHM150DCT-ND)</t>
  </si>
  <si>
    <t>755-ESR03EZPJ151</t>
  </si>
  <si>
    <t>Link (755-ESR03EZPJ151)</t>
  </si>
  <si>
    <t>ESR03EZPJ152</t>
  </si>
  <si>
    <t>D100-012</t>
  </si>
  <si>
    <t>RES SMD 1.5K OHM 5% 1/4W 0603</t>
  </si>
  <si>
    <t>RHM1.5KDCT-ND</t>
  </si>
  <si>
    <t>Link (RHM1.5KDCT-ND)</t>
  </si>
  <si>
    <t>755-ESR03EZPJ152</t>
  </si>
  <si>
    <t>Link (755-ESR03EZPJ152)</t>
  </si>
  <si>
    <t>ESR03EZPJ153</t>
  </si>
  <si>
    <t>RES SMD 15K OHM 5% 1/4W 0603</t>
  </si>
  <si>
    <t>RHM15KDCT-ND</t>
  </si>
  <si>
    <t>Link (RHM15KDCT-ND)</t>
  </si>
  <si>
    <t>755-ESR03EZPJ153</t>
  </si>
  <si>
    <t>Link (755-ESR03EZPJ153)</t>
  </si>
  <si>
    <t>ESR03EZPJ154</t>
  </si>
  <si>
    <t>RES SMD 150K OHM 5% 1/4W 0603</t>
  </si>
  <si>
    <t>RHM150KDCT-ND</t>
  </si>
  <si>
    <t>Link (RHM150KDCT-ND)</t>
  </si>
  <si>
    <t>755-ESR03EZPJ154</t>
  </si>
  <si>
    <t>Link (755-ESR03EZPJ154)</t>
  </si>
  <si>
    <t>ESR03EZPJ155</t>
  </si>
  <si>
    <t>RES SMD 1.5M OHM 5% 1/4W 0603</t>
  </si>
  <si>
    <t>RHM1.5MDCT-ND</t>
  </si>
  <si>
    <t>Link (RHM1.5MDCT-ND)</t>
  </si>
  <si>
    <t>755-ESR03EZPJ155</t>
  </si>
  <si>
    <t>Link (755-ESR03EZPJ155)</t>
  </si>
  <si>
    <t>ESR03EZPJ160</t>
  </si>
  <si>
    <t>RES SMD 16 OHM 5% 1/4W 0603</t>
  </si>
  <si>
    <t>RHM16DCT-ND</t>
  </si>
  <si>
    <t>Link (RHM16DCT-ND)</t>
  </si>
  <si>
    <t>755-ESR03EZPJ160</t>
  </si>
  <si>
    <t>Link (755-ESR03EZPJ160)</t>
  </si>
  <si>
    <t>ESR03EZPJ161</t>
  </si>
  <si>
    <t>RES SMD 160 OHM 5% 1/4W 0603</t>
  </si>
  <si>
    <t>RHM160DCT-ND</t>
  </si>
  <si>
    <t>Link (RHM160DCT-ND)</t>
  </si>
  <si>
    <t>755-ESR03EZPJ161</t>
  </si>
  <si>
    <t>Link (755-ESR03EZPJ161)</t>
  </si>
  <si>
    <t>ESR03EZPJ162</t>
  </si>
  <si>
    <t>RES SMD 1.6K OHM 5% 1/4W 0603</t>
  </si>
  <si>
    <t>RHM1.6KDCT-ND</t>
  </si>
  <si>
    <t>Link (RHM1.6KDCT-ND)</t>
  </si>
  <si>
    <t>755-ESR03EZPJ162</t>
  </si>
  <si>
    <t>Link (755-ESR03EZPJ162)</t>
  </si>
  <si>
    <t>ESR03EZPJ163</t>
  </si>
  <si>
    <t>RES SMD 16K OHM 5% 1/4W 0603</t>
  </si>
  <si>
    <t>RHM16KDCT-ND</t>
  </si>
  <si>
    <t>Link (RHM16KDCT-ND)</t>
  </si>
  <si>
    <t>755-ESR03EZPJ163</t>
  </si>
  <si>
    <t>Link (755-ESR03EZPJ163)</t>
  </si>
  <si>
    <t>ESR03EZPJ165</t>
  </si>
  <si>
    <t>RES SMD 1.6M OHM 5% 1/4W 0603</t>
  </si>
  <si>
    <t>RHM1.6MDCT-ND</t>
  </si>
  <si>
    <t>Link (RHM1.6MDCT-ND)</t>
  </si>
  <si>
    <t>755-ESR03EZPJ165</t>
  </si>
  <si>
    <t>Link (755-ESR03EZPJ165)</t>
  </si>
  <si>
    <t>ESR03EZPJ180</t>
  </si>
  <si>
    <t>RES SMD 18 OHM 5% 1/4W 0603</t>
  </si>
  <si>
    <t>RHM18DCT-ND</t>
  </si>
  <si>
    <t>Link (RHM18DCT-ND)</t>
  </si>
  <si>
    <t>755-ESR03EZPJ180</t>
  </si>
  <si>
    <t>Link (755-ESR03EZPJ180)</t>
  </si>
  <si>
    <t>D100-008</t>
  </si>
  <si>
    <t>RES SMD 180 OHM 5% 1/4W 0603</t>
  </si>
  <si>
    <t>RHM180DCT-ND</t>
  </si>
  <si>
    <t>Link (RHM180DCT-ND)</t>
  </si>
  <si>
    <t>755-ESR03EZPJ181</t>
  </si>
  <si>
    <t>Link (755-ESR03EZPJ181)</t>
  </si>
  <si>
    <t>ESR03EZPJ182</t>
  </si>
  <si>
    <t>D100-019</t>
  </si>
  <si>
    <t>RES SMD 1.8K OHM 5% 1/4W 0603</t>
  </si>
  <si>
    <t>RHM1.8KDCT-ND</t>
  </si>
  <si>
    <t>Link (RHM1.8KDCT-ND)</t>
  </si>
  <si>
    <t>755-ESR03EZPJ182</t>
  </si>
  <si>
    <t>Link (755-ESR03EZPJ182)</t>
  </si>
  <si>
    <t>ESR03EZPJ183</t>
  </si>
  <si>
    <t>RES SMD 18K OHM 5% 1/4W 0603</t>
  </si>
  <si>
    <t>RHM18KDCT-ND</t>
  </si>
  <si>
    <t>Link (RHM18KDCT-ND)</t>
  </si>
  <si>
    <t>755-ESR03EZPJ183</t>
  </si>
  <si>
    <t>Link (755-ESR03EZPJ183)</t>
  </si>
  <si>
    <t>ESR03EZPJ184</t>
  </si>
  <si>
    <t>RES SMD 180K OHM 5% 1/4W 0603</t>
  </si>
  <si>
    <t>RHM180KDCT-ND</t>
  </si>
  <si>
    <t>Link (RHM180KDCT-ND)</t>
  </si>
  <si>
    <t>755-ESR03EZPJ184</t>
  </si>
  <si>
    <t>Link (755-ESR03EZPJ184)</t>
  </si>
  <si>
    <t>ESR03EZPJ185</t>
  </si>
  <si>
    <t>RES SMD 1.8M OHM 5% 1/4W 0603</t>
  </si>
  <si>
    <t>RHM1.8MDCT-ND</t>
  </si>
  <si>
    <t>Link (RHM1.8MDCT-ND)</t>
  </si>
  <si>
    <t>755-ESR03EZPJ185</t>
  </si>
  <si>
    <t>Link (755-ESR03EZPJ185)</t>
  </si>
  <si>
    <t>ESR03EZPJ1R0</t>
  </si>
  <si>
    <t>RES SMD 1 OHM 5% 1/4W 0603</t>
  </si>
  <si>
    <t>RHM1DCT-ND</t>
  </si>
  <si>
    <t>Link (RHM1DCT-ND)</t>
  </si>
  <si>
    <t>755-ESR03EZPJ1R0</t>
  </si>
  <si>
    <t>Link (755-ESR03EZPJ1R0)</t>
  </si>
  <si>
    <t>ESR03EZPJ1R1</t>
  </si>
  <si>
    <t>RES SMD 1.1 OHM 5% 1/4W 0603</t>
  </si>
  <si>
    <t>RHM1.1DCT-ND</t>
  </si>
  <si>
    <t>Link (RHM1.1DCT-ND)</t>
  </si>
  <si>
    <t>755-ESR03EZPJ1R1</t>
  </si>
  <si>
    <t>Link (755-ESR03EZPJ1R1)</t>
  </si>
  <si>
    <t>ESR03EZPJ1R2</t>
  </si>
  <si>
    <t>RES SMD 1.2 OHM 5% 1/4W 0603</t>
  </si>
  <si>
    <t>RHM1.2DCT-ND</t>
  </si>
  <si>
    <t>Link (RHM1.2DCT-ND)</t>
  </si>
  <si>
    <t>755-ESR03EZPJ1R2</t>
  </si>
  <si>
    <t>Link (755-ESR03EZPJ1R2)</t>
  </si>
  <si>
    <t>ESR03EZPJ1R3</t>
  </si>
  <si>
    <t>RES SMD 1.3 OHM 5% 1/4W 0603</t>
  </si>
  <si>
    <t>RHM1.3DCT-ND</t>
  </si>
  <si>
    <t>Link (RHM1.3DCT-ND)</t>
  </si>
  <si>
    <t>755-ESR03EZPJ1R3</t>
  </si>
  <si>
    <t>Link (755-ESR03EZPJ1R3)</t>
  </si>
  <si>
    <t>ESR03EZPJ1R5</t>
  </si>
  <si>
    <t>RES SMD 1.5 OHM 5% 1/4W 0603</t>
  </si>
  <si>
    <t>RHM1.5DCT-ND</t>
  </si>
  <si>
    <t>Link (RHM1.5DCT-ND)</t>
  </si>
  <si>
    <t>755-ESR03EZPJ1R5</t>
  </si>
  <si>
    <t>Link (755-ESR03EZPJ1R5)</t>
  </si>
  <si>
    <t>ESR03EZPJ1R6</t>
  </si>
  <si>
    <t>RES SMD 1.6 OHM 5% 1/4W 0603</t>
  </si>
  <si>
    <t>RHM1.6DCT-ND</t>
  </si>
  <si>
    <t>Link (RHM1.6DCT-ND)</t>
  </si>
  <si>
    <t>755-ESR03EZPJ1R6</t>
  </si>
  <si>
    <t>Link (755-ESR03EZPJ1R6)</t>
  </si>
  <si>
    <t>ESR03EZPJ1R8</t>
  </si>
  <si>
    <t>RES SMD 1.8 OHM 5% 1/4W 0603</t>
  </si>
  <si>
    <t>RHM1.8DCT-ND</t>
  </si>
  <si>
    <t>Link (RHM1.8DCT-ND)</t>
  </si>
  <si>
    <t>755-ESR03EZPJ1R8</t>
  </si>
  <si>
    <t>Link (755-ESR03EZPJ1R8)</t>
  </si>
  <si>
    <t>ESR03EZPJ200</t>
  </si>
  <si>
    <t>RES SMD 20 OHM 5% 1/4W 0603</t>
  </si>
  <si>
    <t>RHM20DCT-ND</t>
  </si>
  <si>
    <t>Link (RHM20DCT-ND)</t>
  </si>
  <si>
    <t>755-ESR03EZPJ200</t>
  </si>
  <si>
    <t>Link (755-ESR03EZPJ200)</t>
  </si>
  <si>
    <t>ESR03EZPJ201</t>
  </si>
  <si>
    <t>RES SMD 200 OHM 5% 1/4W 0603</t>
  </si>
  <si>
    <t>RHM200DCT-ND</t>
  </si>
  <si>
    <t>Link (RHM200DCT-ND)</t>
  </si>
  <si>
    <t>755-ESR03EZPJ201</t>
  </si>
  <si>
    <t>Link (755-ESR03EZPJ201)</t>
  </si>
  <si>
    <t>ESR03EZPJ202</t>
  </si>
  <si>
    <t>RES SMD 2K OHM 5% 1/4W 0603</t>
  </si>
  <si>
    <t>RHM2.0KDCT-ND</t>
  </si>
  <si>
    <t>Link (RHM2.0KDCT-ND)</t>
  </si>
  <si>
    <t>755-ESR03EZPJ202</t>
  </si>
  <si>
    <t>Link (755-ESR03EZPJ202)</t>
  </si>
  <si>
    <t>ESR03EZPJ203</t>
  </si>
  <si>
    <t>RES SMD 20K OHM 5% 1/4W 0603</t>
  </si>
  <si>
    <t>RHM20KDCT-ND</t>
  </si>
  <si>
    <t>Link (RHM20KDCT-ND)</t>
  </si>
  <si>
    <t>755-ESR03EZPJ203</t>
  </si>
  <si>
    <t>Link (755-ESR03EZPJ203)</t>
  </si>
  <si>
    <t>ESR03EZPJ204</t>
  </si>
  <si>
    <t>RES SMD 200K OHM 5% 1/4W 0603</t>
  </si>
  <si>
    <t>RHM200KDCT-ND</t>
  </si>
  <si>
    <t>Link (RHM200KDCT-ND)</t>
  </si>
  <si>
    <t>755-ESR03EZPJ204</t>
  </si>
  <si>
    <t>Link (755-ESR03EZPJ204)</t>
  </si>
  <si>
    <t>ESR03EZPJ205</t>
  </si>
  <si>
    <t>RES SMD 2M OHM 5% 1/4W 0603</t>
  </si>
  <si>
    <t>RHM2MDCT-ND</t>
  </si>
  <si>
    <t>Link (RHM2MDCT-ND)</t>
  </si>
  <si>
    <t>755-ESR03EZPJ205</t>
  </si>
  <si>
    <t>Link (755-ESR03EZPJ205)</t>
  </si>
  <si>
    <t>ESR03EZPJ220</t>
  </si>
  <si>
    <t>RES SMD 22 OHM 5% 1/4W 0603</t>
  </si>
  <si>
    <t>RHM22DCT-ND</t>
  </si>
  <si>
    <t>Link (RHM22DCT-ND)</t>
  </si>
  <si>
    <t>755-ESR03EZPJ220</t>
  </si>
  <si>
    <t>Link (755-ESR03EZPJ220)</t>
  </si>
  <si>
    <t>ESR03EZPJ221</t>
  </si>
  <si>
    <t>RES SMD 220 OHM 5% 1/4W 0603</t>
  </si>
  <si>
    <t>RHM220DCT-ND</t>
  </si>
  <si>
    <t>Link (RHM220DCT-ND)</t>
  </si>
  <si>
    <t>755-ESR03EZPJ221</t>
  </si>
  <si>
    <t>Link (755-ESR03EZPJ221)</t>
  </si>
  <si>
    <t>ESR03EZPJ222</t>
  </si>
  <si>
    <t>D100-014</t>
  </si>
  <si>
    <t>RES SMD 2.2K OHM 5% 1/4W 0603</t>
  </si>
  <si>
    <t>RHM2.2KDCT-ND</t>
  </si>
  <si>
    <t>Link (RHM2.2KDCT-ND)</t>
  </si>
  <si>
    <t>755-ESR03EZPJ222</t>
  </si>
  <si>
    <t>Link (755-ESR03EZPJ222)</t>
  </si>
  <si>
    <t>ESR03EZPJ223</t>
  </si>
  <si>
    <t>RES SMD 22K OHM 5% 1/4W 0603</t>
  </si>
  <si>
    <t>RHM22KDCT-ND</t>
  </si>
  <si>
    <t>Link (RHM22KDCT-ND)</t>
  </si>
  <si>
    <t>755-ESR03EZPJ223</t>
  </si>
  <si>
    <t>Link (755-ESR03EZPJ223)</t>
  </si>
  <si>
    <t>ESR03EZPJ224</t>
  </si>
  <si>
    <t>RES SMD 220K OHM 5% 1/4W 0603</t>
  </si>
  <si>
    <t>RHM220KDCT-ND</t>
  </si>
  <si>
    <t>Link (RHM220KDCT-ND)</t>
  </si>
  <si>
    <t>755-ESR03EZPJ224</t>
  </si>
  <si>
    <t>Link (755-ESR03EZPJ224)</t>
  </si>
  <si>
    <t>ESR03EZPJ225</t>
  </si>
  <si>
    <t>RES SMD 2.2M OHM 5% 1/4W 0603</t>
  </si>
  <si>
    <t>RHM2.2MDCT-ND</t>
  </si>
  <si>
    <t>Link (RHM2.2MDCT-ND)</t>
  </si>
  <si>
    <t>755-ESR03EZPJ225</t>
  </si>
  <si>
    <t>Link (755-ESR03EZPJ225)</t>
  </si>
  <si>
    <t>ESR03EZPJ240</t>
  </si>
  <si>
    <t>RES SMD 24 OHM 5% 1/4W 0603</t>
  </si>
  <si>
    <t>RHM24DCT-ND</t>
  </si>
  <si>
    <t>Link (RHM24DCT-ND)</t>
  </si>
  <si>
    <t>755-ESR03EZPJ240</t>
  </si>
  <si>
    <t>Link (755-ESR03EZPJ240)</t>
  </si>
  <si>
    <t>ESR03EZPJ241</t>
  </si>
  <si>
    <t>RES SMD 240 OHM 5% 1/4W 0603</t>
  </si>
  <si>
    <t>RHM240DCT-ND</t>
  </si>
  <si>
    <t>Link (RHM240DCT-ND)</t>
  </si>
  <si>
    <t>755-ESR03EZPJ241</t>
  </si>
  <si>
    <t>Link (755-ESR03EZPJ241)</t>
  </si>
  <si>
    <t>ESR03EZPJ242</t>
  </si>
  <si>
    <t>RES SMD 2.4K OHM 5% 1/4W 0603</t>
  </si>
  <si>
    <t>RHM2.4KDCT-ND</t>
  </si>
  <si>
    <t>Link (RHM2.4KDCT-ND)</t>
  </si>
  <si>
    <t>755-ESR03EZPJ242</t>
  </si>
  <si>
    <t>Link (755-ESR03EZPJ242)</t>
  </si>
  <si>
    <t>ESR03EZPJ243</t>
  </si>
  <si>
    <t>RES SMD 24K OHM 5% 1/4W 0603</t>
  </si>
  <si>
    <t>RHM24KDCT-ND</t>
  </si>
  <si>
    <t>Link (RHM24KDCT-ND)</t>
  </si>
  <si>
    <t>755-ESR03EZPJ243</t>
  </si>
  <si>
    <t>Link (755-ESR03EZPJ243)</t>
  </si>
  <si>
    <t>ESR03EZPJ244</t>
  </si>
  <si>
    <t>RES SMD 240K OHM 5% 1/4W 0603</t>
  </si>
  <si>
    <t>RHM240KDCT-ND</t>
  </si>
  <si>
    <t>Link (RHM240KDCT-ND)</t>
  </si>
  <si>
    <t>755-ESR03EZPJ244</t>
  </si>
  <si>
    <t>Link (755-ESR03EZPJ244)</t>
  </si>
  <si>
    <t>ESR03EZPJ245</t>
  </si>
  <si>
    <t>RES SMD 2.4M OHM 5% 1/4W 0603</t>
  </si>
  <si>
    <t>RHM2.4MDCT-ND</t>
  </si>
  <si>
    <t>Link (RHM2.4MDCT-ND)</t>
  </si>
  <si>
    <t>755-ESR03EZPJ245</t>
  </si>
  <si>
    <t>Link (755-ESR03EZPJ245)</t>
  </si>
  <si>
    <t>ESR03EZPJ270</t>
  </si>
  <si>
    <t>RES SMD 27 OHM 5% 1/4W 0603</t>
  </si>
  <si>
    <t>RHM27DCT-ND</t>
  </si>
  <si>
    <t>Link (RHM27DCT-ND)</t>
  </si>
  <si>
    <t>755-ESR03EZPJ270</t>
  </si>
  <si>
    <t>Link (755-ESR03EZPJ270)</t>
  </si>
  <si>
    <t>D100-009</t>
  </si>
  <si>
    <t>RES SMD 270 OHM 5% 1/4W 0603</t>
  </si>
  <si>
    <t>RHM270DCT-ND</t>
  </si>
  <si>
    <t>Link (RHM270DCT-ND)</t>
  </si>
  <si>
    <t>755-ESR03EZPJ271</t>
  </si>
  <si>
    <t>Link (755-ESR03EZPJ271)</t>
  </si>
  <si>
    <t>ESR03EZPJ272</t>
  </si>
  <si>
    <t>D100-011</t>
  </si>
  <si>
    <t>RES SMD 2.7K OHM 5% 1/4W 0603</t>
  </si>
  <si>
    <t>RHM2.7KDCT-ND</t>
  </si>
  <si>
    <t>Link (RHM2.7KDCT-ND)</t>
  </si>
  <si>
    <t>755-ESR03EZPJ272</t>
  </si>
  <si>
    <t>Link (755-ESR03EZPJ272)</t>
  </si>
  <si>
    <t>D100-001</t>
  </si>
  <si>
    <t>RES SMD 27K OHM 5% 1/4W 0603</t>
  </si>
  <si>
    <t>RHM27KDCT-ND</t>
  </si>
  <si>
    <t>Link (RHM27KDCT-ND)</t>
  </si>
  <si>
    <t>755-ESR03EZPJ273</t>
  </si>
  <si>
    <t>Link (755-ESR03EZPJ273)</t>
  </si>
  <si>
    <t>ESR03EZPJ274</t>
  </si>
  <si>
    <t>RES SMD 270K OHM 5% 1/4W 0603</t>
  </si>
  <si>
    <t>RHM270KDCT-ND</t>
  </si>
  <si>
    <t>Link (RHM270KDCT-ND)</t>
  </si>
  <si>
    <t>755-ESR03EZPJ274</t>
  </si>
  <si>
    <t>Link (755-ESR03EZPJ274)</t>
  </si>
  <si>
    <t>ESR03EZPJ2R0</t>
  </si>
  <si>
    <t>RES SMD 2 OHM 5% 1/4W 0603</t>
  </si>
  <si>
    <t>RHM2DCT-ND</t>
  </si>
  <si>
    <t>Link (RHM2DCT-ND)</t>
  </si>
  <si>
    <t>755-ESR03EZPJ2R0</t>
  </si>
  <si>
    <t>Link (755-ESR03EZPJ2R0)</t>
  </si>
  <si>
    <t>ESR03EZPJ2R2</t>
  </si>
  <si>
    <t>RES SMD 2.2 OHM 5% 1/4W 0603</t>
  </si>
  <si>
    <t>RHM2.2DCT-ND</t>
  </si>
  <si>
    <t>Link (RHM2.2DCT-ND)</t>
  </si>
  <si>
    <t>755-ESR03EZPJ2R2</t>
  </si>
  <si>
    <t>Link (755-ESR03EZPJ2R2)</t>
  </si>
  <si>
    <t>ESR03EZPJ2R4</t>
  </si>
  <si>
    <t>RES SMD 2.4 OHM 5% 1/4W 0603</t>
  </si>
  <si>
    <t>RHM2.4DCT-ND</t>
  </si>
  <si>
    <t>Link (RHM2.4DCT-ND)</t>
  </si>
  <si>
    <t>755-ESR03EZPJ2R4</t>
  </si>
  <si>
    <t>Link (755-ESR03EZPJ2R4)</t>
  </si>
  <si>
    <t>ESR03EZPJ2R7</t>
  </si>
  <si>
    <t>RES SMD 2.7 OHM 5% 1/4W 0603</t>
  </si>
  <si>
    <t>RHM2.7DCT-ND</t>
  </si>
  <si>
    <t>Link (RHM2.7DCT-ND)</t>
  </si>
  <si>
    <t>755-ESR03EZPJ2R7</t>
  </si>
  <si>
    <t>Link (755-ESR03EZPJ2R7)</t>
  </si>
  <si>
    <t>ESR03EZPJ300</t>
  </si>
  <si>
    <t>RES SMD 30 OHM 5% 1/4W 0603</t>
  </si>
  <si>
    <t>RHM30DCT-ND</t>
  </si>
  <si>
    <t>Link (RHM30DCT-ND)</t>
  </si>
  <si>
    <t>755-ESR03EZPJ300</t>
  </si>
  <si>
    <t>Link (755-ESR03EZPJ300)</t>
  </si>
  <si>
    <t>ESR03EZPJ301</t>
  </si>
  <si>
    <t>RES SMD 300 OHM 5% 1/4W 0603</t>
  </si>
  <si>
    <t>RHM300DCT-ND</t>
  </si>
  <si>
    <t>Link (RHM300DCT-ND)</t>
  </si>
  <si>
    <t>755-ESR03EZPJ301</t>
  </si>
  <si>
    <t>Link (755-ESR03EZPJ301)</t>
  </si>
  <si>
    <t>ESR03EZPJ302</t>
  </si>
  <si>
    <t>RES SMD 3K OHM 5% 1/4W 0603</t>
  </si>
  <si>
    <t>RHM3KDCT-ND</t>
  </si>
  <si>
    <t>Link (RHM3KDCT-ND)</t>
  </si>
  <si>
    <t>755-ESR03EZPJ302</t>
  </si>
  <si>
    <t>Link (755-ESR03EZPJ302)</t>
  </si>
  <si>
    <t>ESR03EZPJ303</t>
  </si>
  <si>
    <t>RES SMD 30K OHM 5% 1/4W 0603</t>
  </si>
  <si>
    <t>RHM30KDCT-ND</t>
  </si>
  <si>
    <t>Link (RHM30KDCT-ND)</t>
  </si>
  <si>
    <t>755-ESR03EZPJ303</t>
  </si>
  <si>
    <t>Link (755-ESR03EZPJ303)</t>
  </si>
  <si>
    <t>ESR03EZPJ304</t>
  </si>
  <si>
    <t>RES SMD 300K OHM 5% 1/4W 0603</t>
  </si>
  <si>
    <t>RHM300KDCT-ND</t>
  </si>
  <si>
    <t>Link (RHM300KDCT-ND)</t>
  </si>
  <si>
    <t>755-ESR03EZPJ304</t>
  </si>
  <si>
    <t>Link (755-ESR03EZPJ304)</t>
  </si>
  <si>
    <t>ESR03EZPJ305</t>
  </si>
  <si>
    <t>RES SMD 3M OHM 5% 1/4W 0603</t>
  </si>
  <si>
    <t>RHM3MDCT-ND</t>
  </si>
  <si>
    <t>Link (RHM3MDCT-ND)</t>
  </si>
  <si>
    <t>755-ESR03EZPJ305</t>
  </si>
  <si>
    <t>Link (755-ESR03EZPJ305)</t>
  </si>
  <si>
    <t>ESR03EZPJ330</t>
  </si>
  <si>
    <t>RES SMD 33 OHM 5% 1/4W 0603</t>
  </si>
  <si>
    <t>RHM33DCT-ND</t>
  </si>
  <si>
    <t>Link (RHM33DCT-ND)</t>
  </si>
  <si>
    <t>755-ESR03EZPJ330</t>
  </si>
  <si>
    <t>Link (755-ESR03EZPJ330)</t>
  </si>
  <si>
    <t>D100-004</t>
  </si>
  <si>
    <t>RES SMD 330 OHM 5% 1/4W 0603</t>
  </si>
  <si>
    <t>RHM330DCT-ND</t>
  </si>
  <si>
    <t>Link (RHM330DCT-ND)</t>
  </si>
  <si>
    <t>755-ESR03EZPJ331</t>
  </si>
  <si>
    <t>Link (755-ESR03EZPJ331)</t>
  </si>
  <si>
    <t>ESR03EZPJ332</t>
  </si>
  <si>
    <t>D100-018</t>
  </si>
  <si>
    <t>RES SMD 3.3K OHM 5% 1/4W 0603</t>
  </si>
  <si>
    <t>RHM3.3KDCT-ND</t>
  </si>
  <si>
    <t>Link (RHM3.3KDCT-ND)</t>
  </si>
  <si>
    <t>755-ESR03EZPJ332</t>
  </si>
  <si>
    <t>Link (755-ESR03EZPJ332)</t>
  </si>
  <si>
    <t>ESR03EZPJ333</t>
  </si>
  <si>
    <t>RES SMD 33K OHM 5% 1/4W 0603</t>
  </si>
  <si>
    <t>RHM33KDCT-ND</t>
  </si>
  <si>
    <t>Link (RHM33KDCT-ND)</t>
  </si>
  <si>
    <t>755-ESR03EZPJ333</t>
  </si>
  <si>
    <t>Link (755-ESR03EZPJ333)</t>
  </si>
  <si>
    <t>ESR03EZPJ334</t>
  </si>
  <si>
    <t>RES SMD 330K OHM 5% 1/4W 0603</t>
  </si>
  <si>
    <t>RHM330KDCT-ND</t>
  </si>
  <si>
    <t>Link (RHM330KDCT-ND)</t>
  </si>
  <si>
    <t>755-ESR03EZPJ334</t>
  </si>
  <si>
    <t>Link (755-ESR03EZPJ334)</t>
  </si>
  <si>
    <t>ESR03EZPJ335</t>
  </si>
  <si>
    <t>RES SMD 3.3M OHM 5% 1/4W 0603</t>
  </si>
  <si>
    <t>RHM3.3MDCT-ND</t>
  </si>
  <si>
    <t>Link (RHM3.3MDCT-ND)</t>
  </si>
  <si>
    <t>755-ESR03EZPJ335</t>
  </si>
  <si>
    <t>Link (755-ESR03EZPJ335)</t>
  </si>
  <si>
    <t>ESR03EZPJ360</t>
  </si>
  <si>
    <t>RES SMD 36 OHM 5% 1/4W 0603</t>
  </si>
  <si>
    <t>RHM36DCT-ND</t>
  </si>
  <si>
    <t>Link (RHM36DCT-ND)</t>
  </si>
  <si>
    <t>755-ESR03EZPJ360</t>
  </si>
  <si>
    <t>Link (755-ESR03EZPJ360)</t>
  </si>
  <si>
    <t>ESR03EZPJ361</t>
  </si>
  <si>
    <t>RES SMD 360 OHM 5% 1/4W 0603</t>
  </si>
  <si>
    <t>RHM360DCT-ND</t>
  </si>
  <si>
    <t>Link (RHM360DCT-ND)</t>
  </si>
  <si>
    <t>755-ESR03EZPJ361</t>
  </si>
  <si>
    <t>Link (755-ESR03EZPJ361)</t>
  </si>
  <si>
    <t>ESR03EZPJ362</t>
  </si>
  <si>
    <t>RES SMD 3.6K OHM 5% 1/4W 0603</t>
  </si>
  <si>
    <t>RHM3.6KDCT-ND</t>
  </si>
  <si>
    <t>Link (RHM3.6KDCT-ND)</t>
  </si>
  <si>
    <t>755-ESR03EZPJ362</t>
  </si>
  <si>
    <t>Link (755-ESR03EZPJ362)</t>
  </si>
  <si>
    <t>ESR03EZPJ363</t>
  </si>
  <si>
    <t>RES SMD 36K OHM 5% 1/4W 0603</t>
  </si>
  <si>
    <t>RHM36KDCT-ND</t>
  </si>
  <si>
    <t>Link (RHM36KDCT-ND)</t>
  </si>
  <si>
    <t>755-ESR03EZPJ363</t>
  </si>
  <si>
    <t>Link (755-ESR03EZPJ363)</t>
  </si>
  <si>
    <t>ESR03EZPJ365</t>
  </si>
  <si>
    <t>RES SMD 3.6M OHM 5% 1/4W 0603</t>
  </si>
  <si>
    <t>RHM3.6MDCT-ND</t>
  </si>
  <si>
    <t>Link (RHM3.6MDCT-ND)</t>
  </si>
  <si>
    <t>755-ESR03EZPJ365</t>
  </si>
  <si>
    <t>Link (755-ESR03EZPJ365)</t>
  </si>
  <si>
    <t>ESR03EZPJ390</t>
  </si>
  <si>
    <t>RES SMD 39 OHM 5% 1/4W 0603</t>
  </si>
  <si>
    <t>RHM39DCT-ND</t>
  </si>
  <si>
    <t>Link (RHM39DCT-ND)</t>
  </si>
  <si>
    <t>755-ESR03EZPJ390</t>
  </si>
  <si>
    <t>Link (755-ESR03EZPJ390)</t>
  </si>
  <si>
    <t>ESR03EZPJ391</t>
  </si>
  <si>
    <t>RES SMD 390 OHM 5% 1/4W 0603</t>
  </si>
  <si>
    <t>RHM390DCT-ND</t>
  </si>
  <si>
    <t>Link (RHM390DCT-ND)</t>
  </si>
  <si>
    <t>755-ESR03EZPJ391</t>
  </si>
  <si>
    <t>Link (755-ESR03EZPJ391)</t>
  </si>
  <si>
    <t>ESR03EZPJ392</t>
  </si>
  <si>
    <t>D100-017</t>
  </si>
  <si>
    <t>RES SMD 3.9K OHM 5% 1/4W 0603</t>
  </si>
  <si>
    <t>RHM3.9KDCT-ND</t>
  </si>
  <si>
    <t>Link (RHM3.9KDCT-ND)</t>
  </si>
  <si>
    <t>755-ESR03EZPJ392</t>
  </si>
  <si>
    <t>Link (755-ESR03EZPJ392)</t>
  </si>
  <si>
    <t>ESR03EZPJ393</t>
  </si>
  <si>
    <t>RES SMD 39K OHM 5% 1/4W 0603</t>
  </si>
  <si>
    <t>RHM39KDCT-ND</t>
  </si>
  <si>
    <t>Link (RHM39KDCT-ND)</t>
  </si>
  <si>
    <t>755-ESR03EZPJ393</t>
  </si>
  <si>
    <t>Link (755-ESR03EZPJ393)</t>
  </si>
  <si>
    <t>ESR03EZPJ394</t>
  </si>
  <si>
    <t>RES SMD 390K OHM 5% 1/4W 0603</t>
  </si>
  <si>
    <t>RHM390KDCT-ND</t>
  </si>
  <si>
    <t>Link (RHM390KDCT-ND)</t>
  </si>
  <si>
    <t>755-ESR03EZPJ394</t>
  </si>
  <si>
    <t>Link (755-ESR03EZPJ394)</t>
  </si>
  <si>
    <t>ESR03EZPJ395</t>
  </si>
  <si>
    <t>RES SMD 3.9M OHM 5% 1/4W 0603</t>
  </si>
  <si>
    <t>RHM3.9MDCT-ND</t>
  </si>
  <si>
    <t>Link (RHM3.9MDCT-ND)</t>
  </si>
  <si>
    <t>755-ESR03EZPJ395</t>
  </si>
  <si>
    <t>Link (755-ESR03EZPJ395)</t>
  </si>
  <si>
    <t>ESR03EZPJ3R0</t>
  </si>
  <si>
    <t>RES SMD 3 OHM 5% 1/4W 0603</t>
  </si>
  <si>
    <t>RHM3DCT-ND</t>
  </si>
  <si>
    <t>Link (RHM3DCT-ND)</t>
  </si>
  <si>
    <t>755-ESR03EZPJ3R0</t>
  </si>
  <si>
    <t>Link (755-ESR03EZPJ3R0)</t>
  </si>
  <si>
    <t>ESR03EZPJ3R3</t>
  </si>
  <si>
    <t>RES SMD 3.3 OHM 5% 1/4W 0603</t>
  </si>
  <si>
    <t>RHM303DCT-ND</t>
  </si>
  <si>
    <t>Link (RHM303DCT-ND)</t>
  </si>
  <si>
    <t>755-ESR03EZPJ3R3</t>
  </si>
  <si>
    <t>Link (755-ESR03EZPJ3R3)</t>
  </si>
  <si>
    <t>ESR03EZPJ3R6</t>
  </si>
  <si>
    <t>RES SMD 3.6 OHM 5% 1/4W 0603</t>
  </si>
  <si>
    <t>RHM3.6DCT-ND</t>
  </si>
  <si>
    <t>Link (RHM3.6DCT-ND)</t>
  </si>
  <si>
    <t>755-ESR03EZPJ3R6</t>
  </si>
  <si>
    <t>Link (755-ESR03EZPJ3R6)</t>
  </si>
  <si>
    <t>ESR03EZPJ3R9</t>
  </si>
  <si>
    <t>RES SMD 3.9 OHM 5% 1/4W 0603</t>
  </si>
  <si>
    <t>RHM3.9DCT-ND</t>
  </si>
  <si>
    <t>Link (RHM3.9DCT-ND)</t>
  </si>
  <si>
    <t>755-ESR03EZPJ3R9</t>
  </si>
  <si>
    <t>Link (755-ESR03EZPJ3R9)</t>
  </si>
  <si>
    <t>ESR03EZPJ430</t>
  </si>
  <si>
    <t>RES SMD 43 OHM 5% 1/4W 0603</t>
  </si>
  <si>
    <t>RHM43DCT-ND</t>
  </si>
  <si>
    <t>Link (RHM43DCT-ND)</t>
  </si>
  <si>
    <t>755-ESR03EZPJ430</t>
  </si>
  <si>
    <t>Link (755-ESR03EZPJ430)</t>
  </si>
  <si>
    <t>ESR03EZPJ431</t>
  </si>
  <si>
    <t>RES SMD 430 OHM 5% 1/4W 0603</t>
  </si>
  <si>
    <t>RHM430DCT-ND</t>
  </si>
  <si>
    <t>Link (RHM430DCT-ND)</t>
  </si>
  <si>
    <t>755-ESR03EZPJ431</t>
  </si>
  <si>
    <t>Link (755-ESR03EZPJ431)</t>
  </si>
  <si>
    <t>ESR03EZPJ432</t>
  </si>
  <si>
    <t>RES SMD 4.3K OHM 5% 1/4W 0603</t>
  </si>
  <si>
    <t>RHM4.3KDCT-ND</t>
  </si>
  <si>
    <t>Link (RHM4.3KDCT-ND)</t>
  </si>
  <si>
    <t>755-ESR03EZPJ432</t>
  </si>
  <si>
    <t>Link (755-ESR03EZPJ432)</t>
  </si>
  <si>
    <t>ESR03EZPJ433</t>
  </si>
  <si>
    <t>RES SMD 43K OHM 5% 1/4W 0603</t>
  </si>
  <si>
    <t>RHM43KDCT-ND</t>
  </si>
  <si>
    <t>Link (RHM43KDCT-ND)</t>
  </si>
  <si>
    <t>755-ESR03EZPJ433</t>
  </si>
  <si>
    <t>Link (755-ESR03EZPJ433)</t>
  </si>
  <si>
    <t>ESR03EZPJ434</t>
  </si>
  <si>
    <t>RES SMD 430K OHM 5% 1/4W 0603</t>
  </si>
  <si>
    <t>RHM430KDCT-ND</t>
  </si>
  <si>
    <t>Link (RHM430KDCT-ND)</t>
  </si>
  <si>
    <t>755-ESR03EZPJ434</t>
  </si>
  <si>
    <t>Link (755-ESR03EZPJ434)</t>
  </si>
  <si>
    <t>ESR03EZPJ470</t>
  </si>
  <si>
    <t>RES SMD 47 OHM 5% 1/4W 0603</t>
  </si>
  <si>
    <t>RHM47DCT-ND</t>
  </si>
  <si>
    <t>Link (RHM47DCT-ND)</t>
  </si>
  <si>
    <t>755-ESR03EZPJ470</t>
  </si>
  <si>
    <t>Link (755-ESR03EZPJ470)</t>
  </si>
  <si>
    <t>ESR03EZPJ471</t>
  </si>
  <si>
    <t>RES SMD 470 OHM 5% 1/4W 0603</t>
  </si>
  <si>
    <t>RHM470DCT-ND</t>
  </si>
  <si>
    <t>Link (RHM470DCT-ND)</t>
  </si>
  <si>
    <t>755-ESR03EZPJ471</t>
  </si>
  <si>
    <t>Link (755-ESR03EZPJ471)</t>
  </si>
  <si>
    <t>D100-005</t>
  </si>
  <si>
    <t>RES SMD 4.7K OHM 5% 1/4W 0603</t>
  </si>
  <si>
    <t>RHM4.7KDCT-ND</t>
  </si>
  <si>
    <t>Link (RHM4.7KDCT-ND)</t>
  </si>
  <si>
    <t>755-ESR03EZPJ472</t>
  </si>
  <si>
    <t>Link (755-ESR03EZPJ472)</t>
  </si>
  <si>
    <t>ESR03EZPJ473</t>
  </si>
  <si>
    <t>RES SMD 47K OHM 5% 1/4W 0603</t>
  </si>
  <si>
    <t>RHM47KDCT-ND</t>
  </si>
  <si>
    <t>Link (RHM47KDCT-ND)</t>
  </si>
  <si>
    <t>755-ESR03EZPJ473</t>
  </si>
  <si>
    <t>Link (755-ESR03EZPJ473)</t>
  </si>
  <si>
    <t>ESR03EZPJ474</t>
  </si>
  <si>
    <t>RES SMD 470K OHM 5% 1/4W 0603</t>
  </si>
  <si>
    <t>RHM470KDCT-ND</t>
  </si>
  <si>
    <t>Link (RHM470KDCT-ND)</t>
  </si>
  <si>
    <t>755-ESR03EZPJ474</t>
  </si>
  <si>
    <t>Link (755-ESR03EZPJ474)</t>
  </si>
  <si>
    <t>ESR03EZPJ475</t>
  </si>
  <si>
    <t>RES SMD 4.7M OHM 5% 1/4W 0603</t>
  </si>
  <si>
    <t>RHM4.7MDCT-ND</t>
  </si>
  <si>
    <t>Link (RHM4.7MDCT-ND)</t>
  </si>
  <si>
    <t>755-ESR03EZPJ475</t>
  </si>
  <si>
    <t>Link (755-ESR03EZPJ475)</t>
  </si>
  <si>
    <t>ESR03EZPJ4R3</t>
  </si>
  <si>
    <t>RES SMD 4.3 OHM 5% 1/4W 0603</t>
  </si>
  <si>
    <t>RHM4.3DCT-ND</t>
  </si>
  <si>
    <t>Link (RHM4.3DCT-ND)</t>
  </si>
  <si>
    <t>755-ESR03EZPJ4R3</t>
  </si>
  <si>
    <t>Link (755-ESR03EZPJ4R3)</t>
  </si>
  <si>
    <t>ESR03EZPJ4R7</t>
  </si>
  <si>
    <t>RES SMD 4.7 OHM 5% 1/4W 0603</t>
  </si>
  <si>
    <t>RHM4.7DCT-ND</t>
  </si>
  <si>
    <t>Link (RHM4.7DCT-ND)</t>
  </si>
  <si>
    <t>755-ESR03EZPJ4R7</t>
  </si>
  <si>
    <t>Link (755-ESR03EZPJ4R7)</t>
  </si>
  <si>
    <t>ESR03EZPJ510</t>
  </si>
  <si>
    <t>RES SMD 51 OHM 5% 1/4W 0603</t>
  </si>
  <si>
    <t>RHM51DCT-ND</t>
  </si>
  <si>
    <t>Link (RHM51DCT-ND)</t>
  </si>
  <si>
    <t>755-ESR03EZPJ510</t>
  </si>
  <si>
    <t>Link (755-ESR03EZPJ510)</t>
  </si>
  <si>
    <t>ESR03EZPJ511</t>
  </si>
  <si>
    <t>RES SMD 510 OHM 5% 1/4W 0603</t>
  </si>
  <si>
    <t>RHM510DCT-ND</t>
  </si>
  <si>
    <t>Link (RHM510DCT-ND)</t>
  </si>
  <si>
    <t>755-ESR03EZPJ511</t>
  </si>
  <si>
    <t>Link (755-ESR03EZPJ511)</t>
  </si>
  <si>
    <t>ESR03EZPJ512</t>
  </si>
  <si>
    <t>RES SMD 5.1K OHM 5% 1/4W 0603</t>
  </si>
  <si>
    <t>RHM5.1KDCT-ND</t>
  </si>
  <si>
    <t>Link (RHM5.1KDCT-ND)</t>
  </si>
  <si>
    <t>755-ESR03EZPJ512</t>
  </si>
  <si>
    <t>Link (755-ESR03EZPJ512)</t>
  </si>
  <si>
    <t>ESR03EZPJ513</t>
  </si>
  <si>
    <t>RES SMD 51K OHM 5% 1/4W 0603</t>
  </si>
  <si>
    <t>RHM51KDCT-ND</t>
  </si>
  <si>
    <t>Link (RHM51KDCT-ND)</t>
  </si>
  <si>
    <t>755-ESR03EZPJ513</t>
  </si>
  <si>
    <t>Link (755-ESR03EZPJ513)</t>
  </si>
  <si>
    <t>ESR03EZPJ514</t>
  </si>
  <si>
    <t>RES SMD 510K OHM 5% 1/4W 0603</t>
  </si>
  <si>
    <t>RHM510KDCT-ND</t>
  </si>
  <si>
    <t>Link (RHM510KDCT-ND)</t>
  </si>
  <si>
    <t>755-ESR03EZPJ514</t>
  </si>
  <si>
    <t>Link (755-ESR03EZPJ514)</t>
  </si>
  <si>
    <t>ESR03EZPJ515</t>
  </si>
  <si>
    <t>RES SMD 5.1M OHM 5% 1/4W 0603</t>
  </si>
  <si>
    <t>RHM5.1MDCT-ND</t>
  </si>
  <si>
    <t>Link (RHM5.1MDCT-ND)</t>
  </si>
  <si>
    <t>755-ESR03EZPJ515</t>
  </si>
  <si>
    <t>Link (755-ESR03EZPJ515)</t>
  </si>
  <si>
    <t>ESR03EZPJ560</t>
  </si>
  <si>
    <t>RES SMD 56 OHM 5% 1/4W 0603</t>
  </si>
  <si>
    <t>RHM56DCT-ND</t>
  </si>
  <si>
    <t>Link (RHM56DCT-ND)</t>
  </si>
  <si>
    <t>755-ESR03EZPJ560</t>
  </si>
  <si>
    <t>Link (755-ESR03EZPJ560)</t>
  </si>
  <si>
    <t>D100-003</t>
  </si>
  <si>
    <t>RES SMD 560 OHM 5% 1/4W 0603</t>
  </si>
  <si>
    <t>RHM560DCT-ND</t>
  </si>
  <si>
    <t>Link (RHM560DCT-ND)</t>
  </si>
  <si>
    <t>755-ESR03EZPJ561</t>
  </si>
  <si>
    <t>Link (755-ESR03EZPJ561)</t>
  </si>
  <si>
    <t>ESR03EZPJ562</t>
  </si>
  <si>
    <t>D100-021</t>
  </si>
  <si>
    <t>RES SMD 5.6K OHM 5% 1/4W 0603</t>
  </si>
  <si>
    <t>RHM5.6KDCT-ND</t>
  </si>
  <si>
    <t>Link (RHM5.6KDCT-ND)</t>
  </si>
  <si>
    <t>755-ESR03EZPJ562</t>
  </si>
  <si>
    <t>Link (755-ESR03EZPJ562)</t>
  </si>
  <si>
    <t>ESR03EZPJ563</t>
  </si>
  <si>
    <t>RES SMD 56K OHM 5% 1/4W 0603</t>
  </si>
  <si>
    <t>RHM56KDCT-ND</t>
  </si>
  <si>
    <t>Link (RHM56KDCT-ND)</t>
  </si>
  <si>
    <t>755-ESR03EZPJ563</t>
  </si>
  <si>
    <t>Link (755-ESR03EZPJ563)</t>
  </si>
  <si>
    <t>ESR03EZPJ564</t>
  </si>
  <si>
    <t>RES SMD 560K OHM 5% 1/4W 0603</t>
  </si>
  <si>
    <t>RHM560KDCT-ND</t>
  </si>
  <si>
    <t>Link (RHM560KDCT-ND)</t>
  </si>
  <si>
    <t>755-ESR03EZPJ564</t>
  </si>
  <si>
    <t>Link (755-ESR03EZPJ564)</t>
  </si>
  <si>
    <t>ESR03EZPJ5R1</t>
  </si>
  <si>
    <t>RES SMD 5.1 OHM 5% 1/4W 0603</t>
  </si>
  <si>
    <t>RHM5.1DCT-ND</t>
  </si>
  <si>
    <t>Link (RHM5.1DCT-ND)</t>
  </si>
  <si>
    <t>755-ESR03EZPJ5R1</t>
  </si>
  <si>
    <t>Link (755-ESR03EZPJ5R1)</t>
  </si>
  <si>
    <t>ESR03EZPJ5R6</t>
  </si>
  <si>
    <t>RES SMD 5.6 OHM 5% 1/4W 0603</t>
  </si>
  <si>
    <t>RHM5.6DCT-ND</t>
  </si>
  <si>
    <t>Link (RHM5.6DCT-ND)</t>
  </si>
  <si>
    <t>755-ESR03EZPJ5R6</t>
  </si>
  <si>
    <t>Link (755-ESR03EZPJ5R6)</t>
  </si>
  <si>
    <t>ESR03EZPJ620</t>
  </si>
  <si>
    <t>RES SMD 62 OHM 5% 1/4W 0603</t>
  </si>
  <si>
    <t>RHM62DCT-ND</t>
  </si>
  <si>
    <t>Link (RHM62DCT-ND)</t>
  </si>
  <si>
    <t>755-ESR03EZPJ620</t>
  </si>
  <si>
    <t>Link (755-ESR03EZPJ620)</t>
  </si>
  <si>
    <t>ESR03EZPJ621</t>
  </si>
  <si>
    <t>RES SMD 620 OHM 5% 1/4W 0603</t>
  </si>
  <si>
    <t>RHM620DCT-ND</t>
  </si>
  <si>
    <t>Link (RHM620DCT-ND)</t>
  </si>
  <si>
    <t>755-ESR03EZPJ621</t>
  </si>
  <si>
    <t>Link (755-ESR03EZPJ621)</t>
  </si>
  <si>
    <t>ESR03EZPJ622</t>
  </si>
  <si>
    <t>RES SMD 6.2K OHM 5% 1/4W 0603</t>
  </si>
  <si>
    <t>RHM6.2KDCT-ND</t>
  </si>
  <si>
    <t>Link (RHM6.2KDCT-ND)</t>
  </si>
  <si>
    <t>755-ESR03EZPJ622</t>
  </si>
  <si>
    <t>Link (755-ESR03EZPJ622)</t>
  </si>
  <si>
    <t>ESR03EZPJ623</t>
  </si>
  <si>
    <t>RES SMD 62K OHM 5% 1/4W 0603</t>
  </si>
  <si>
    <t>RHM62KDCT-ND</t>
  </si>
  <si>
    <t>Link (RHM62KDCT-ND)</t>
  </si>
  <si>
    <t>755-ESR03EZPJ623</t>
  </si>
  <si>
    <t>Link (755-ESR03EZPJ623)</t>
  </si>
  <si>
    <t>ESR03EZPJ680</t>
  </si>
  <si>
    <t>RES SMD 68 OHM 5% 1/4W 0603</t>
  </si>
  <si>
    <t>RHM68DCT-ND</t>
  </si>
  <si>
    <t>Link (RHM68DCT-ND)</t>
  </si>
  <si>
    <t>755-ESR03EZPJ680</t>
  </si>
  <si>
    <t>Link (755-ESR03EZPJ680)</t>
  </si>
  <si>
    <t>ESR03EZPJ681</t>
  </si>
  <si>
    <t>RES SMD 680 OHM 5% 1/4W 0603</t>
  </si>
  <si>
    <t>RHM680DCT-ND</t>
  </si>
  <si>
    <t>Link (RHM680DCT-ND)</t>
  </si>
  <si>
    <t>755-ESR03EZPJ681</t>
  </si>
  <si>
    <t>Link (755-ESR03EZPJ681)</t>
  </si>
  <si>
    <t>ESR03EZPJ682</t>
  </si>
  <si>
    <t>D100-013</t>
  </si>
  <si>
    <t>RES SMD 6.8K OHM 5% 1/4W 0603</t>
  </si>
  <si>
    <t>RHM6.8KDCT-ND</t>
  </si>
  <si>
    <t>Link (RHM6.8KDCT-ND)</t>
  </si>
  <si>
    <t>755-ESR03EZPJ682</t>
  </si>
  <si>
    <t>Link (755-ESR03EZPJ682)</t>
  </si>
  <si>
    <t>ESR03EZPJ683</t>
  </si>
  <si>
    <t>RES SMD 68K OHM 5% 1/4W 0603</t>
  </si>
  <si>
    <t>RHM68KDCT-ND</t>
  </si>
  <si>
    <t>Link (RHM68KDCT-ND)</t>
  </si>
  <si>
    <t>755-ESR03EZPJ683</t>
  </si>
  <si>
    <t>Link (755-ESR03EZPJ683)</t>
  </si>
  <si>
    <t>ESR03EZPJ684</t>
  </si>
  <si>
    <t>RES SMD 680K OHM 5% 1/4W 0603</t>
  </si>
  <si>
    <t>RHM680KDCT-ND</t>
  </si>
  <si>
    <t>Link (RHM680KDCT-ND)</t>
  </si>
  <si>
    <t>755-ESR03EZPJ684</t>
  </si>
  <si>
    <t>Link (755-ESR03EZPJ684)</t>
  </si>
  <si>
    <t>ESR03EZPJ685</t>
  </si>
  <si>
    <t>RES SMD 6.8M OHM 5% 1/4W 0603</t>
  </si>
  <si>
    <t>RHM6.8MDCT-ND</t>
  </si>
  <si>
    <t>Link (RHM6.8MDCT-ND)</t>
  </si>
  <si>
    <t>755-ESR03EZPJ685</t>
  </si>
  <si>
    <t>Link (755-ESR03EZPJ685)</t>
  </si>
  <si>
    <t>ESR03EZPJ6R2</t>
  </si>
  <si>
    <t>RES SMD 6.2 OHM 5% 1/4W 0603</t>
  </si>
  <si>
    <t>RHM6.2DCT-ND</t>
  </si>
  <si>
    <t>Link (RHM6.2DCT-ND)</t>
  </si>
  <si>
    <t>755-ESR03EZPJ6R2</t>
  </si>
  <si>
    <t>Link (755-ESR03EZPJ6R2)</t>
  </si>
  <si>
    <t>ESR03EZPJ6R8</t>
  </si>
  <si>
    <t>RES SMD 6.8 OHM 5% 1/4W 0603</t>
  </si>
  <si>
    <t>RHM6.8DCT-ND</t>
  </si>
  <si>
    <t>Link (RHM6.8DCT-ND)</t>
  </si>
  <si>
    <t>755-ESR03EZPJ6R8</t>
  </si>
  <si>
    <t>Link (755-ESR03EZPJ6R8)</t>
  </si>
  <si>
    <t>ESR03EZPJ750</t>
  </si>
  <si>
    <t>RES SMD 75 OHM 5% 1/4W 0603</t>
  </si>
  <si>
    <t>RHM75DCT-ND</t>
  </si>
  <si>
    <t>Link (RHM75DCT-ND)</t>
  </si>
  <si>
    <t>755-ESR03EZPJ750</t>
  </si>
  <si>
    <t>Link (755-ESR03EZPJ750)</t>
  </si>
  <si>
    <t>ESR03EZPJ751</t>
  </si>
  <si>
    <t>RES SMD 750 OHM 5% 1/4W 0603</t>
  </si>
  <si>
    <t>RHM750DCT-ND</t>
  </si>
  <si>
    <t>Link (RHM750DCT-ND)</t>
  </si>
  <si>
    <t>755-ESR03EZPJ751</t>
  </si>
  <si>
    <t>Link (755-ESR03EZPJ751)</t>
  </si>
  <si>
    <t>ESR03EZPJ752</t>
  </si>
  <si>
    <t>RES SMD 7.5K OHM 5% 1/4W 0603</t>
  </si>
  <si>
    <t>RHM7.5KDCT-ND</t>
  </si>
  <si>
    <t>Link (RHM7.5KDCT-ND)</t>
  </si>
  <si>
    <t>755-ESR03EZPJ752</t>
  </si>
  <si>
    <t>Link (755-ESR03EZPJ752)</t>
  </si>
  <si>
    <t>ESR03EZPJ753</t>
  </si>
  <si>
    <t>RES SMD 75K OHM 5% 1/4W 0603</t>
  </si>
  <si>
    <t>RHM75KDCT-ND</t>
  </si>
  <si>
    <t>Link (RHM75KDCT-ND)</t>
  </si>
  <si>
    <t>755-ESR03EZPJ753</t>
  </si>
  <si>
    <t>Link (755-ESR03EZPJ753)</t>
  </si>
  <si>
    <t>ESR03EZPJ754</t>
  </si>
  <si>
    <t>RES SMD 750K OHM 5% 1/4W 0603</t>
  </si>
  <si>
    <t>RHM750KDCT-ND</t>
  </si>
  <si>
    <t>Link (RHM750KDCT-ND)</t>
  </si>
  <si>
    <t>755-ESR03EZPJ754</t>
  </si>
  <si>
    <t>Link (755-ESR03EZPJ754)</t>
  </si>
  <si>
    <t>ESR03EZPJ755</t>
  </si>
  <si>
    <t>RES SMD 7.5M OHM 5% 1/4W 0603</t>
  </si>
  <si>
    <t>RHM7.5MDCT-ND</t>
  </si>
  <si>
    <t>Link (RHM7.5MDCT-ND)</t>
  </si>
  <si>
    <t>755-ESR03EZPJ755</t>
  </si>
  <si>
    <t>Link (755-ESR03EZPJ755)</t>
  </si>
  <si>
    <t>ESR03EZPJ7R5</t>
  </si>
  <si>
    <t>RES SMD 7.5 OHM 5% 1/4W 0603</t>
  </si>
  <si>
    <t>RHM7.5DCT-ND</t>
  </si>
  <si>
    <t>Link (RHM7.5DCT-ND)</t>
  </si>
  <si>
    <t>755-ESR03EZPJ7R5</t>
  </si>
  <si>
    <t>Link (755-ESR03EZPJ7R5)</t>
  </si>
  <si>
    <t>ESR03EZPJ820</t>
  </si>
  <si>
    <t>RES SMD 82 OHM 5% 1/4W 0603</t>
  </si>
  <si>
    <t>RHM82DCT-ND</t>
  </si>
  <si>
    <t>Link (RHM82DCT-ND)</t>
  </si>
  <si>
    <t>755-ESR03EZPJ820</t>
  </si>
  <si>
    <t>Link (755-ESR03EZPJ820)</t>
  </si>
  <si>
    <t>ESR03EZPJ821</t>
  </si>
  <si>
    <t>RES SMD 820 OHM 5% 1/4W 0603</t>
  </si>
  <si>
    <t>RHM820DCT-ND</t>
  </si>
  <si>
    <t>Link (RHM820DCT-ND)</t>
  </si>
  <si>
    <t>755-ESR03EZPJ821</t>
  </si>
  <si>
    <t>Link (755-ESR03EZPJ821)</t>
  </si>
  <si>
    <t>ESR03EZPJ822</t>
  </si>
  <si>
    <t>D100-016</t>
  </si>
  <si>
    <t>RES SMD 8.2K OHM 5% 1/4W 0603</t>
  </si>
  <si>
    <t>RHM8.2KDCT-ND</t>
  </si>
  <si>
    <t>Link (RHM8.2KDCT-ND)</t>
  </si>
  <si>
    <t>755-ESR03EZPJ822</t>
  </si>
  <si>
    <t>Link (755-ESR03EZPJ822)</t>
  </si>
  <si>
    <t>ESR03EZPJ823</t>
  </si>
  <si>
    <t>RES SMD 82K OHM 5% 1/4W 0603</t>
  </si>
  <si>
    <t>RHM82KDCT-ND</t>
  </si>
  <si>
    <t>Link (RHM82KDCT-ND)</t>
  </si>
  <si>
    <t>755-ESR03EZPJ823</t>
  </si>
  <si>
    <t>Link (755-ESR03EZPJ823)</t>
  </si>
  <si>
    <t>ESR03EZPJ824</t>
  </si>
  <si>
    <t>RES SMD 820K OHM 5% 1/4W 0603</t>
  </si>
  <si>
    <t>RHM820KDCT-ND</t>
  </si>
  <si>
    <t>Link (RHM820KDCT-ND)</t>
  </si>
  <si>
    <t>755-ESR03EZPJ824</t>
  </si>
  <si>
    <t>Link (755-ESR03EZPJ824)</t>
  </si>
  <si>
    <t>ESR03EZPJ825</t>
  </si>
  <si>
    <t>RES SMD 8.2M OHM 5% 1/4W 0603</t>
  </si>
  <si>
    <t>RHM8.2MDCT-ND</t>
  </si>
  <si>
    <t>Link (RHM8.2MDCT-ND)</t>
  </si>
  <si>
    <t>755-ESR03EZPJ825</t>
  </si>
  <si>
    <t>Link (755-ESR03EZPJ825)</t>
  </si>
  <si>
    <t>ESR03EZPJ8R2</t>
  </si>
  <si>
    <t>RES SMD 8.2 OHM 5% 1/4W 0603</t>
  </si>
  <si>
    <t>RHM8.2DCT-ND</t>
  </si>
  <si>
    <t>Link (RHM8.2DCT-ND)</t>
  </si>
  <si>
    <t>755-ESR03EZPJ8R2</t>
  </si>
  <si>
    <t>Link (755-ESR03EZPJ8R2)</t>
  </si>
  <si>
    <t>ESR03EZPJ910</t>
  </si>
  <si>
    <t>RES SMD 91 OHM 5% 1/4W 0603</t>
  </si>
  <si>
    <t>RHM91DCT-ND</t>
  </si>
  <si>
    <t>Link (RHM91DCT-ND)</t>
  </si>
  <si>
    <t>755-ESR03EZPJ910</t>
  </si>
  <si>
    <t>Link (755-ESR03EZPJ910)</t>
  </si>
  <si>
    <t>ESR03EZPJ911</t>
  </si>
  <si>
    <t>RES SMD 910 OHM 5% 1/4W 0603</t>
  </si>
  <si>
    <t>RHM910DCT-ND</t>
  </si>
  <si>
    <t>Link (RHM910DCT-ND)</t>
  </si>
  <si>
    <t>755-ESR03EZPJ911</t>
  </si>
  <si>
    <t>Link (755-ESR03EZPJ911)</t>
  </si>
  <si>
    <t>ESR03EZPJ912</t>
  </si>
  <si>
    <t>RES SMD 9.1K OHM 5% 1/4W 0603</t>
  </si>
  <si>
    <t>RHM9.1KDCT-ND</t>
  </si>
  <si>
    <t>Link (RHM9.1KDCT-ND)</t>
  </si>
  <si>
    <t>755-ESR03EZPJ912</t>
  </si>
  <si>
    <t>Link (755-ESR03EZPJ912)</t>
  </si>
  <si>
    <t>ESR03EZPJ913</t>
  </si>
  <si>
    <t>RES SMD 91K OHM 5% 1/4W 0603</t>
  </si>
  <si>
    <t>RHM91KDCT-ND</t>
  </si>
  <si>
    <t>Link (RHM91KDCT-ND)</t>
  </si>
  <si>
    <t>755-ESR03EZPJ913</t>
  </si>
  <si>
    <t>Link (755-ESR03EZPJ913)</t>
  </si>
  <si>
    <t>ESR03EZPJ914</t>
  </si>
  <si>
    <t>RES SMD 910K OHM 5% 1/4W 0603</t>
  </si>
  <si>
    <t>RHM910KDCT-ND</t>
  </si>
  <si>
    <t>Link (RHM910KDCT-ND)</t>
  </si>
  <si>
    <t>755-ESR03EZPJ914</t>
  </si>
  <si>
    <t>Link (755-ESR03EZPJ914)</t>
  </si>
  <si>
    <t>ESR03EZPJ915</t>
  </si>
  <si>
    <t>RES SMD 9.1M OHM 5% 1/4W 0603</t>
  </si>
  <si>
    <t>RHM9.1MDCT-ND</t>
  </si>
  <si>
    <t>Link (RHM9.1MDCT-ND)</t>
  </si>
  <si>
    <t>755-ESR03EZPJ915</t>
  </si>
  <si>
    <t>Link (755-ESR03EZPJ915)</t>
  </si>
  <si>
    <t>ESR03EZPJ9R1</t>
  </si>
  <si>
    <t>RES SMD 9.1 OHM 5% 1/4W 0603</t>
  </si>
  <si>
    <t>RHM9.1DCT-ND</t>
  </si>
  <si>
    <t>Link (RHM9.1DCT-ND)</t>
  </si>
  <si>
    <t>755-ESR03EZPJ9R1</t>
  </si>
  <si>
    <t>Link (755-ESR03EZPJ9R1)</t>
  </si>
  <si>
    <t>ESR10EZPJ103</t>
  </si>
  <si>
    <t>D101-015</t>
  </si>
  <si>
    <t>RES SMD 10K OHM 5% 0.4W 0805</t>
  </si>
  <si>
    <t>RHM10KKCT-ND</t>
  </si>
  <si>
    <t>Link (RHM10KKCT-ND)</t>
  </si>
  <si>
    <t>D101-011</t>
  </si>
  <si>
    <t>RES SMD 100K OHM 5% 0.4W 0805</t>
  </si>
  <si>
    <t>RHM100KKCT-ND</t>
  </si>
  <si>
    <t>Link (RHM100KKCT-ND)</t>
  </si>
  <si>
    <t>755-ESR10EZPJ104</t>
  </si>
  <si>
    <t>Link (755-ESR10EZPJ104)</t>
  </si>
  <si>
    <t>ESR10EZPJ152</t>
  </si>
  <si>
    <t>D101-019</t>
  </si>
  <si>
    <t>1.5 kOhms ±5% 0.4W, 2/5W Chip Resistor 0805 (2012 Metric) Automotive AEC-Q200, Pulse Withstanding Thick Film</t>
  </si>
  <si>
    <t>RHM1.5KKCT-ND</t>
  </si>
  <si>
    <t>Link (RHM1.5KKCT-ND)</t>
  </si>
  <si>
    <t>D101-008</t>
  </si>
  <si>
    <t>RES SMD 22 OHM 5% 0.4W 0805</t>
  </si>
  <si>
    <t>RHM22KCT-ND</t>
  </si>
  <si>
    <t>Link (RHM22KCT-ND)</t>
  </si>
  <si>
    <t>755-ESR10EZPJ220</t>
  </si>
  <si>
    <t>Link (755-ESR10EZPJ220)</t>
  </si>
  <si>
    <t>ESR10EZPJ271</t>
  </si>
  <si>
    <t>D101-017</t>
  </si>
  <si>
    <t>270 Ohms ±5% 0.4W, 2/5W Chip Resistor 0805 (2012 Metric) Automotive AEC-Q200, Pulse Withstanding Thick Film</t>
  </si>
  <si>
    <t>RHM270KCT-ND</t>
  </si>
  <si>
    <t>Link (RHM270KCT-ND)</t>
  </si>
  <si>
    <t>D101-013</t>
  </si>
  <si>
    <t>RES SMD 27K OHM 5% 0.4W 0805</t>
  </si>
  <si>
    <t>RHM27KKCT-ND</t>
  </si>
  <si>
    <t>Link (RHM27KKCT-ND)</t>
  </si>
  <si>
    <t>755-ESR10EZPJ273</t>
  </si>
  <si>
    <t>Link (755-ESR10EZPJ273)</t>
  </si>
  <si>
    <t>D101-009</t>
  </si>
  <si>
    <t>RES SMD 330 OHM 5% 0.4W 0805</t>
  </si>
  <si>
    <t>RHM330KCT-ND</t>
  </si>
  <si>
    <t>Link (RHM330KCT-ND)</t>
  </si>
  <si>
    <t>755-ESR10EZPJ331</t>
  </si>
  <si>
    <t>Link (755-ESR10EZPJ331)</t>
  </si>
  <si>
    <t>D101-016</t>
  </si>
  <si>
    <t>3.3 kOhms ±5% 0.4W, 2/5W Chip Resistor 0805 (2012 Metric) Automotive AEC-Q200, Pulse Withstanding Thick Film</t>
  </si>
  <si>
    <t>RHM3.3KKCT-ND</t>
  </si>
  <si>
    <t>Link (RHM3.3KKCT-ND)</t>
  </si>
  <si>
    <t>D101-014</t>
  </si>
  <si>
    <t>RES SMD 3.9K OHM 5% 0.4W 0805</t>
  </si>
  <si>
    <t>RHM3.9KKCT-ND</t>
  </si>
  <si>
    <t>Link (RHM3.9KKCT-ND)</t>
  </si>
  <si>
    <t>755-ESR10EZPJ392</t>
  </si>
  <si>
    <t>Link (755-ESR10EZPJ392)</t>
  </si>
  <si>
    <t>D101-010</t>
  </si>
  <si>
    <t>RES SMD 1K OHM 5% 1/8W 0805</t>
  </si>
  <si>
    <t>RHM1.0KBCT-ND</t>
  </si>
  <si>
    <t>Link (RHM1.0KBCT-ND)</t>
  </si>
  <si>
    <t>755-KTR10EZPJ102</t>
  </si>
  <si>
    <t>Link (755-KTR10EZPJ102)</t>
  </si>
  <si>
    <t>D101-012</t>
  </si>
  <si>
    <t>RES SMD 10M OHM 5% 1/8W 0805</t>
  </si>
  <si>
    <t>RHM10MBCT-ND</t>
  </si>
  <si>
    <t>Link (RHM10MBCT-ND)</t>
  </si>
  <si>
    <t>755-KTR10EZPJ106</t>
  </si>
  <si>
    <t>Link (755-KTR10EZPJ106)</t>
  </si>
  <si>
    <t>D101-005</t>
  </si>
  <si>
    <t>Résistance à puce CMS, Couche épaisse, 1 Mohm</t>
  </si>
  <si>
    <t>Link (1576507)</t>
  </si>
  <si>
    <t>D101-003</t>
  </si>
  <si>
    <t>Résistance à puce CMS, Céramique, 22 ohm, 0805</t>
  </si>
  <si>
    <t>Link (2073701)</t>
  </si>
  <si>
    <t>MCMR08X4701FTL</t>
  </si>
  <si>
    <t>Résistance à puce CMS, Céramique, 4.7 kohm</t>
  </si>
  <si>
    <t>Link (2073779)</t>
  </si>
  <si>
    <t>D101-002</t>
  </si>
  <si>
    <t>Résistance à puce CMS, 100 kohm, 0805</t>
  </si>
  <si>
    <t>Link (2694097)</t>
  </si>
  <si>
    <t xml:space="preserve">MULTICOMP </t>
  </si>
  <si>
    <t>D101-001</t>
  </si>
  <si>
    <t>Résistance à puce CMS, Couche épaisse, 150 kohm, 0805</t>
  </si>
  <si>
    <t>Link (2447573)</t>
  </si>
  <si>
    <t>ESR10EZPJ102</t>
  </si>
  <si>
    <t>D101-018</t>
  </si>
  <si>
    <t>1 kOhms ±5% 0.4W, 2/5W Chip Resistor 0805 (2012 Metric) Automotive AEC-Q200, Pulse Withstanding Thick Film</t>
  </si>
  <si>
    <t>RHM1.0KKCT-ND</t>
  </si>
  <si>
    <t>Link (RHM1.0KKCT-ND)</t>
  </si>
  <si>
    <t>755-ESR10EZPJ102</t>
  </si>
  <si>
    <t>Link (755-ESR10EZPJ102)</t>
  </si>
  <si>
    <t>ESR10EZPJ272</t>
  </si>
  <si>
    <t>D101-020</t>
  </si>
  <si>
    <t>RES SMD 2.7K OHM 5% 0.4W 0805</t>
  </si>
  <si>
    <t>RHM2.7KKCT-ND</t>
  </si>
  <si>
    <t>Link (RHM2.7KKCT-ND)</t>
  </si>
  <si>
    <t>ESR10EZPJ303</t>
  </si>
  <si>
    <t>D101-021</t>
  </si>
  <si>
    <t>RES SMD 30K OHM 5% 0.4W 0805</t>
  </si>
  <si>
    <t>RHM30KKCT-ND</t>
  </si>
  <si>
    <t>Link (RHM30KKCT-ND)</t>
  </si>
  <si>
    <t>MACH SCREW PAN SLOTTED M4X0.7</t>
  </si>
  <si>
    <t>36-29351-ND</t>
  </si>
  <si>
    <t>Link (36-29351-ND)</t>
  </si>
  <si>
    <t>E-LED-001</t>
  </si>
  <si>
    <t>D200-024</t>
  </si>
  <si>
    <t>LED LampeSolaire 001</t>
  </si>
  <si>
    <t>Extension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</si>
  <si>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</si>
  <si>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</si>
  <si>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</si>
  <si>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</si>
  <si>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</si>
  <si>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Link (TS391SNL-ND)</t>
  </si>
  <si>
    <t>TS391SNL50</t>
  </si>
  <si>
    <t>Lead Free No-Clean Solder Paste Sn96.5Ag3Cu0.5 (96.5/3/0.5)  Jar, 1.76 oz (50g)</t>
  </si>
  <si>
    <t>TS391SNL50-ND</t>
  </si>
  <si>
    <t>Link (TS391SNL50-ND)</t>
  </si>
  <si>
    <t>T0054440599N</t>
  </si>
  <si>
    <t>TIP CHISEL 2.4MM FOR WSP80</t>
  </si>
  <si>
    <t>Soldering Iron Tip</t>
  </si>
  <si>
    <t>T0054440599N-ND</t>
  </si>
  <si>
    <t>Link (T0054440599N-ND)</t>
  </si>
  <si>
    <t>T0054440899N</t>
  </si>
  <si>
    <t>TIP SOLDERING LTF 1.2MM A</t>
  </si>
  <si>
    <t>T0054440899N-ND</t>
  </si>
  <si>
    <t>Link (T0054440899N-ND)</t>
  </si>
  <si>
    <t>T0054440999N</t>
  </si>
  <si>
    <t>TIP CHISEL 0.181 FOR WSP80</t>
  </si>
  <si>
    <t>T0054440999N-ND</t>
  </si>
  <si>
    <t>Link (T0054440999N-ND)</t>
  </si>
  <si>
    <t>T0054441099N</t>
  </si>
  <si>
    <t>TIP GULL WING FOR WSP80, Bevel</t>
  </si>
  <si>
    <t>T0054441099N-ND</t>
  </si>
  <si>
    <t>Link (T0054441099N-ND)</t>
  </si>
  <si>
    <t>T0054443599N</t>
  </si>
  <si>
    <t>TIP REPLACEMENT 0.25MM FOR WS</t>
  </si>
  <si>
    <t>CKN10371-ND</t>
  </si>
  <si>
    <t>T0054443599N-ND</t>
  </si>
  <si>
    <t>Link (T0054443599N-ND)</t>
  </si>
  <si>
    <t>T0054444099N</t>
  </si>
  <si>
    <t>TIP REPLACEMENT 1.6MM FOR WS</t>
  </si>
  <si>
    <t>T0054444099N-ND</t>
  </si>
  <si>
    <t>Link (T0054444099N-ND)</t>
  </si>
  <si>
    <t>E-LED-002</t>
  </si>
  <si>
    <t>LED LampeSolaire 002</t>
  </si>
  <si>
    <t>1-2199298-5</t>
  </si>
  <si>
    <t>Supports CI, 18 Contact(s), Fiche femelle DIP, 2.54 mm</t>
  </si>
  <si>
    <t>Support</t>
  </si>
  <si>
    <t>A120350-ND</t>
  </si>
  <si>
    <t>Link (A120350-ND)</t>
  </si>
  <si>
    <t>Link (2445623)</t>
  </si>
  <si>
    <t>4816-3004-CP</t>
  </si>
  <si>
    <t>Supports CI, 16 Contact(s), Fiche femelle DIP, 2.54 mm</t>
  </si>
  <si>
    <t>3M5475-ND</t>
  </si>
  <si>
    <t>Link (3M5475-ND)</t>
  </si>
  <si>
    <t>Link (2672298)</t>
  </si>
  <si>
    <t>SPC15501</t>
  </si>
  <si>
    <t>Supports CI, 20 Contact(s), Fiche femelle DIP, 2.54 mm</t>
  </si>
  <si>
    <t>Link (2678574)</t>
  </si>
  <si>
    <t>SCHURTER</t>
  </si>
  <si>
    <t>D200-025</t>
  </si>
  <si>
    <t>Porte fusible, Design ouvert, 500V, 10A, 5 x 20mm, traversant, noir</t>
  </si>
  <si>
    <t>486-1258-ND</t>
  </si>
  <si>
    <t>Link (486-1258-ND)</t>
  </si>
  <si>
    <t>Link (1162740)</t>
  </si>
  <si>
    <t>Accessoire de fusible, Fusible cartouche, 5 x 20mm, OGN et OGN-SMD, Noir, Poignée</t>
  </si>
  <si>
    <t>486-3662-ND</t>
  </si>
  <si>
    <t>Link (486-3662-ND)</t>
  </si>
  <si>
    <t>Link (1829519)</t>
  </si>
  <si>
    <t>SS-13D16-VG 4 PA</t>
  </si>
  <si>
    <t>C&amp;K</t>
  </si>
  <si>
    <t>SWITCH SLIDE SP3T 300MA 30V</t>
  </si>
  <si>
    <t>Link (CKN10371-ND)</t>
  </si>
  <si>
    <t>301-03-469</t>
  </si>
  <si>
    <t>RND Components</t>
  </si>
  <si>
    <t>Commutateur miniature ON-ON 1CO</t>
  </si>
  <si>
    <t>RND 210-00494</t>
  </si>
  <si>
    <t>Link (RND 210-00494)</t>
  </si>
  <si>
    <t>TOOL HAND CRIMPER 14-24AWG SIDE</t>
  </si>
  <si>
    <t>Tool</t>
  </si>
  <si>
    <t>WM9999-ND</t>
  </si>
  <si>
    <t>Link (WM9999-ND)</t>
  </si>
  <si>
    <t>435-0011-03-SP</t>
  </si>
  <si>
    <t>FLIR</t>
  </si>
  <si>
    <t>Caméra thermique FLIR 435-0011-03-SP -20 à +400 °C 160 x 120 pixels 8.7 Hz</t>
  </si>
  <si>
    <t>1558118 - 62</t>
  </si>
  <si>
    <t>Link (1558118 - 62)</t>
  </si>
  <si>
    <t>VEL-EC60217</t>
  </si>
  <si>
    <t>VELCRO</t>
  </si>
  <si>
    <t>Crochet et boucle adhésifs noir 20 mmx5 m</t>
  </si>
  <si>
    <t>301-18-567</t>
  </si>
  <si>
    <t>Link (301-18-567)</t>
  </si>
  <si>
    <t>XHT412N</t>
  </si>
  <si>
    <t>578-XHT412</t>
  </si>
  <si>
    <t>Link (578-XHT412)</t>
  </si>
  <si>
    <t>D001-000</t>
  </si>
  <si>
    <t>Transistor MOSFET, Canal N, 2.2 A, 30 V, 65 mohm, 4.5 V, 700 mV</t>
  </si>
  <si>
    <t>Transistor</t>
  </si>
  <si>
    <t>FDN337NCT-ND</t>
  </si>
  <si>
    <t>Link (FDN337NCT-ND)</t>
  </si>
  <si>
    <t>Link (9845356)</t>
  </si>
  <si>
    <t>D001-001</t>
  </si>
  <si>
    <t>Transistor MOSFET, Canal P, -7.1 A, -12 V, 28.5 mohm, -4.5 V, -400 mV</t>
  </si>
  <si>
    <t>SI2333CDS-T1-GE3CT-ND</t>
  </si>
  <si>
    <t>Link (SI2333CDS-T1-GE3CT-ND)</t>
  </si>
  <si>
    <t>Link (1779259)</t>
  </si>
  <si>
    <t>SI2342DS-T1-GE3</t>
  </si>
  <si>
    <t>Vishay Siliconix</t>
  </si>
  <si>
    <t>MOSFET N-CH 8V 6A SOT-23</t>
  </si>
  <si>
    <t>SI2342DS-T1-GE3CT-ND</t>
  </si>
  <si>
    <t>Link (SI2342DS-T1-GE3CT-ND)</t>
  </si>
  <si>
    <t>D200-026</t>
  </si>
  <si>
    <t>Fusible à cartouche, Action rapide, 630 mA, 250 V</t>
  </si>
  <si>
    <t>Link (2461217)</t>
  </si>
  <si>
    <t>FP300</t>
  </si>
  <si>
    <t>Beha-Amprobe</t>
  </si>
  <si>
    <t>D200-027</t>
  </si>
  <si>
    <t>Fusible 315 mA 1 kV FF Paquet à 4 pièces</t>
  </si>
  <si>
    <t>133-18-751</t>
  </si>
  <si>
    <t>Link (133-18-751)</t>
  </si>
  <si>
    <t>569-FP300</t>
  </si>
  <si>
    <t>Link (569-FP300)</t>
  </si>
  <si>
    <t>B72210S2271K101</t>
  </si>
  <si>
    <t>VARISTOR 430V 3.5KA DISC 10MM</t>
  </si>
  <si>
    <t>Varistor</t>
  </si>
  <si>
    <t>495-1433-ND</t>
  </si>
  <si>
    <t>Link (495-1433-ND)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</si>
  <si>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</si>
  <si>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</si>
  <si>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</si>
  <si>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</si>
  <si>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</si>
  <si>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Link (1866-2141-ND)</t>
  </si>
  <si>
    <t>17SPRINGW320</t>
  </si>
  <si>
    <t>Washer</t>
  </si>
  <si>
    <t>RPC9876-ND</t>
  </si>
  <si>
    <t>Link (RPC9876-ND)</t>
  </si>
  <si>
    <t>63911015521CAB</t>
  </si>
  <si>
    <t>Würth Elektronik</t>
  </si>
  <si>
    <t>B001</t>
  </si>
  <si>
    <t>Ribbon Cable</t>
  </si>
  <si>
    <t>732-11801-ND</t>
  </si>
  <si>
    <t>Link (732-11801-ND)</t>
  </si>
  <si>
    <t>Import</t>
  </si>
  <si>
    <t>"None"</t>
  </si>
  <si>
    <t>22-01-3027</t>
  </si>
  <si>
    <t>22-01-3037</t>
  </si>
  <si>
    <t>"N/A"</t>
  </si>
  <si>
    <t>""</t>
  </si>
  <si>
    <t>9451234</t>
  </si>
  <si>
    <t>48</t>
  </si>
  <si>
    <t>New oder</t>
  </si>
  <si>
    <t>9451242</t>
  </si>
  <si>
    <t>32673925190</t>
  </si>
  <si>
    <t>1</t>
  </si>
  <si>
    <t>0</t>
  </si>
  <si>
    <t>8540829</t>
  </si>
  <si>
    <t>19</t>
  </si>
  <si>
    <t>8540853</t>
  </si>
  <si>
    <t>10</t>
  </si>
  <si>
    <t>90990</t>
  </si>
  <si>
    <t>8540861</t>
  </si>
  <si>
    <t>66</t>
  </si>
  <si>
    <t>20</t>
  </si>
  <si>
    <t>860021374008</t>
  </si>
  <si>
    <t>4</t>
  </si>
  <si>
    <t>6</t>
  </si>
  <si>
    <t>7</t>
  </si>
  <si>
    <t>8</t>
  </si>
  <si>
    <t>9</t>
  </si>
  <si>
    <t>27</t>
  </si>
  <si>
    <t>133</t>
  </si>
  <si>
    <t>16</t>
  </si>
  <si>
    <t>2112100</t>
  </si>
  <si>
    <t>3</t>
  </si>
  <si>
    <t>83</t>
  </si>
  <si>
    <t>2</t>
  </si>
  <si>
    <t>2.5</t>
  </si>
  <si>
    <t>32845729569</t>
  </si>
  <si>
    <t>5</t>
  </si>
  <si>
    <t>9.65</t>
  </si>
  <si>
    <t>965083</t>
  </si>
  <si>
    <t>1.8</t>
  </si>
  <si>
    <t>8500114</t>
  </si>
  <si>
    <t>22013047</t>
  </si>
  <si>
    <t>22013057</t>
  </si>
  <si>
    <t>22013067</t>
  </si>
  <si>
    <t>22013077</t>
  </si>
  <si>
    <t>22013087</t>
  </si>
  <si>
    <t>22013097</t>
  </si>
  <si>
    <t>22013107</t>
  </si>
  <si>
    <t>22013127</t>
  </si>
  <si>
    <t>22232031</t>
  </si>
  <si>
    <t>22232041</t>
  </si>
  <si>
    <t>22232051</t>
  </si>
  <si>
    <t>22232061</t>
  </si>
  <si>
    <t>22232071</t>
  </si>
  <si>
    <t>22232081</t>
  </si>
  <si>
    <t>22232091</t>
  </si>
  <si>
    <t>22232101</t>
  </si>
  <si>
    <t>22232121</t>
  </si>
  <si>
    <t>9843680</t>
  </si>
  <si>
    <t>100</t>
  </si>
  <si>
    <t>2769437</t>
  </si>
  <si>
    <t>2725179</t>
  </si>
  <si>
    <t>3.8</t>
  </si>
  <si>
    <t>2.305</t>
  </si>
  <si>
    <t>431015</t>
  </si>
  <si>
    <t>3.361</t>
  </si>
  <si>
    <t>63190092</t>
  </si>
  <si>
    <t>1332159</t>
  </si>
  <si>
    <t>1103041</t>
  </si>
  <si>
    <t>505.411</t>
  </si>
  <si>
    <t>24</t>
  </si>
  <si>
    <t>14</t>
  </si>
  <si>
    <t>1605571</t>
  </si>
  <si>
    <t>2334901</t>
  </si>
  <si>
    <t>1287598</t>
  </si>
  <si>
    <t>912951</t>
  </si>
  <si>
    <t>1181876</t>
  </si>
  <si>
    <t>32710723814</t>
  </si>
  <si>
    <t>32845056564</t>
  </si>
  <si>
    <t>32867696371</t>
  </si>
  <si>
    <t>1004068</t>
  </si>
  <si>
    <t>2682731</t>
  </si>
  <si>
    <t>54</t>
  </si>
  <si>
    <t>99</t>
  </si>
  <si>
    <t>91</t>
  </si>
  <si>
    <t>2380458</t>
  </si>
  <si>
    <t>90</t>
  </si>
  <si>
    <t>17</t>
  </si>
  <si>
    <t>1576507</t>
  </si>
  <si>
    <t>2073701</t>
  </si>
  <si>
    <t>2073779</t>
  </si>
  <si>
    <t>2694097</t>
  </si>
  <si>
    <t>2447573</t>
  </si>
  <si>
    <t>29351</t>
  </si>
  <si>
    <t>2678574</t>
  </si>
  <si>
    <t>15</t>
  </si>
  <si>
    <t>31.8201</t>
  </si>
  <si>
    <t>853.1201</t>
  </si>
  <si>
    <t>638111000</t>
  </si>
  <si>
    <t>12</t>
  </si>
  <si>
    <t>18</t>
  </si>
  <si>
    <t>2461217</t>
  </si>
  <si>
    <t>0.75</t>
  </si>
  <si>
    <t>Power Barrel Connector Jack 2.10mm ID (0.083"), 5.50mm OD (0.217") Panel Mount, Through Hole</t>
  </si>
  <si>
    <t>BOX PLASTIC GRY/CLR 4.9"LX4.92"W</t>
  </si>
  <si>
    <t>Box Plastic, Polycarbonate Clear Cover Included 4.724" L x 3.152" W (120.00mm x 80.06mm) X 2.165" (55.00mm)</t>
  </si>
  <si>
    <t>Box Plastic, ABS Gray, Clear Cover/Door Cover Included 4.134" L x 2.953" W (105.00mm x 75.00mm) X 1.575" (40.00mm)</t>
  </si>
  <si>
    <t>Connector Header Through Hole, male, 36 position 0.100" (2.54mm)</t>
  </si>
  <si>
    <t>3 Position Receptacle Connector 0.100" (2.54mm) Through Hole, Right Angle Tin</t>
  </si>
  <si>
    <t>Connector Header Through Hole 16 position 0.100" (2.54mm)</t>
  </si>
  <si>
    <t>16 Position Header Connector 0.100" (2.54mm) Through Hole Tin</t>
  </si>
  <si>
    <t>Connector Header Through Hole 36 position 0.100" (2.54mm)</t>
  </si>
  <si>
    <t>2 (1 x 2) Position Shunt Connector Black Open Top 0.100" (2.54mm) Gold</t>
  </si>
  <si>
    <t>2 (1 x 2) Position Shunt Connector Green Open Top 0.100" (2.54mm) Gold</t>
  </si>
  <si>
    <t>Cavalier (barre bus), Shunt, Shunt, Embases au pas de 0.100", 2 Voies, 2.54 mm</t>
  </si>
  <si>
    <t>M4x0.7 Hex Nut 0.275" (7.00mm) Nylon</t>
  </si>
  <si>
    <t>Flat Ribbon Cable Gray 10 Conductors 0.050" (1.27mm) Flat Cable 3.28' (1000.00mm)</t>
  </si>
  <si>
    <t>Hex Standoff Threaded M4 Nylon 0.394" (10.00mm) Natural</t>
  </si>
  <si>
    <t>Pliers &amp; Tweezers Xcelite 4.5" Tweezer Cross Lck Self Close</t>
  </si>
  <si>
    <t>M5  Washer 0.035" (0.89mm) Thick Acetal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</si>
</sst>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49" fontId="0" fillId="0" borderId="0" xfId="0" applyNumberFormat="1" applyAlignment="1">
      <alignment horizontal="right"/>
    </xf>
    <xf numFmtId="0" fontId="3" fillId="0" borderId="0" xfId="0" applyNumberFormat="1" applyFont="1" applyFill="1" applyBorder="1" applyAlignment="1">
      <alignment horizontal="left" vertical="center" wrapText="1"/>
    </xf>
    <xf numFmtId="0" fontId="3" fillId="7" borderId="0" xfId="0" applyNumberFormat="1" applyFont="1" applyFill="1" applyBorder="1" applyAlignment="1">
      <alignment horizontal="left" vertical="center" wrapText="1"/>
    </xf>
    <xf numFmtId="0" fontId="3" fillId="7" borderId="0" xfId="0" applyFont="1" applyFill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2" fontId="3" fillId="0" borderId="0" xfId="0" applyNumberFormat="1" applyFont="1" applyFill="1" applyBorder="1" applyAlignment="1">
      <alignment horizontal="left" vertical="center" wrapText="1"/>
    </xf>
    <xf numFmtId="0" fontId="3" fillId="8" borderId="0" xfId="0" applyNumberFormat="1" applyFont="1" applyFill="1" applyBorder="1" applyAlignment="1">
      <alignment horizontal="left" vertical="center" wrapText="1"/>
    </xf>
    <xf numFmtId="0" fontId="3" fillId="0" borderId="0" xfId="0" applyNumberFormat="1" applyFont="1" applyFill="1" applyAlignment="1">
      <alignment horizontal="left" vertical="center" wrapText="1"/>
    </xf>
    <xf numFmtId="0" fontId="3" fillId="8" borderId="0" xfId="0" applyNumberFormat="1" applyFont="1" applyFill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49" fontId="0" fillId="0" borderId="4" xfId="0" applyNumberFormat="1" applyFont="1" applyFill="1" applyBorder="1" applyAlignment="1">
      <alignment horizontal="left" vertical="center"/>
    </xf>
    <xf numFmtId="0" fontId="0" fillId="0" borderId="4" xfId="0" applyNumberFormat="1" applyFont="1" applyFill="1" applyBorder="1" applyAlignment="1">
      <alignment horizontal="left" vertical="center"/>
    </xf>
    <xf numFmtId="2" fontId="0" fillId="0" borderId="4" xfId="0" applyNumberFormat="1" applyFont="1" applyFill="1" applyBorder="1" applyAlignment="1">
      <alignment horizontal="left" vertical="center"/>
    </xf>
    <xf numFmtId="0" fontId="8" fillId="0" borderId="4" xfId="2" applyNumberFormat="1" applyFill="1" applyBorder="1" applyAlignment="1">
      <alignment horizontal="left" vertical="center"/>
    </xf>
    <xf numFmtId="2" fontId="8" fillId="0" borderId="4" xfId="2" applyNumberFormat="1" applyFill="1" applyBorder="1" applyAlignment="1">
      <alignment horizontal="left" vertical="center"/>
    </xf>
    <xf numFmtId="2" fontId="9" fillId="0" borderId="4" xfId="2" applyNumberFormat="1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49" fontId="0" fillId="0" borderId="4" xfId="0" applyNumberForma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303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302"/>
      <tableStyleElement type="headerRow" dxfId="301"/>
    </tableStyle>
  </tableStyles>
  <colors>
    <mruColors>
      <color rgb="FF305496"/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804" totalsRowShown="0" headerRowDxfId="300">
  <autoFilter ref="A1:F804" xr:uid="{BDAE12D6-129D-4B55-B01B-D1493E590308}"/>
  <tableColumns count="6">
    <tableColumn id="1" xr3:uid="{F20AB9A4-F1CA-4493-AFCA-1ECFD6C72926}" name="Date" dataDxfId="299"/>
    <tableColumn id="2" xr3:uid="{9E5C5770-C960-45BB-8115-75DB62A3B16C}" name="Article Number" dataDxfId="298"/>
    <tableColumn id="5" xr3:uid="{16BFD56B-B56A-4848-9201-68C2F28CFA64}" name="Modification" dataDxfId="297"/>
    <tableColumn id="3" xr3:uid="{10BA92E7-A8AC-46B9-9939-48EDBF630513}" name="Stock Before" dataDxfId="296"/>
    <tableColumn id="4" xr3:uid="{89A58CF5-EDCB-4EF1-963E-E9EB1A0CCFEF}" name="Stock After" dataDxfId="295"/>
    <tableColumn id="6" xr3:uid="{FF179CF1-10A5-4445-94E5-D3770F8EB2DA}" name="INFO" dataDxfId="29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3" dataDxfId="291" headerRowBorderDxfId="292" tableBorderDxfId="29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89" totalsRowDxfId="288"/>
    <tableColumn id="1" xr3:uid="{B10D53AF-03D1-4287-B98C-B2EBD99019D4}" name="Ret. Art. Number" dataDxfId="287" totalsRowDxfId="286"/>
    <tableColumn id="3" xr3:uid="{4C487402-2AAB-4AF3-BE67-7394C36C842C}" name="Manufacturer" dataDxfId="285" totalsRowDxfId="284"/>
    <tableColumn id="4" xr3:uid="{8EC0DC8E-76AD-4B9F-83B7-1A0DD14BB27F}" name="Retailer" dataDxfId="283" totalsRowDxfId="282"/>
    <tableColumn id="5" xr3:uid="{F034F88F-58E3-461F-AA98-A329A317450C}" name="Place" dataDxfId="281" totalsRowDxfId="280"/>
    <tableColumn id="6" xr3:uid="{270626A5-5AC9-4B4B-BFA1-CB61FB278FF7}" name="Description" dataDxfId="279" totalsRowDxfId="278"/>
    <tableColumn id="7" xr3:uid="{6AED47F2-55E6-446F-831B-A118A7B0B1ED}" name="In stock" dataDxfId="277" totalsRowDxfId="276"/>
    <tableColumn id="8" xr3:uid="{AC92F839-E54E-493C-ABE5-5E0757E61859}" name="Min Stock" dataDxfId="275" totalsRowDxfId="274"/>
    <tableColumn id="11" xr3:uid="{FA19872E-A366-497E-9D69-828A97ECF042}" name="Unit price" dataDxfId="273" totalsRowDxfId="272"/>
    <tableColumn id="13" xr3:uid="{EA825846-8448-46C3-B6A4-847B2F364E4E}" name="Quantity" dataDxfId="271" totalsRowDxfId="27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69" totalsRowDxfId="268">
      <calculatedColumnFormula>Table8[[#This Row],[Quantity]]*Table8[[#This Row],[Unit price]]</calculatedColumnFormula>
    </tableColumn>
    <tableColumn id="9" xr3:uid="{CF148814-A309-4554-8503-283AD3C9BC12}" name="Bulk Add" dataDxfId="267" totalsRowDxfId="266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D402" totalsRowShown="0" headerRowDxfId="259" dataDxfId="258" tableBorderDxfId="257">
  <autoFilter ref="A1:BD402" xr:uid="{D4CB05D4-73DA-43F1-913F-071595400883}"/>
  <sortState xmlns:xlrd2="http://schemas.microsoft.com/office/spreadsheetml/2017/richdata2" ref="A2:BD402">
    <sortCondition ref="E1:E402"/>
  </sortState>
  <tableColumns count="56">
    <tableColumn id="1" xr3:uid="{435165AF-465B-418C-8DDE-9CFA2D278BBE}" name="Art. Number" dataDxfId="256"/>
    <tableColumn id="2" xr3:uid="{FBC6B9C9-57F8-45DA-AF22-C249E2B185F4}" name="Manufacturer" dataDxfId="255" totalsRowDxfId="254"/>
    <tableColumn id="3" xr3:uid="{288AF9C9-A6A1-4913-A84A-1B41F0951CD7}" name="Place" dataDxfId="253" totalsRowDxfId="252"/>
    <tableColumn id="4" xr3:uid="{991CB349-C1A2-4024-AD86-41FE070F01AA}" name="Description" dataDxfId="251" totalsRowDxfId="250"/>
    <tableColumn id="28" xr3:uid="{2D19DEDD-0807-4720-910B-711676B70DD0}" name="Category" dataDxfId="249"/>
    <tableColumn id="5" xr3:uid="{AF531B20-C2C7-43E4-88F6-C002EAFA6EF0}" name="In stock" dataDxfId="248" totalsRowDxfId="247"/>
    <tableColumn id="6" xr3:uid="{4AE22FEC-1D74-4166-880B-DE3C3B0F48C3}" name="Min in stock" dataDxfId="246" totalsRowDxfId="245"/>
    <tableColumn id="7" xr3:uid="{DDF25EC9-10A6-4A51-A3FF-5F173DC0429C}" name="Auto Order" dataDxfId="244" totalsRowDxfId="243"/>
    <tableColumn id="8" xr3:uid="{8FB77B6F-1796-445F-A628-6683E80A406B}" name="Default Art. Number" dataDxfId="242" totalsRowDxfId="24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calculatedColumnFormula>
    </tableColumn>
    <tableColumn id="9" xr3:uid="{FFD8B420-52D8-4860-B12E-57F5E09452F3}" name="Default Unit price" dataDxfId="240" totalsRowDxfId="239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calculatedColumnFormula>
    </tableColumn>
    <tableColumn id="27" xr3:uid="{4B6003B9-74ED-4799-8888-8403BEC91BE3}" name="Default Retailer" dataDxfId="238" totalsRowDxfId="237">
      <calculatedColumnFormula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calculatedColumnFormula>
    </tableColumn>
    <tableColumn id="37" xr3:uid="{7B2C00D6-A20F-4E6C-91EE-783E570BFC63}" name="Default Link" dataDxfId="236">
      <calculatedColumnFormula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calculatedColumnFormula>
    </tableColumn>
    <tableColumn id="10" xr3:uid="{7E60C342-9987-408E-8654-849687FC9CF5}" name="Digikey" dataDxfId="235" totalsRowDxfId="234"/>
    <tableColumn id="11" xr3:uid="{904ACEAE-3EBB-4B5A-B40F-F27BEC67197D}" name="Unit price - Digikey" dataDxfId="233" totalsRowDxfId="232"/>
    <tableColumn id="32" xr3:uid="{45FA2355-0EA6-47F8-9FAD-B42EBD381C73}" name="Link - Digikey" dataDxfId="231">
      <calculatedColumnFormula>IF(Table1[[#This Row],[Digikey]]="","", HYPERLINK(Table1[[#This Row],[Destination - Digikey]],_xlfn.CONCAT("Link (",Table1[[#This Row],[Digikey]],")")))</calculatedColumnFormula>
    </tableColumn>
    <tableColumn id="34" xr3:uid="{EBEE09DC-0988-45C6-855A-448E6A8C74E3}" name="Destination - Digikey" dataDxfId="230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29" totalsRowDxfId="228"/>
    <tableColumn id="13" xr3:uid="{9CEB0B0D-E776-4EE1-BA17-F20F36573DF1}" name="Unit price - Farnell" dataDxfId="227" totalsRowDxfId="226"/>
    <tableColumn id="35" xr3:uid="{5BD6C11C-C604-4F3C-96C4-DF7280F5AD2D}" name="Link - Farnell" dataDxfId="225" dataCellStyle="Hyperlink">
      <calculatedColumnFormula>IF(Table1[[#This Row],[Farnell]]="","", HYPERLINK(Table1[[#This Row],[Destination - Farnell]],_xlfn.CONCAT("Link (",Table1[[#This Row],[Farnell]],")")))</calculatedColumnFormula>
    </tableColumn>
    <tableColumn id="50" xr3:uid="{AD0EEC85-0A8C-49A7-ABD7-E106BF409CAD}" name="Destination - Farnell" dataDxfId="224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23" totalsRowDxfId="222"/>
    <tableColumn id="15" xr3:uid="{CFC19F72-EB6A-4DA4-8140-6E03AC8C87E2}" name="Unit price - Distrelec" dataDxfId="221" totalsRowDxfId="220"/>
    <tableColumn id="38" xr3:uid="{451B8361-4600-4E8E-8857-B737B2856630}" name="Link - Distrelec" dataDxfId="219">
      <calculatedColumnFormula>IF(Table1[[#This Row],[Distrelec]]="","", HYPERLINK(Table1[[#This Row],[Destination - Distrelec]],_xlfn.CONCAT("Link (",Table1[[#This Row],[Distrelec]],")")))</calculatedColumnFormula>
    </tableColumn>
    <tableColumn id="51" xr3:uid="{281D9207-1778-4112-9EEB-EE5D10EE96E4}" name="Destination - Distrelec" dataDxfId="218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217" totalsRowDxfId="216"/>
    <tableColumn id="17" xr3:uid="{C15F9ED7-FCDD-4ED8-8193-766AD4AACE12}" name="Unit price - Conrad" dataDxfId="215" totalsRowDxfId="214"/>
    <tableColumn id="39" xr3:uid="{5DDC7AFD-B0F9-4435-9041-3F88BFAAFE7E}" name="Link - Conrad" dataDxfId="213">
      <calculatedColumnFormula>IF(Table1[[#This Row],[Conrad]]="","", HYPERLINK(Table1[[#This Row],[Destination - Conrad]],_xlfn.CONCAT("Link (",Table1[[#This Row],[Conrad]],")")))</calculatedColumnFormula>
    </tableColumn>
    <tableColumn id="52" xr3:uid="{DD5CB652-0229-4DF9-889A-566F64AB782A}" name="Destination - Conrad" dataDxfId="212" dataCellStyle="Hyperlink"/>
    <tableColumn id="18" xr3:uid="{E8BE4F49-80E3-4D58-8712-2588048DD5B2}" name="Mouser" dataDxfId="211" totalsRowDxfId="210"/>
    <tableColumn id="19" xr3:uid="{71B82CF1-AA7C-485A-B22F-DFCA002E3E0B}" name="Unit price - Mouser" dataDxfId="209" totalsRowDxfId="208"/>
    <tableColumn id="40" xr3:uid="{A11CD985-041D-4D2A-A582-91680861B36E}" name="Link - Mouser" dataDxfId="207">
      <calculatedColumnFormula>IF(Table1[[#This Row],[Mouser]]="","", HYPERLINK(Table1[[#This Row],[Destination - Mouser]],_xlfn.CONCAT("Link (",Table1[[#This Row],[Mouser]],")")))</calculatedColumnFormula>
    </tableColumn>
    <tableColumn id="54" xr3:uid="{FA6F20E7-8874-439E-BCFC-BEFD597D4F7E}" name="Destination - Mouser" dataDxfId="206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205" totalsRowDxfId="204"/>
    <tableColumn id="45" xr3:uid="{F33865D6-DBA0-4397-BB67-4AFB9581AABA}" name="Unit Price - Bauhaus" dataDxfId="203"/>
    <tableColumn id="46" xr3:uid="{5920FF28-311C-415C-865F-B1E6FBD4DCA4}" name="Link - Bauhaus" dataDxfId="202">
      <calculatedColumnFormula>IF(Table1[[#This Row],[Bauhaus]]="","", HYPERLINK(Table1[[#This Row],[Destination - Bauhaus]],_xlfn.CONCAT("Link (",Table1[[#This Row],[Bauhaus]],")")))</calculatedColumnFormula>
    </tableColumn>
    <tableColumn id="55" xr3:uid="{B5F3A29D-11C9-4FFC-BB9A-938513F38325}" name="Destination - Bauhaus" dataDxfId="201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200" totalsRowDxfId="199"/>
    <tableColumn id="48" xr3:uid="{C56998AE-BDCD-44CA-BCE7-CBCECDEADB55}" name="Unit price - BricoEtLoisirs" dataDxfId="198"/>
    <tableColumn id="49" xr3:uid="{79B19DA5-D8C1-41E2-86BA-2E4C5FF23B64}" name="Link - BricoEtLoisirs" dataDxfId="197" totalsRowDxfId="196">
      <calculatedColumnFormula>IF(Table1[[#This Row],[BricoEtLoisirs]]="","", HYPERLINK(Table1[[#This Row],[Destination - BricoEtLoisirs]],_xlfn.CONCAT("Link (",Table1[[#This Row],[BricoEtLoisirs]],")")))</calculatedColumnFormula>
    </tableColumn>
    <tableColumn id="56" xr3:uid="{A659E968-5C97-422D-A433-9390E71A10F3}" name="Destination - BricoEtLoisirs" dataDxfId="195" totalsRowDxfId="194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193" totalsRowDxfId="192"/>
    <tableColumn id="21" xr3:uid="{56A9B167-940C-4D6B-8B5D-F91623F90BD6}" name="Unit price - Aliexpress" dataDxfId="191" totalsRowDxfId="190"/>
    <tableColumn id="41" xr3:uid="{93F74B16-126D-45E0-A817-61C44A000633}" name="Link - Aliexpress" dataDxfId="189" totalsRowDxfId="188">
      <calculatedColumnFormula>IF(Table1[[#This Row],[Aliexpress]]="","", HYPERLINK(Table1[[#This Row],[Destination - Aliexpress]],_xlfn.CONCAT("Link (",Table1[[#This Row],[Aliexpress]],")")))</calculatedColumnFormula>
    </tableColumn>
    <tableColumn id="57" xr3:uid="{FBEC4D9B-79DD-4254-8382-A7C983439AC6}" name="Destination - Aliexpress" dataDxfId="187" totalsRowDxfId="186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185" totalsRowDxfId="184"/>
    <tableColumn id="23" xr3:uid="{96EE1B48-7059-4798-A1ED-B830DB9D7D70}" name="Unit price - Banggood" dataDxfId="183" totalsRowDxfId="182"/>
    <tableColumn id="42" xr3:uid="{110E7EDE-6203-456D-AADE-7204CE3F0697}" name="Link - Banggood" dataDxfId="181" totalsRowDxfId="180">
      <calculatedColumnFormula>IF(Table1[[#This Row],[Banggood]]="","", HYPERLINK(Table1[[#This Row],[Destination - Banggood]],_xlfn.CONCAT("Link (",Table1[[#This Row],[Banggood]],")")))</calculatedColumnFormula>
    </tableColumn>
    <tableColumn id="58" xr3:uid="{026CDF7B-437F-4100-923C-FC430E5E29DE}" name="Destination - Banggood" dataDxfId="179" totalsRowDxfId="178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77" totalsRowDxfId="176">
      <calculatedColumnFormula>IF(Table1[[#This Row],[Other]]&lt;&gt;"","Other","")</calculatedColumnFormula>
    </tableColumn>
    <tableColumn id="24" xr3:uid="{DFC2A0A6-4951-479C-8775-526D9FDB26B4}" name="Other" dataDxfId="175"/>
    <tableColumn id="25" xr3:uid="{09619815-DA2C-43CD-A998-2BAAC30ACE14}" name="Unit price - Other" dataDxfId="174" totalsRowDxfId="173"/>
    <tableColumn id="43" xr3:uid="{6DE0F730-94DA-43E3-B7C4-84A221CDD4A2}" name="Link - Other" dataDxfId="172" totalsRowDxfId="171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9" xr3:uid="{BE845428-F52A-4CD2-B36E-EA50A6DBBA2A}" name="Destination - Other" dataDxfId="170" totalsRowDxfId="169"/>
    <tableColumn id="26" xr3:uid="{CBAAFE5B-29D9-4E86-8241-3FA6E46052BB}" name="In next order" dataDxfId="168" totalsRowDxfId="167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66"/>
    <tableColumn id="31" xr3:uid="{B4CAC373-EB11-41F7-9729-45AFB304C070}" name="Obsolete_Hidden" dataDxfId="165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59" dataDxfId="157" headerRowBorderDxfId="158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56" totalsRowDxfId="155"/>
    <tableColumn id="5" xr3:uid="{E0A4C7BE-9780-40B2-9139-D4958FD92F57}" name="Description" dataDxfId="154" totalsRowDxfId="153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52" totalsRowDxfId="151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50" totalsRowDxfId="149"/>
    <tableColumn id="8" xr3:uid="{DE9DE279-0ECD-46C6-B40F-146EE0CF2811}" name="Quantity" dataDxfId="148" totalsRowDxfId="147"/>
    <tableColumn id="6" xr3:uid="{9281657B-B3CE-4A4B-90BB-A2508C24B80E}" name="In stock" dataDxfId="146" totalsRowDxfId="145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44" totalsRowDxfId="14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42" totalsRowDxfId="141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40" totalsRowDxfId="139">
      <calculatedColumnFormula>Table14113[[#This Row],[Quantity]]*$M$1</calculatedColumnFormula>
    </tableColumn>
    <tableColumn id="4" xr3:uid="{21625822-F558-4C24-A1DF-CA1415AF72CC}" name="Total available" dataDxfId="138" totalsRowDxfId="137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32" dataDxfId="130" headerRowBorderDxfId="131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29" totalsRowDxfId="128"/>
    <tableColumn id="5" xr3:uid="{0807D2E3-C08E-4A05-95EC-685278834536}" name="Description" dataDxfId="127" totalsRowDxfId="126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25" totalsRowDxfId="124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23" totalsRowDxfId="122"/>
    <tableColumn id="8" xr3:uid="{27D63D9B-1923-4857-A374-5FF3D8D6B64C}" name="Quantity" dataDxfId="121" totalsRowDxfId="120"/>
    <tableColumn id="6" xr3:uid="{39724770-BCF0-4F8C-A311-212B97612672}" name="In stock" dataDxfId="119" totalsRowDxfId="118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7" totalsRowDxfId="116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15" totalsRowDxfId="114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13" totalsRowDxfId="112">
      <calculatedColumnFormula>Table1411[[#This Row],[Quantity]]*$M$1</calculatedColumnFormula>
    </tableColumn>
    <tableColumn id="4" xr3:uid="{CEA2F06F-2F21-492E-B2A3-DF977A078F50}" name="Total available" dataDxfId="111" totalsRowDxfId="110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05" dataDxfId="103" headerRowBorderDxfId="104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102" totalsRowDxfId="101"/>
    <tableColumn id="5" xr3:uid="{B1418FC9-8422-4A82-9D50-1C20CEF4A1DB}" name="Description" dataDxfId="100" totalsRowDxfId="99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98" totalsRowDxfId="97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96" totalsRowDxfId="95"/>
    <tableColumn id="8" xr3:uid="{D163A9E2-18FC-4EE8-99AB-60D6C92BBDB6}" name="Quantity" dataDxfId="94" totalsRowDxfId="93"/>
    <tableColumn id="6" xr3:uid="{1583B055-BD93-4929-B8EC-DA75D23B688F}" name="In stock" dataDxfId="92" totalsRowDxfId="91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90" totalsRowDxfId="89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8" totalsRowDxfId="8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6" totalsRowDxfId="85">
      <calculatedColumnFormula>Table14[[#This Row],[Quantity]]*$M$1</calculatedColumnFormula>
    </tableColumn>
    <tableColumn id="4" xr3:uid="{3C7D2E86-E417-47F0-B642-14D96896F255}" name="Total available" dataDxfId="84" totalsRowDxfId="83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78" dataDxfId="76" headerRowBorderDxfId="77">
  <autoFilter ref="A1:J30" xr:uid="{06E2CB8E-61AB-472E-BCF2-E6E1E6F7BC5B}"/>
  <sortState xmlns:xlrd2="http://schemas.microsoft.com/office/spreadsheetml/2017/richdata2" ref="A2:J30">
    <sortCondition ref="H1:H30"/>
  </sortState>
  <tableColumns count="10">
    <tableColumn id="2" xr3:uid="{3629DA92-593D-4F40-A0B8-3F24998F56AA}" name="Man. Number" totalsRowLabel="Total" dataDxfId="75" totalsRowDxfId="74"/>
    <tableColumn id="5" xr3:uid="{8149F83F-B4D5-4C51-A87E-B863B43D92B1}" name="Description" dataDxfId="73" totalsRowDxfId="72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71" totalsRowDxfId="70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69" totalsRowDxfId="68"/>
    <tableColumn id="8" xr3:uid="{4A2F7A9A-01D2-44CD-B775-ECE675E39975}" name="Quantity" dataDxfId="67" totalsRowDxfId="66"/>
    <tableColumn id="6" xr3:uid="{E35C4648-7918-49E6-8585-13FE1A3EB382}" name="In stock" dataDxfId="65" totalsRowDxfId="64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63" totalsRowDxfId="62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61" totalsRowDxfId="60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59" totalsRowDxfId="58">
      <calculatedColumnFormula>Table14681012[[#This Row],[Quantity]]*$M$1</calculatedColumnFormula>
    </tableColumn>
    <tableColumn id="4" xr3:uid="{B277331F-9B8C-48C1-AF3B-39B0DF714F6F}" name="Total available" dataDxfId="57" totalsRowDxfId="56">
      <calculatedColumnFormula>IF(Table14681012[[#This Row],[In stock]] &gt;= Table14681012[[#This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51" dataDxfId="49" headerRowBorderDxfId="50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48" totalsRowDxfId="47"/>
    <tableColumn id="5" xr3:uid="{EE74CBB7-B4AE-4E4F-A276-4111D2262064}" name="Description" dataDxfId="46" totalsRowDxfId="45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44" totalsRowDxfId="43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42" totalsRowDxfId="41"/>
    <tableColumn id="8" xr3:uid="{C50EC552-0304-4799-AAF5-38B8D35A381E}" name="Quantity" dataDxfId="40" totalsRowDxfId="39"/>
    <tableColumn id="6" xr3:uid="{F740468C-0E09-4D56-BD5D-693ECC8337EF}" name="In stock" dataDxfId="38" totalsRowDxfId="37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6" totalsRowDxfId="35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4" totalsRowDxfId="33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2" totalsRowDxfId="31">
      <calculatedColumnFormula>Table146810[[#This Row],[Quantity]]*$M$1</calculatedColumnFormula>
    </tableColumn>
    <tableColumn id="4" xr3:uid="{562176AD-2473-43BF-B998-A5B71A21527C}" name="Total available" dataDxfId="30" totalsRowDxfId="29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1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804"/>
  <sheetViews>
    <sheetView workbookViewId="0">
      <pane ySplit="1" topLeftCell="A2" activePane="bottomLeft" state="frozen"/>
      <selection pane="bottomLeft" activeCell="F2" sqref="F2"/>
    </sheetView>
  </sheetViews>
  <sheetFormatPr defaultColWidth="9.140625" defaultRowHeight="15" x14ac:dyDescent="0.25"/>
  <cols>
    <col min="1" max="1" width="18" style="30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29" t="s">
        <v>46</v>
      </c>
      <c r="B1" s="3" t="s">
        <v>117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0" t="s">
        <v>29</v>
      </c>
      <c r="B2" s="11"/>
      <c r="C2" s="9"/>
      <c r="D2" s="9"/>
      <c r="E2" s="9"/>
      <c r="F2" s="3" t="s">
        <v>47</v>
      </c>
    </row>
    <row r="3" spans="1:6" x14ac:dyDescent="0.25">
      <c r="A3" s="30">
        <v>44169.781192129631</v>
      </c>
      <c r="B3" s="3" t="s">
        <v>9</v>
      </c>
      <c r="C3" s="47" t="s">
        <v>2343</v>
      </c>
      <c r="D3" s="47">
        <v>0</v>
      </c>
      <c r="E3" s="47" t="s">
        <v>2343</v>
      </c>
      <c r="F3" s="3" t="s">
        <v>2344</v>
      </c>
    </row>
    <row r="4" spans="1:6" x14ac:dyDescent="0.25">
      <c r="A4" s="30">
        <v>44169.781192129631</v>
      </c>
      <c r="B4" s="3" t="s">
        <v>10</v>
      </c>
      <c r="C4" s="47" t="s">
        <v>2343</v>
      </c>
      <c r="D4" s="47">
        <v>0</v>
      </c>
      <c r="E4" s="47" t="s">
        <v>2343</v>
      </c>
      <c r="F4" s="3" t="s">
        <v>2344</v>
      </c>
    </row>
    <row r="5" spans="1:6" x14ac:dyDescent="0.25">
      <c r="A5" s="30">
        <v>44169.7812037037</v>
      </c>
      <c r="B5" s="3" t="s">
        <v>2346</v>
      </c>
      <c r="C5" s="47" t="s">
        <v>2347</v>
      </c>
      <c r="D5" s="47">
        <v>0</v>
      </c>
      <c r="E5" s="47" t="s">
        <v>2347</v>
      </c>
      <c r="F5" s="3" t="s">
        <v>2344</v>
      </c>
    </row>
    <row r="6" spans="1:6" x14ac:dyDescent="0.25">
      <c r="A6" s="30">
        <v>44169.7812037037</v>
      </c>
      <c r="B6" s="3" t="s">
        <v>312</v>
      </c>
      <c r="C6" s="47" t="s">
        <v>2348</v>
      </c>
      <c r="D6" s="47">
        <v>0</v>
      </c>
      <c r="E6" s="47" t="s">
        <v>2348</v>
      </c>
      <c r="F6" s="3" t="s">
        <v>2344</v>
      </c>
    </row>
    <row r="7" spans="1:6" x14ac:dyDescent="0.25">
      <c r="A7" s="30">
        <v>44169.781215277777</v>
      </c>
      <c r="B7" s="3" t="s">
        <v>12</v>
      </c>
      <c r="C7" s="47" t="s">
        <v>2350</v>
      </c>
      <c r="D7" s="47">
        <v>0</v>
      </c>
      <c r="E7" s="47" t="s">
        <v>2350</v>
      </c>
      <c r="F7" s="3" t="s">
        <v>2344</v>
      </c>
    </row>
    <row r="8" spans="1:6" x14ac:dyDescent="0.25">
      <c r="A8" s="30">
        <v>44169.781215277777</v>
      </c>
      <c r="B8" s="3" t="s">
        <v>324</v>
      </c>
      <c r="C8" s="47" t="s">
        <v>2352</v>
      </c>
      <c r="D8" s="47">
        <v>0</v>
      </c>
      <c r="E8" s="47" t="s">
        <v>2352</v>
      </c>
      <c r="F8" s="3" t="s">
        <v>2344</v>
      </c>
    </row>
    <row r="9" spans="1:6" x14ac:dyDescent="0.25">
      <c r="A9" s="30">
        <v>44169.781215277777</v>
      </c>
      <c r="B9" s="3" t="s">
        <v>2353</v>
      </c>
      <c r="C9" s="47" t="s">
        <v>2348</v>
      </c>
      <c r="D9" s="47">
        <v>0</v>
      </c>
      <c r="E9" s="47" t="s">
        <v>2348</v>
      </c>
      <c r="F9" s="3" t="s">
        <v>2344</v>
      </c>
    </row>
    <row r="10" spans="1:6" x14ac:dyDescent="0.25">
      <c r="A10" s="30">
        <v>44169.781226851854</v>
      </c>
      <c r="B10" s="3" t="s">
        <v>332</v>
      </c>
      <c r="C10" s="47" t="s">
        <v>2352</v>
      </c>
      <c r="D10" s="47">
        <v>0</v>
      </c>
      <c r="E10" s="47" t="s">
        <v>2352</v>
      </c>
      <c r="F10" s="3" t="s">
        <v>2344</v>
      </c>
    </row>
    <row r="11" spans="1:6" x14ac:dyDescent="0.25">
      <c r="A11" s="30">
        <v>44169.781226851854</v>
      </c>
      <c r="B11" s="3" t="s">
        <v>336</v>
      </c>
      <c r="C11" s="47" t="s">
        <v>338</v>
      </c>
      <c r="D11" s="47">
        <v>0</v>
      </c>
      <c r="E11" s="47" t="s">
        <v>338</v>
      </c>
      <c r="F11" s="3" t="s">
        <v>2344</v>
      </c>
    </row>
    <row r="12" spans="1:6" x14ac:dyDescent="0.25">
      <c r="A12" s="30">
        <v>44169.781238425923</v>
      </c>
      <c r="B12" s="3" t="s">
        <v>224</v>
      </c>
      <c r="C12" s="47" t="s">
        <v>2355</v>
      </c>
      <c r="D12" s="47">
        <v>0</v>
      </c>
      <c r="E12" s="47" t="s">
        <v>2355</v>
      </c>
      <c r="F12" s="3" t="s">
        <v>2344</v>
      </c>
    </row>
    <row r="13" spans="1:6" x14ac:dyDescent="0.25">
      <c r="A13" s="30">
        <v>44169.781238425923</v>
      </c>
      <c r="B13" s="3" t="s">
        <v>347</v>
      </c>
      <c r="C13" s="47" t="s">
        <v>2356</v>
      </c>
      <c r="D13" s="47">
        <v>0</v>
      </c>
      <c r="E13" s="47" t="s">
        <v>2356</v>
      </c>
      <c r="F13" s="3" t="s">
        <v>2344</v>
      </c>
    </row>
    <row r="14" spans="1:6" x14ac:dyDescent="0.25">
      <c r="A14" s="30">
        <v>44169.781238425923</v>
      </c>
      <c r="B14" s="3" t="s">
        <v>35</v>
      </c>
      <c r="C14" s="47" t="s">
        <v>354</v>
      </c>
      <c r="D14" s="47">
        <v>0</v>
      </c>
      <c r="E14" s="47" t="s">
        <v>354</v>
      </c>
      <c r="F14" s="3" t="s">
        <v>2344</v>
      </c>
    </row>
    <row r="15" spans="1:6" x14ac:dyDescent="0.25">
      <c r="A15" s="30">
        <v>44169.78125</v>
      </c>
      <c r="B15" s="3" t="s">
        <v>42</v>
      </c>
      <c r="C15" s="47" t="s">
        <v>2348</v>
      </c>
      <c r="D15" s="47">
        <v>0</v>
      </c>
      <c r="E15" s="47" t="s">
        <v>2348</v>
      </c>
      <c r="F15" s="3" t="s">
        <v>2344</v>
      </c>
    </row>
    <row r="16" spans="1:6" x14ac:dyDescent="0.25">
      <c r="A16" s="30">
        <v>44169.78125</v>
      </c>
      <c r="B16" s="3" t="s">
        <v>362</v>
      </c>
      <c r="C16" s="47" t="s">
        <v>2348</v>
      </c>
      <c r="D16" s="47">
        <v>0</v>
      </c>
      <c r="E16" s="47" t="s">
        <v>2348</v>
      </c>
      <c r="F16" s="3" t="s">
        <v>2344</v>
      </c>
    </row>
    <row r="17" spans="1:6" x14ac:dyDescent="0.25">
      <c r="A17" s="30">
        <v>44169.78125</v>
      </c>
      <c r="B17" s="3" t="s">
        <v>366</v>
      </c>
      <c r="C17" s="47" t="s">
        <v>2348</v>
      </c>
      <c r="D17" s="47">
        <v>0</v>
      </c>
      <c r="E17" s="47" t="s">
        <v>2348</v>
      </c>
      <c r="F17" s="3" t="s">
        <v>2344</v>
      </c>
    </row>
    <row r="18" spans="1:6" x14ac:dyDescent="0.25">
      <c r="A18" s="30">
        <v>44169.781261574077</v>
      </c>
      <c r="B18" s="3" t="s">
        <v>370</v>
      </c>
      <c r="C18" s="47" t="s">
        <v>2348</v>
      </c>
      <c r="D18" s="47">
        <v>0</v>
      </c>
      <c r="E18" s="47" t="s">
        <v>2348</v>
      </c>
      <c r="F18" s="3" t="s">
        <v>2344</v>
      </c>
    </row>
    <row r="19" spans="1:6" x14ac:dyDescent="0.25">
      <c r="A19" s="30">
        <v>44169.781261574077</v>
      </c>
      <c r="B19" s="3" t="s">
        <v>132</v>
      </c>
      <c r="C19" s="47" t="s">
        <v>2347</v>
      </c>
      <c r="D19" s="47">
        <v>0</v>
      </c>
      <c r="E19" s="47" t="s">
        <v>2347</v>
      </c>
      <c r="F19" s="3" t="s">
        <v>2344</v>
      </c>
    </row>
    <row r="20" spans="1:6" x14ac:dyDescent="0.25">
      <c r="A20" s="30">
        <v>44169.781273148146</v>
      </c>
      <c r="B20" s="3" t="s">
        <v>30</v>
      </c>
      <c r="C20" s="47" t="s">
        <v>2347</v>
      </c>
      <c r="D20" s="47">
        <v>0</v>
      </c>
      <c r="E20" s="47" t="s">
        <v>2347</v>
      </c>
      <c r="F20" s="3" t="s">
        <v>2344</v>
      </c>
    </row>
    <row r="21" spans="1:6" x14ac:dyDescent="0.25">
      <c r="A21" s="30">
        <v>44169.781273148146</v>
      </c>
      <c r="B21" s="3" t="s">
        <v>386</v>
      </c>
      <c r="C21" s="47" t="s">
        <v>2347</v>
      </c>
      <c r="D21" s="47">
        <v>0</v>
      </c>
      <c r="E21" s="47" t="s">
        <v>2347</v>
      </c>
      <c r="F21" s="3" t="s">
        <v>2344</v>
      </c>
    </row>
    <row r="22" spans="1:6" x14ac:dyDescent="0.25">
      <c r="A22" s="30">
        <v>44169.781273148146</v>
      </c>
      <c r="B22" s="3" t="s">
        <v>392</v>
      </c>
      <c r="C22" s="47" t="s">
        <v>2347</v>
      </c>
      <c r="D22" s="47">
        <v>0</v>
      </c>
      <c r="E22" s="47" t="s">
        <v>2347</v>
      </c>
      <c r="F22" s="3" t="s">
        <v>2344</v>
      </c>
    </row>
    <row r="23" spans="1:6" x14ac:dyDescent="0.25">
      <c r="A23" s="30">
        <v>44169.781284722223</v>
      </c>
      <c r="B23" s="3" t="s">
        <v>2357</v>
      </c>
      <c r="C23" s="47" t="s">
        <v>2358</v>
      </c>
      <c r="D23" s="47">
        <v>0</v>
      </c>
      <c r="E23" s="47" t="s">
        <v>2358</v>
      </c>
      <c r="F23" s="3" t="s">
        <v>2344</v>
      </c>
    </row>
    <row r="24" spans="1:6" x14ac:dyDescent="0.25">
      <c r="A24" s="30">
        <v>44169.781284722223</v>
      </c>
      <c r="B24" s="3" t="s">
        <v>231</v>
      </c>
      <c r="C24" s="47" t="s">
        <v>2359</v>
      </c>
      <c r="D24" s="47">
        <v>0</v>
      </c>
      <c r="E24" s="47" t="s">
        <v>2359</v>
      </c>
      <c r="F24" s="3" t="s">
        <v>2344</v>
      </c>
    </row>
    <row r="25" spans="1:6" x14ac:dyDescent="0.25">
      <c r="A25" s="30">
        <v>44169.7812962963</v>
      </c>
      <c r="B25" s="3" t="s">
        <v>160</v>
      </c>
      <c r="C25" s="47" t="s">
        <v>2360</v>
      </c>
      <c r="D25" s="47">
        <v>0</v>
      </c>
      <c r="E25" s="47" t="s">
        <v>2360</v>
      </c>
      <c r="F25" s="3" t="s">
        <v>2344</v>
      </c>
    </row>
    <row r="26" spans="1:6" x14ac:dyDescent="0.25">
      <c r="A26" s="30">
        <v>44169.7812962963</v>
      </c>
      <c r="B26" s="3" t="s">
        <v>162</v>
      </c>
      <c r="C26" s="47" t="s">
        <v>2361</v>
      </c>
      <c r="D26" s="47">
        <v>0</v>
      </c>
      <c r="E26" s="47" t="s">
        <v>2361</v>
      </c>
      <c r="F26" s="3" t="s">
        <v>2344</v>
      </c>
    </row>
    <row r="27" spans="1:6" x14ac:dyDescent="0.25">
      <c r="A27" s="30">
        <v>44169.7812962963</v>
      </c>
      <c r="B27" s="3" t="s">
        <v>159</v>
      </c>
      <c r="C27" s="47" t="s">
        <v>2362</v>
      </c>
      <c r="D27" s="47">
        <v>0</v>
      </c>
      <c r="E27" s="47" t="s">
        <v>2362</v>
      </c>
      <c r="F27" s="3" t="s">
        <v>2344</v>
      </c>
    </row>
    <row r="28" spans="1:6" x14ac:dyDescent="0.25">
      <c r="A28" s="30">
        <v>44169.781307870369</v>
      </c>
      <c r="B28" s="3" t="s">
        <v>161</v>
      </c>
      <c r="C28" s="47" t="s">
        <v>2363</v>
      </c>
      <c r="D28" s="47">
        <v>0</v>
      </c>
      <c r="E28" s="47" t="s">
        <v>2363</v>
      </c>
      <c r="F28" s="3" t="s">
        <v>2344</v>
      </c>
    </row>
    <row r="29" spans="1:6" x14ac:dyDescent="0.25">
      <c r="A29" s="30">
        <v>44169.781307870369</v>
      </c>
      <c r="B29" s="3" t="s">
        <v>206</v>
      </c>
      <c r="C29" s="47" t="s">
        <v>2364</v>
      </c>
      <c r="D29" s="47">
        <v>0</v>
      </c>
      <c r="E29" s="47" t="s">
        <v>2364</v>
      </c>
      <c r="F29" s="3" t="s">
        <v>2344</v>
      </c>
    </row>
    <row r="30" spans="1:6" x14ac:dyDescent="0.25">
      <c r="A30" s="30">
        <v>44169.781319444446</v>
      </c>
      <c r="B30" s="3" t="s">
        <v>60</v>
      </c>
      <c r="C30" s="47" t="s">
        <v>2365</v>
      </c>
      <c r="D30" s="47">
        <v>0</v>
      </c>
      <c r="E30" s="47" t="s">
        <v>2365</v>
      </c>
      <c r="F30" s="3" t="s">
        <v>2344</v>
      </c>
    </row>
    <row r="31" spans="1:6" x14ac:dyDescent="0.25">
      <c r="A31" s="30">
        <v>44169.781319444446</v>
      </c>
      <c r="B31" s="3" t="s">
        <v>18</v>
      </c>
      <c r="C31" s="47" t="s">
        <v>2367</v>
      </c>
      <c r="D31" s="47">
        <v>0</v>
      </c>
      <c r="E31" s="47" t="s">
        <v>2367</v>
      </c>
      <c r="F31" s="3" t="s">
        <v>2344</v>
      </c>
    </row>
    <row r="32" spans="1:6" x14ac:dyDescent="0.25">
      <c r="A32" s="30">
        <v>44169.781331018516</v>
      </c>
      <c r="B32" s="3" t="s">
        <v>437</v>
      </c>
      <c r="C32" s="47" t="s">
        <v>2367</v>
      </c>
      <c r="D32" s="47">
        <v>0</v>
      </c>
      <c r="E32" s="47" t="s">
        <v>2367</v>
      </c>
      <c r="F32" s="3" t="s">
        <v>2344</v>
      </c>
    </row>
    <row r="33" spans="1:6" x14ac:dyDescent="0.25">
      <c r="A33" s="30">
        <v>44169.781331018516</v>
      </c>
      <c r="B33" s="3" t="s">
        <v>19</v>
      </c>
      <c r="C33" s="47" t="s">
        <v>2368</v>
      </c>
      <c r="D33" s="47">
        <v>0</v>
      </c>
      <c r="E33" s="47" t="s">
        <v>2368</v>
      </c>
      <c r="F33" s="3" t="s">
        <v>2344</v>
      </c>
    </row>
    <row r="34" spans="1:6" x14ac:dyDescent="0.25">
      <c r="A34" s="30">
        <v>44169.781331018516</v>
      </c>
      <c r="B34" s="3" t="s">
        <v>233</v>
      </c>
      <c r="C34" s="47" t="s">
        <v>2359</v>
      </c>
      <c r="D34" s="47">
        <v>0</v>
      </c>
      <c r="E34" s="47" t="s">
        <v>2359</v>
      </c>
      <c r="F34" s="3" t="s">
        <v>2344</v>
      </c>
    </row>
    <row r="35" spans="1:6" x14ac:dyDescent="0.25">
      <c r="A35" s="30">
        <v>44169.781342592592</v>
      </c>
      <c r="B35" s="3" t="s">
        <v>234</v>
      </c>
      <c r="C35" s="47" t="s">
        <v>2369</v>
      </c>
      <c r="D35" s="47">
        <v>0</v>
      </c>
      <c r="E35" s="47" t="s">
        <v>2369</v>
      </c>
      <c r="F35" s="3" t="s">
        <v>2344</v>
      </c>
    </row>
    <row r="36" spans="1:6" x14ac:dyDescent="0.25">
      <c r="A36" s="30">
        <v>44169.781342592592</v>
      </c>
      <c r="B36" s="3" t="s">
        <v>164</v>
      </c>
      <c r="C36" s="47" t="s">
        <v>2370</v>
      </c>
      <c r="D36" s="47">
        <v>0</v>
      </c>
      <c r="E36" s="47" t="s">
        <v>2370</v>
      </c>
      <c r="F36" s="3" t="s">
        <v>2344</v>
      </c>
    </row>
    <row r="37" spans="1:6" x14ac:dyDescent="0.25">
      <c r="A37" s="30">
        <v>44169.781354166669</v>
      </c>
      <c r="B37" s="3" t="s">
        <v>464</v>
      </c>
      <c r="C37" s="47" t="s">
        <v>2372</v>
      </c>
      <c r="D37" s="47">
        <v>0</v>
      </c>
      <c r="E37" s="47" t="s">
        <v>2372</v>
      </c>
      <c r="F37" s="3" t="s">
        <v>2344</v>
      </c>
    </row>
    <row r="38" spans="1:6" x14ac:dyDescent="0.25">
      <c r="A38" s="30">
        <v>44169.781354166669</v>
      </c>
      <c r="B38" s="3" t="s">
        <v>468</v>
      </c>
      <c r="C38" s="47" t="s">
        <v>2372</v>
      </c>
      <c r="D38" s="47">
        <v>0</v>
      </c>
      <c r="E38" s="47" t="s">
        <v>2372</v>
      </c>
      <c r="F38" s="3" t="s">
        <v>2344</v>
      </c>
    </row>
    <row r="39" spans="1:6" x14ac:dyDescent="0.25">
      <c r="A39" s="30">
        <v>44169.781354166669</v>
      </c>
      <c r="B39" s="3" t="s">
        <v>165</v>
      </c>
      <c r="C39" s="47" t="s">
        <v>2373</v>
      </c>
      <c r="D39" s="47">
        <v>0</v>
      </c>
      <c r="E39" s="47" t="s">
        <v>2373</v>
      </c>
      <c r="F39" s="3" t="s">
        <v>2344</v>
      </c>
    </row>
    <row r="40" spans="1:6" x14ac:dyDescent="0.25">
      <c r="A40" s="30">
        <v>44169.781365740739</v>
      </c>
      <c r="B40" s="3" t="s">
        <v>232</v>
      </c>
      <c r="C40" s="47" t="s">
        <v>2359</v>
      </c>
      <c r="D40" s="47">
        <v>0</v>
      </c>
      <c r="E40" s="47" t="s">
        <v>2359</v>
      </c>
      <c r="F40" s="3" t="s">
        <v>2344</v>
      </c>
    </row>
    <row r="41" spans="1:6" x14ac:dyDescent="0.25">
      <c r="A41" s="30">
        <v>44169.781365740739</v>
      </c>
      <c r="B41" s="3" t="s">
        <v>478</v>
      </c>
      <c r="C41" s="47" t="s">
        <v>2358</v>
      </c>
      <c r="D41" s="47">
        <v>0</v>
      </c>
      <c r="E41" s="47" t="s">
        <v>2358</v>
      </c>
      <c r="F41" s="3" t="s">
        <v>2344</v>
      </c>
    </row>
    <row r="42" spans="1:6" x14ac:dyDescent="0.25">
      <c r="A42" s="30">
        <v>44169.781377314815</v>
      </c>
      <c r="B42" s="3" t="s">
        <v>2374</v>
      </c>
      <c r="C42" s="47" t="s">
        <v>2375</v>
      </c>
      <c r="D42" s="47">
        <v>0</v>
      </c>
      <c r="E42" s="47" t="s">
        <v>2375</v>
      </c>
      <c r="F42" s="3" t="s">
        <v>2344</v>
      </c>
    </row>
    <row r="43" spans="1:6" x14ac:dyDescent="0.25">
      <c r="A43" s="30">
        <v>44169.781377314815</v>
      </c>
      <c r="B43" s="3" t="s">
        <v>487</v>
      </c>
      <c r="C43" s="47" t="s">
        <v>460</v>
      </c>
      <c r="D43" s="47">
        <v>0</v>
      </c>
      <c r="E43" s="47" t="s">
        <v>460</v>
      </c>
      <c r="F43" s="3" t="s">
        <v>2344</v>
      </c>
    </row>
    <row r="44" spans="1:6" x14ac:dyDescent="0.25">
      <c r="A44" s="30">
        <v>44169.781377314815</v>
      </c>
      <c r="B44" s="3" t="s">
        <v>491</v>
      </c>
      <c r="C44" s="47" t="s">
        <v>2348</v>
      </c>
      <c r="D44" s="47">
        <v>0</v>
      </c>
      <c r="E44" s="47" t="s">
        <v>2348</v>
      </c>
      <c r="F44" s="3" t="s">
        <v>2344</v>
      </c>
    </row>
    <row r="45" spans="1:6" x14ac:dyDescent="0.25">
      <c r="A45" s="30">
        <v>44169.781388888892</v>
      </c>
      <c r="B45" s="3" t="s">
        <v>494</v>
      </c>
      <c r="C45" s="47" t="s">
        <v>2348</v>
      </c>
      <c r="D45" s="47">
        <v>0</v>
      </c>
      <c r="E45" s="47" t="s">
        <v>2348</v>
      </c>
      <c r="F45" s="3" t="s">
        <v>2344</v>
      </c>
    </row>
    <row r="46" spans="1:6" x14ac:dyDescent="0.25">
      <c r="A46" s="30">
        <v>44169.781388888892</v>
      </c>
      <c r="B46" s="3" t="s">
        <v>497</v>
      </c>
      <c r="C46" s="47" t="s">
        <v>2348</v>
      </c>
      <c r="D46" s="47">
        <v>0</v>
      </c>
      <c r="E46" s="47" t="s">
        <v>2348</v>
      </c>
      <c r="F46" s="3" t="s">
        <v>2344</v>
      </c>
    </row>
    <row r="47" spans="1:6" x14ac:dyDescent="0.25">
      <c r="A47" s="30">
        <v>44169.781400462962</v>
      </c>
      <c r="B47" s="3" t="s">
        <v>502</v>
      </c>
      <c r="C47" s="47" t="s">
        <v>2369</v>
      </c>
      <c r="D47" s="47">
        <v>0</v>
      </c>
      <c r="E47" s="47" t="s">
        <v>2369</v>
      </c>
      <c r="F47" s="3" t="s">
        <v>2344</v>
      </c>
    </row>
    <row r="48" spans="1:6" x14ac:dyDescent="0.25">
      <c r="A48" s="30">
        <v>44169.781400462962</v>
      </c>
      <c r="B48" s="3" t="s">
        <v>2376</v>
      </c>
      <c r="C48" s="47" t="s">
        <v>2348</v>
      </c>
      <c r="D48" s="47">
        <v>0</v>
      </c>
      <c r="E48" s="47" t="s">
        <v>2348</v>
      </c>
      <c r="F48" s="3" t="s">
        <v>2344</v>
      </c>
    </row>
    <row r="49" spans="1:6" x14ac:dyDescent="0.25">
      <c r="A49" s="30">
        <v>44169.781400462962</v>
      </c>
      <c r="B49" s="3" t="s">
        <v>513</v>
      </c>
      <c r="C49" s="47" t="s">
        <v>2358</v>
      </c>
      <c r="D49" s="47">
        <v>0</v>
      </c>
      <c r="E49" s="47" t="s">
        <v>2358</v>
      </c>
      <c r="F49" s="3" t="s">
        <v>2344</v>
      </c>
    </row>
    <row r="50" spans="1:6" x14ac:dyDescent="0.25">
      <c r="A50" s="30">
        <v>44169.781412037039</v>
      </c>
      <c r="B50" s="3" t="s">
        <v>519</v>
      </c>
      <c r="C50" s="47" t="s">
        <v>2369</v>
      </c>
      <c r="D50" s="47">
        <v>0</v>
      </c>
      <c r="E50" s="47" t="s">
        <v>2369</v>
      </c>
      <c r="F50" s="3" t="s">
        <v>2344</v>
      </c>
    </row>
    <row r="51" spans="1:6" x14ac:dyDescent="0.25">
      <c r="A51" s="30">
        <v>44169.781412037039</v>
      </c>
      <c r="B51" s="3" t="s">
        <v>524</v>
      </c>
      <c r="C51" s="47" t="s">
        <v>2348</v>
      </c>
      <c r="D51" s="47">
        <v>0</v>
      </c>
      <c r="E51" s="47" t="s">
        <v>2348</v>
      </c>
      <c r="F51" s="3" t="s">
        <v>2344</v>
      </c>
    </row>
    <row r="52" spans="1:6" x14ac:dyDescent="0.25">
      <c r="A52" s="30">
        <v>44169.781423611108</v>
      </c>
      <c r="B52" s="3" t="s">
        <v>528</v>
      </c>
      <c r="C52" s="47" t="s">
        <v>2348</v>
      </c>
      <c r="D52" s="47">
        <v>0</v>
      </c>
      <c r="E52" s="47" t="s">
        <v>2348</v>
      </c>
      <c r="F52" s="3" t="s">
        <v>2344</v>
      </c>
    </row>
    <row r="53" spans="1:6" x14ac:dyDescent="0.25">
      <c r="A53" s="30">
        <v>44169.781423611108</v>
      </c>
      <c r="B53" s="3" t="s">
        <v>532</v>
      </c>
      <c r="C53" s="47" t="s">
        <v>2348</v>
      </c>
      <c r="D53" s="47">
        <v>0</v>
      </c>
      <c r="E53" s="47" t="s">
        <v>2348</v>
      </c>
      <c r="F53" s="3" t="s">
        <v>2344</v>
      </c>
    </row>
    <row r="54" spans="1:6" x14ac:dyDescent="0.25">
      <c r="A54" s="30">
        <v>44169.781423611108</v>
      </c>
      <c r="B54" s="3" t="s">
        <v>536</v>
      </c>
      <c r="C54" s="47" t="s">
        <v>2348</v>
      </c>
      <c r="D54" s="47">
        <v>0</v>
      </c>
      <c r="E54" s="47" t="s">
        <v>2348</v>
      </c>
      <c r="F54" s="3" t="s">
        <v>2344</v>
      </c>
    </row>
    <row r="55" spans="1:6" x14ac:dyDescent="0.25">
      <c r="A55" s="30">
        <v>44169.781435185185</v>
      </c>
      <c r="B55" s="3" t="s">
        <v>540</v>
      </c>
      <c r="C55" s="47" t="s">
        <v>2348</v>
      </c>
      <c r="D55" s="47">
        <v>0</v>
      </c>
      <c r="E55" s="47" t="s">
        <v>2348</v>
      </c>
      <c r="F55" s="3" t="s">
        <v>2344</v>
      </c>
    </row>
    <row r="56" spans="1:6" x14ac:dyDescent="0.25">
      <c r="A56" s="30">
        <v>44169.781435185185</v>
      </c>
      <c r="B56" s="3" t="s">
        <v>544</v>
      </c>
      <c r="C56" s="47" t="s">
        <v>2348</v>
      </c>
      <c r="D56" s="47">
        <v>0</v>
      </c>
      <c r="E56" s="47" t="s">
        <v>2348</v>
      </c>
      <c r="F56" s="3" t="s">
        <v>2344</v>
      </c>
    </row>
    <row r="57" spans="1:6" x14ac:dyDescent="0.25">
      <c r="A57" s="30">
        <v>44169.781435185185</v>
      </c>
      <c r="B57" s="3" t="s">
        <v>548</v>
      </c>
      <c r="C57" s="47" t="s">
        <v>2348</v>
      </c>
      <c r="D57" s="47">
        <v>0</v>
      </c>
      <c r="E57" s="47" t="s">
        <v>2348</v>
      </c>
      <c r="F57" s="3" t="s">
        <v>2344</v>
      </c>
    </row>
    <row r="58" spans="1:6" x14ac:dyDescent="0.25">
      <c r="A58" s="30">
        <v>44169.781446759262</v>
      </c>
      <c r="B58" s="3" t="s">
        <v>2377</v>
      </c>
      <c r="C58" s="47" t="s">
        <v>2348</v>
      </c>
      <c r="D58" s="47">
        <v>0</v>
      </c>
      <c r="E58" s="47" t="s">
        <v>2348</v>
      </c>
      <c r="F58" s="3" t="s">
        <v>2344</v>
      </c>
    </row>
    <row r="59" spans="1:6" x14ac:dyDescent="0.25">
      <c r="A59" s="30">
        <v>44169.781446759262</v>
      </c>
      <c r="B59" s="3" t="s">
        <v>2378</v>
      </c>
      <c r="C59" s="47" t="s">
        <v>2348</v>
      </c>
      <c r="D59" s="47">
        <v>0</v>
      </c>
      <c r="E59" s="47" t="s">
        <v>2348</v>
      </c>
      <c r="F59" s="3" t="s">
        <v>2344</v>
      </c>
    </row>
    <row r="60" spans="1:6" x14ac:dyDescent="0.25">
      <c r="A60" s="30">
        <v>44169.781458333331</v>
      </c>
      <c r="B60" s="3" t="s">
        <v>2379</v>
      </c>
      <c r="C60" s="47" t="s">
        <v>2348</v>
      </c>
      <c r="D60" s="47">
        <v>0</v>
      </c>
      <c r="E60" s="47" t="s">
        <v>2348</v>
      </c>
      <c r="F60" s="3" t="s">
        <v>2344</v>
      </c>
    </row>
    <row r="61" spans="1:6" x14ac:dyDescent="0.25">
      <c r="A61" s="30">
        <v>44169.781458333331</v>
      </c>
      <c r="B61" s="3" t="s">
        <v>2380</v>
      </c>
      <c r="C61" s="47" t="s">
        <v>2348</v>
      </c>
      <c r="D61" s="47">
        <v>0</v>
      </c>
      <c r="E61" s="47" t="s">
        <v>2348</v>
      </c>
      <c r="F61" s="3" t="s">
        <v>2344</v>
      </c>
    </row>
    <row r="62" spans="1:6" x14ac:dyDescent="0.25">
      <c r="A62" s="30">
        <v>44169.781458333331</v>
      </c>
      <c r="B62" s="3" t="s">
        <v>2381</v>
      </c>
      <c r="C62" s="47" t="s">
        <v>2348</v>
      </c>
      <c r="D62" s="47">
        <v>0</v>
      </c>
      <c r="E62" s="47" t="s">
        <v>2348</v>
      </c>
      <c r="F62" s="3" t="s">
        <v>2344</v>
      </c>
    </row>
    <row r="63" spans="1:6" x14ac:dyDescent="0.25">
      <c r="A63" s="30">
        <v>44169.781469907408</v>
      </c>
      <c r="B63" s="3" t="s">
        <v>2382</v>
      </c>
      <c r="C63" s="47" t="s">
        <v>2348</v>
      </c>
      <c r="D63" s="47">
        <v>0</v>
      </c>
      <c r="E63" s="47" t="s">
        <v>2348</v>
      </c>
      <c r="F63" s="3" t="s">
        <v>2344</v>
      </c>
    </row>
    <row r="64" spans="1:6" x14ac:dyDescent="0.25">
      <c r="A64" s="30">
        <v>44169.781469907408</v>
      </c>
      <c r="B64" s="3" t="s">
        <v>2383</v>
      </c>
      <c r="C64" s="47" t="s">
        <v>2348</v>
      </c>
      <c r="D64" s="47">
        <v>0</v>
      </c>
      <c r="E64" s="47" t="s">
        <v>2348</v>
      </c>
      <c r="F64" s="3" t="s">
        <v>2344</v>
      </c>
    </row>
    <row r="65" spans="1:6" x14ac:dyDescent="0.25">
      <c r="A65" s="30">
        <v>44169.781481481485</v>
      </c>
      <c r="B65" s="3" t="s">
        <v>2384</v>
      </c>
      <c r="C65" s="47" t="s">
        <v>2348</v>
      </c>
      <c r="D65" s="47">
        <v>0</v>
      </c>
      <c r="E65" s="47" t="s">
        <v>2348</v>
      </c>
      <c r="F65" s="3" t="s">
        <v>2344</v>
      </c>
    </row>
    <row r="66" spans="1:6" x14ac:dyDescent="0.25">
      <c r="A66" s="30">
        <v>44169.781481481485</v>
      </c>
      <c r="B66" s="3" t="s">
        <v>2338</v>
      </c>
      <c r="C66" s="47" t="s">
        <v>2348</v>
      </c>
      <c r="D66" s="47">
        <v>0</v>
      </c>
      <c r="E66" s="47" t="s">
        <v>2348</v>
      </c>
      <c r="F66" s="3" t="s">
        <v>2344</v>
      </c>
    </row>
    <row r="67" spans="1:6" x14ac:dyDescent="0.25">
      <c r="A67" s="30">
        <v>44169.781481481485</v>
      </c>
      <c r="B67" s="3" t="s">
        <v>2339</v>
      </c>
      <c r="C67" s="47" t="s">
        <v>2348</v>
      </c>
      <c r="D67" s="47">
        <v>0</v>
      </c>
      <c r="E67" s="47" t="s">
        <v>2348</v>
      </c>
      <c r="F67" s="3" t="s">
        <v>2344</v>
      </c>
    </row>
    <row r="68" spans="1:6" x14ac:dyDescent="0.25">
      <c r="A68" s="30">
        <v>44169.781493055554</v>
      </c>
      <c r="B68" s="3" t="s">
        <v>583</v>
      </c>
      <c r="C68" s="47" t="s">
        <v>2348</v>
      </c>
      <c r="D68" s="47">
        <v>0</v>
      </c>
      <c r="E68" s="47" t="s">
        <v>2348</v>
      </c>
      <c r="F68" s="3" t="s">
        <v>2344</v>
      </c>
    </row>
    <row r="69" spans="1:6" x14ac:dyDescent="0.25">
      <c r="A69" s="30">
        <v>44169.781493055554</v>
      </c>
      <c r="B69" s="3" t="s">
        <v>587</v>
      </c>
      <c r="C69" s="47" t="s">
        <v>2348</v>
      </c>
      <c r="D69" s="47">
        <v>0</v>
      </c>
      <c r="E69" s="47" t="s">
        <v>2348</v>
      </c>
      <c r="F69" s="3" t="s">
        <v>2344</v>
      </c>
    </row>
    <row r="70" spans="1:6" x14ac:dyDescent="0.25">
      <c r="A70" s="30">
        <v>44169.781504629631</v>
      </c>
      <c r="B70" s="3" t="s">
        <v>591</v>
      </c>
      <c r="C70" s="47" t="s">
        <v>2348</v>
      </c>
      <c r="D70" s="47">
        <v>0</v>
      </c>
      <c r="E70" s="47" t="s">
        <v>2348</v>
      </c>
      <c r="F70" s="3" t="s">
        <v>2344</v>
      </c>
    </row>
    <row r="71" spans="1:6" x14ac:dyDescent="0.25">
      <c r="A71" s="30">
        <v>44169.781504629631</v>
      </c>
      <c r="B71" s="3" t="s">
        <v>595</v>
      </c>
      <c r="C71" s="47" t="s">
        <v>2348</v>
      </c>
      <c r="D71" s="47">
        <v>0</v>
      </c>
      <c r="E71" s="47" t="s">
        <v>2348</v>
      </c>
      <c r="F71" s="3" t="s">
        <v>2344</v>
      </c>
    </row>
    <row r="72" spans="1:6" x14ac:dyDescent="0.25">
      <c r="A72" s="30">
        <v>44169.781504629631</v>
      </c>
      <c r="B72" s="3" t="s">
        <v>599</v>
      </c>
      <c r="C72" s="47" t="s">
        <v>2348</v>
      </c>
      <c r="D72" s="47">
        <v>0</v>
      </c>
      <c r="E72" s="47" t="s">
        <v>2348</v>
      </c>
      <c r="F72" s="3" t="s">
        <v>2344</v>
      </c>
    </row>
    <row r="73" spans="1:6" x14ac:dyDescent="0.25">
      <c r="A73" s="30">
        <v>44169.7815162037</v>
      </c>
      <c r="B73" s="3" t="s">
        <v>603</v>
      </c>
      <c r="C73" s="47" t="s">
        <v>2348</v>
      </c>
      <c r="D73" s="47">
        <v>0</v>
      </c>
      <c r="E73" s="47" t="s">
        <v>2348</v>
      </c>
      <c r="F73" s="3" t="s">
        <v>2344</v>
      </c>
    </row>
    <row r="74" spans="1:6" x14ac:dyDescent="0.25">
      <c r="A74" s="30">
        <v>44169.7815162037</v>
      </c>
      <c r="B74" s="3" t="s">
        <v>608</v>
      </c>
      <c r="C74" s="47" t="s">
        <v>2348</v>
      </c>
      <c r="D74" s="47">
        <v>0</v>
      </c>
      <c r="E74" s="47" t="s">
        <v>2348</v>
      </c>
      <c r="F74" s="3" t="s">
        <v>2344</v>
      </c>
    </row>
    <row r="75" spans="1:6" x14ac:dyDescent="0.25">
      <c r="A75" s="30">
        <v>44169.781527777777</v>
      </c>
      <c r="B75" s="3" t="s">
        <v>612</v>
      </c>
      <c r="C75" s="47" t="s">
        <v>2348</v>
      </c>
      <c r="D75" s="47">
        <v>0</v>
      </c>
      <c r="E75" s="47" t="s">
        <v>2348</v>
      </c>
      <c r="F75" s="3" t="s">
        <v>2344</v>
      </c>
    </row>
    <row r="76" spans="1:6" x14ac:dyDescent="0.25">
      <c r="A76" s="30">
        <v>44169.781527777777</v>
      </c>
      <c r="B76" s="3" t="s">
        <v>616</v>
      </c>
      <c r="C76" s="47" t="s">
        <v>2348</v>
      </c>
      <c r="D76" s="47">
        <v>0</v>
      </c>
      <c r="E76" s="47" t="s">
        <v>2348</v>
      </c>
      <c r="F76" s="3" t="s">
        <v>2344</v>
      </c>
    </row>
    <row r="77" spans="1:6" x14ac:dyDescent="0.25">
      <c r="A77" s="30">
        <v>44169.781527777777</v>
      </c>
      <c r="B77" s="3" t="s">
        <v>2385</v>
      </c>
      <c r="C77" s="47" t="s">
        <v>2348</v>
      </c>
      <c r="D77" s="47">
        <v>0</v>
      </c>
      <c r="E77" s="47" t="s">
        <v>2348</v>
      </c>
      <c r="F77" s="3" t="s">
        <v>2344</v>
      </c>
    </row>
    <row r="78" spans="1:6" x14ac:dyDescent="0.25">
      <c r="A78" s="30">
        <v>44169.781539351854</v>
      </c>
      <c r="B78" s="3" t="s">
        <v>2386</v>
      </c>
      <c r="C78" s="47" t="s">
        <v>2348</v>
      </c>
      <c r="D78" s="47">
        <v>0</v>
      </c>
      <c r="E78" s="47" t="s">
        <v>2348</v>
      </c>
      <c r="F78" s="3" t="s">
        <v>2344</v>
      </c>
    </row>
    <row r="79" spans="1:6" x14ac:dyDescent="0.25">
      <c r="A79" s="30">
        <v>44169.781539351854</v>
      </c>
      <c r="B79" s="3" t="s">
        <v>2387</v>
      </c>
      <c r="C79" s="47" t="s">
        <v>2348</v>
      </c>
      <c r="D79" s="47">
        <v>0</v>
      </c>
      <c r="E79" s="47" t="s">
        <v>2348</v>
      </c>
      <c r="F79" s="3" t="s">
        <v>2344</v>
      </c>
    </row>
    <row r="80" spans="1:6" x14ac:dyDescent="0.25">
      <c r="A80" s="30">
        <v>44169.781550925924</v>
      </c>
      <c r="B80" s="3" t="s">
        <v>2388</v>
      </c>
      <c r="C80" s="47" t="s">
        <v>2348</v>
      </c>
      <c r="D80" s="47">
        <v>0</v>
      </c>
      <c r="E80" s="47" t="s">
        <v>2348</v>
      </c>
      <c r="F80" s="3" t="s">
        <v>2344</v>
      </c>
    </row>
    <row r="81" spans="1:6" x14ac:dyDescent="0.25">
      <c r="A81" s="30">
        <v>44169.781550925924</v>
      </c>
      <c r="B81" s="3" t="s">
        <v>2389</v>
      </c>
      <c r="C81" s="47" t="s">
        <v>2348</v>
      </c>
      <c r="D81" s="47">
        <v>0</v>
      </c>
      <c r="E81" s="47" t="s">
        <v>2348</v>
      </c>
      <c r="F81" s="3" t="s">
        <v>2344</v>
      </c>
    </row>
    <row r="82" spans="1:6" x14ac:dyDescent="0.25">
      <c r="A82" s="30">
        <v>44169.781550925924</v>
      </c>
      <c r="B82" s="3" t="s">
        <v>2390</v>
      </c>
      <c r="C82" s="47" t="s">
        <v>2348</v>
      </c>
      <c r="D82" s="47">
        <v>0</v>
      </c>
      <c r="E82" s="47" t="s">
        <v>2348</v>
      </c>
      <c r="F82" s="3" t="s">
        <v>2344</v>
      </c>
    </row>
    <row r="83" spans="1:6" x14ac:dyDescent="0.25">
      <c r="A83" s="30">
        <v>44169.7815625</v>
      </c>
      <c r="B83" s="3" t="s">
        <v>2391</v>
      </c>
      <c r="C83" s="47" t="s">
        <v>2348</v>
      </c>
      <c r="D83" s="47">
        <v>0</v>
      </c>
      <c r="E83" s="47" t="s">
        <v>2348</v>
      </c>
      <c r="F83" s="3" t="s">
        <v>2344</v>
      </c>
    </row>
    <row r="84" spans="1:6" x14ac:dyDescent="0.25">
      <c r="A84" s="30">
        <v>44169.7815625</v>
      </c>
      <c r="B84" s="3" t="s">
        <v>2392</v>
      </c>
      <c r="C84" s="47" t="s">
        <v>2348</v>
      </c>
      <c r="D84" s="47">
        <v>0</v>
      </c>
      <c r="E84" s="47" t="s">
        <v>2348</v>
      </c>
      <c r="F84" s="3" t="s">
        <v>2344</v>
      </c>
    </row>
    <row r="85" spans="1:6" x14ac:dyDescent="0.25">
      <c r="A85" s="30">
        <v>44169.781574074077</v>
      </c>
      <c r="B85" s="3" t="s">
        <v>2393</v>
      </c>
      <c r="C85" s="47" t="s">
        <v>2348</v>
      </c>
      <c r="D85" s="47">
        <v>0</v>
      </c>
      <c r="E85" s="47" t="s">
        <v>2348</v>
      </c>
      <c r="F85" s="3" t="s">
        <v>2344</v>
      </c>
    </row>
    <row r="86" spans="1:6" x14ac:dyDescent="0.25">
      <c r="A86" s="30">
        <v>44169.781574074077</v>
      </c>
      <c r="B86" s="3" t="s">
        <v>648</v>
      </c>
      <c r="C86" s="47" t="s">
        <v>2348</v>
      </c>
      <c r="D86" s="47">
        <v>0</v>
      </c>
      <c r="E86" s="47" t="s">
        <v>2348</v>
      </c>
      <c r="F86" s="3" t="s">
        <v>2344</v>
      </c>
    </row>
    <row r="87" spans="1:6" x14ac:dyDescent="0.25">
      <c r="A87" s="30">
        <v>44169.781574074077</v>
      </c>
      <c r="B87" s="3" t="s">
        <v>652</v>
      </c>
      <c r="C87" s="47" t="s">
        <v>2369</v>
      </c>
      <c r="D87" s="47">
        <v>0</v>
      </c>
      <c r="E87" s="47" t="s">
        <v>2369</v>
      </c>
      <c r="F87" s="3" t="s">
        <v>2344</v>
      </c>
    </row>
    <row r="88" spans="1:6" x14ac:dyDescent="0.25">
      <c r="A88" s="30">
        <v>44169.781585648147</v>
      </c>
      <c r="B88" s="3" t="s">
        <v>656</v>
      </c>
      <c r="C88" s="47" t="s">
        <v>2369</v>
      </c>
      <c r="D88" s="47">
        <v>0</v>
      </c>
      <c r="E88" s="47" t="s">
        <v>2369</v>
      </c>
      <c r="F88" s="3" t="s">
        <v>2344</v>
      </c>
    </row>
    <row r="89" spans="1:6" x14ac:dyDescent="0.25">
      <c r="A89" s="30">
        <v>44169.781585648147</v>
      </c>
      <c r="B89" s="3" t="s">
        <v>660</v>
      </c>
      <c r="C89" s="47" t="s">
        <v>2348</v>
      </c>
      <c r="D89" s="47">
        <v>0</v>
      </c>
      <c r="E89" s="47" t="s">
        <v>2348</v>
      </c>
      <c r="F89" s="3" t="s">
        <v>2344</v>
      </c>
    </row>
    <row r="90" spans="1:6" x14ac:dyDescent="0.25">
      <c r="A90" s="30">
        <v>44169.781597222223</v>
      </c>
      <c r="B90" s="3" t="s">
        <v>664</v>
      </c>
      <c r="C90" s="47" t="s">
        <v>2369</v>
      </c>
      <c r="D90" s="47">
        <v>0</v>
      </c>
      <c r="E90" s="47" t="s">
        <v>2369</v>
      </c>
      <c r="F90" s="3" t="s">
        <v>2344</v>
      </c>
    </row>
    <row r="91" spans="1:6" x14ac:dyDescent="0.25">
      <c r="A91" s="30">
        <v>44169.781597222223</v>
      </c>
      <c r="B91" s="3" t="s">
        <v>668</v>
      </c>
      <c r="C91" s="47" t="s">
        <v>2348</v>
      </c>
      <c r="D91" s="47">
        <v>0</v>
      </c>
      <c r="E91" s="47" t="s">
        <v>2348</v>
      </c>
      <c r="F91" s="3" t="s">
        <v>2344</v>
      </c>
    </row>
    <row r="92" spans="1:6" x14ac:dyDescent="0.25">
      <c r="A92" s="30">
        <v>44169.781597222223</v>
      </c>
      <c r="B92" s="3" t="s">
        <v>672</v>
      </c>
      <c r="C92" s="47" t="s">
        <v>2348</v>
      </c>
      <c r="D92" s="47">
        <v>0</v>
      </c>
      <c r="E92" s="47" t="s">
        <v>2348</v>
      </c>
      <c r="F92" s="3" t="s">
        <v>2344</v>
      </c>
    </row>
    <row r="93" spans="1:6" x14ac:dyDescent="0.25">
      <c r="A93" s="30">
        <v>44169.781608796293</v>
      </c>
      <c r="B93" s="3" t="s">
        <v>676</v>
      </c>
      <c r="C93" s="47" t="s">
        <v>2348</v>
      </c>
      <c r="D93" s="47">
        <v>0</v>
      </c>
      <c r="E93" s="47" t="s">
        <v>2348</v>
      </c>
      <c r="F93" s="3" t="s">
        <v>2344</v>
      </c>
    </row>
    <row r="94" spans="1:6" x14ac:dyDescent="0.25">
      <c r="A94" s="30">
        <v>44169.781608796293</v>
      </c>
      <c r="B94" s="3" t="s">
        <v>680</v>
      </c>
      <c r="C94" s="47" t="s">
        <v>2348</v>
      </c>
      <c r="D94" s="47">
        <v>0</v>
      </c>
      <c r="E94" s="47" t="s">
        <v>2348</v>
      </c>
      <c r="F94" s="3" t="s">
        <v>2344</v>
      </c>
    </row>
    <row r="95" spans="1:6" x14ac:dyDescent="0.25">
      <c r="A95" s="30">
        <v>44169.78162037037</v>
      </c>
      <c r="B95" s="3" t="s">
        <v>684</v>
      </c>
      <c r="C95" s="47" t="s">
        <v>2348</v>
      </c>
      <c r="D95" s="47">
        <v>0</v>
      </c>
      <c r="E95" s="47" t="s">
        <v>2348</v>
      </c>
      <c r="F95" s="3" t="s">
        <v>2344</v>
      </c>
    </row>
    <row r="96" spans="1:6" x14ac:dyDescent="0.25">
      <c r="A96" s="30">
        <v>44169.78162037037</v>
      </c>
      <c r="B96" s="3" t="s">
        <v>688</v>
      </c>
      <c r="C96" s="47" t="s">
        <v>2347</v>
      </c>
      <c r="D96" s="47">
        <v>0</v>
      </c>
      <c r="E96" s="47" t="s">
        <v>2347</v>
      </c>
      <c r="F96" s="3" t="s">
        <v>2344</v>
      </c>
    </row>
    <row r="97" spans="1:6" x14ac:dyDescent="0.25">
      <c r="A97" s="30">
        <v>44169.78162037037</v>
      </c>
      <c r="B97" s="3" t="s">
        <v>694</v>
      </c>
      <c r="C97" s="47" t="s">
        <v>2395</v>
      </c>
      <c r="D97" s="47">
        <v>0</v>
      </c>
      <c r="E97" s="47" t="s">
        <v>2395</v>
      </c>
      <c r="F97" s="3" t="s">
        <v>2344</v>
      </c>
    </row>
    <row r="98" spans="1:6" x14ac:dyDescent="0.25">
      <c r="A98" s="30">
        <v>44169.781631944446</v>
      </c>
      <c r="B98" s="3" t="s">
        <v>699</v>
      </c>
      <c r="C98" s="47" t="s">
        <v>2348</v>
      </c>
      <c r="D98" s="47">
        <v>0</v>
      </c>
      <c r="E98" s="47" t="s">
        <v>2348</v>
      </c>
      <c r="F98" s="3" t="s">
        <v>2344</v>
      </c>
    </row>
    <row r="99" spans="1:6" x14ac:dyDescent="0.25">
      <c r="A99" s="30">
        <v>44169.781631944446</v>
      </c>
      <c r="B99" s="3" t="s">
        <v>36</v>
      </c>
      <c r="C99" s="47" t="s">
        <v>2352</v>
      </c>
      <c r="D99" s="47">
        <v>0</v>
      </c>
      <c r="E99" s="47" t="s">
        <v>2352</v>
      </c>
      <c r="F99" s="3" t="s">
        <v>2344</v>
      </c>
    </row>
    <row r="100" spans="1:6" x14ac:dyDescent="0.25">
      <c r="A100" s="30">
        <v>44169.781643518516</v>
      </c>
      <c r="B100" s="3" t="s">
        <v>41</v>
      </c>
      <c r="C100" s="47" t="s">
        <v>2361</v>
      </c>
      <c r="D100" s="47">
        <v>0</v>
      </c>
      <c r="E100" s="47" t="s">
        <v>2361</v>
      </c>
      <c r="F100" s="3" t="s">
        <v>2344</v>
      </c>
    </row>
    <row r="101" spans="1:6" x14ac:dyDescent="0.25">
      <c r="A101" s="30">
        <v>44169.781643518516</v>
      </c>
      <c r="B101" s="3" t="s">
        <v>713</v>
      </c>
      <c r="C101" s="47" t="s">
        <v>2398</v>
      </c>
      <c r="D101" s="47">
        <v>0</v>
      </c>
      <c r="E101" s="47" t="s">
        <v>2398</v>
      </c>
      <c r="F101" s="3" t="s">
        <v>2344</v>
      </c>
    </row>
    <row r="102" spans="1:6" x14ac:dyDescent="0.25">
      <c r="A102" s="30">
        <v>44169.781643518516</v>
      </c>
      <c r="B102" s="3" t="s">
        <v>115</v>
      </c>
      <c r="C102" s="47" t="s">
        <v>2399</v>
      </c>
      <c r="D102" s="47">
        <v>0</v>
      </c>
      <c r="E102" s="47" t="s">
        <v>2399</v>
      </c>
      <c r="F102" s="3" t="s">
        <v>2344</v>
      </c>
    </row>
    <row r="103" spans="1:6" x14ac:dyDescent="0.25">
      <c r="A103" s="30">
        <v>44169.781655092593</v>
      </c>
      <c r="B103" s="3" t="s">
        <v>722</v>
      </c>
      <c r="C103" s="47" t="s">
        <v>2347</v>
      </c>
      <c r="D103" s="47">
        <v>0</v>
      </c>
      <c r="E103" s="47" t="s">
        <v>2347</v>
      </c>
      <c r="F103" s="3" t="s">
        <v>2344</v>
      </c>
    </row>
    <row r="104" spans="1:6" x14ac:dyDescent="0.25">
      <c r="A104" s="30">
        <v>44169.781655092593</v>
      </c>
      <c r="B104" s="3" t="s">
        <v>253</v>
      </c>
      <c r="C104" s="47" t="s">
        <v>2372</v>
      </c>
      <c r="D104" s="47">
        <v>0</v>
      </c>
      <c r="E104" s="47" t="s">
        <v>2372</v>
      </c>
      <c r="F104" s="3" t="s">
        <v>2344</v>
      </c>
    </row>
    <row r="105" spans="1:6" x14ac:dyDescent="0.25">
      <c r="A105" s="30">
        <v>44169.781666666669</v>
      </c>
      <c r="B105" s="3" t="s">
        <v>136</v>
      </c>
      <c r="C105" s="47" t="s">
        <v>2362</v>
      </c>
      <c r="D105" s="47">
        <v>0</v>
      </c>
      <c r="E105" s="47" t="s">
        <v>2362</v>
      </c>
      <c r="F105" s="3" t="s">
        <v>2344</v>
      </c>
    </row>
    <row r="106" spans="1:6" x14ac:dyDescent="0.25">
      <c r="A106" s="30">
        <v>44169.781666666669</v>
      </c>
      <c r="B106" s="3" t="s">
        <v>740</v>
      </c>
      <c r="C106" s="47" t="s">
        <v>2367</v>
      </c>
      <c r="D106" s="47">
        <v>0</v>
      </c>
      <c r="E106" s="47" t="s">
        <v>2367</v>
      </c>
      <c r="F106" s="3" t="s">
        <v>2344</v>
      </c>
    </row>
    <row r="107" spans="1:6" x14ac:dyDescent="0.25">
      <c r="A107" s="30">
        <v>44169.781678240739</v>
      </c>
      <c r="B107" s="3" t="s">
        <v>2400</v>
      </c>
      <c r="C107" s="47" t="s">
        <v>2348</v>
      </c>
      <c r="D107" s="47">
        <v>0</v>
      </c>
      <c r="E107" s="47" t="s">
        <v>2348</v>
      </c>
      <c r="F107" s="3" t="s">
        <v>2344</v>
      </c>
    </row>
    <row r="108" spans="1:6" x14ac:dyDescent="0.25">
      <c r="A108" s="30">
        <v>44169.781678240739</v>
      </c>
      <c r="B108" s="3" t="s">
        <v>749</v>
      </c>
      <c r="C108" s="47" t="s">
        <v>2401</v>
      </c>
      <c r="D108" s="47">
        <v>0</v>
      </c>
      <c r="E108" s="47" t="s">
        <v>2401</v>
      </c>
      <c r="F108" s="3" t="s">
        <v>2344</v>
      </c>
    </row>
    <row r="109" spans="1:6" x14ac:dyDescent="0.25">
      <c r="A109" s="30">
        <v>44169.781678240739</v>
      </c>
      <c r="B109" s="3" t="s">
        <v>755</v>
      </c>
      <c r="C109" s="47" t="s">
        <v>2358</v>
      </c>
      <c r="D109" s="47">
        <v>0</v>
      </c>
      <c r="E109" s="47" t="s">
        <v>2358</v>
      </c>
      <c r="F109" s="3" t="s">
        <v>2344</v>
      </c>
    </row>
    <row r="110" spans="1:6" x14ac:dyDescent="0.25">
      <c r="A110" s="30">
        <v>44169.781689814816</v>
      </c>
      <c r="B110" s="3" t="s">
        <v>760</v>
      </c>
      <c r="C110" s="47" t="s">
        <v>2348</v>
      </c>
      <c r="D110" s="47">
        <v>0</v>
      </c>
      <c r="E110" s="47" t="s">
        <v>2348</v>
      </c>
      <c r="F110" s="3" t="s">
        <v>2344</v>
      </c>
    </row>
    <row r="111" spans="1:6" x14ac:dyDescent="0.25">
      <c r="A111" s="30">
        <v>44169.781689814816</v>
      </c>
      <c r="B111" s="3" t="s">
        <v>64</v>
      </c>
      <c r="C111" s="47" t="s">
        <v>2359</v>
      </c>
      <c r="D111" s="47">
        <v>0</v>
      </c>
      <c r="E111" s="47" t="s">
        <v>2359</v>
      </c>
      <c r="F111" s="3" t="s">
        <v>2344</v>
      </c>
    </row>
    <row r="112" spans="1:6" x14ac:dyDescent="0.25">
      <c r="A112" s="30">
        <v>44169.781701388885</v>
      </c>
      <c r="B112" s="3" t="s">
        <v>771</v>
      </c>
      <c r="C112" s="47" t="s">
        <v>2369</v>
      </c>
      <c r="D112" s="47">
        <v>0</v>
      </c>
      <c r="E112" s="47" t="s">
        <v>2369</v>
      </c>
      <c r="F112" s="3" t="s">
        <v>2344</v>
      </c>
    </row>
    <row r="113" spans="1:6" x14ac:dyDescent="0.25">
      <c r="A113" s="30">
        <v>44169.781701388885</v>
      </c>
      <c r="B113" s="3" t="s">
        <v>15</v>
      </c>
      <c r="C113" s="47" t="s">
        <v>2359</v>
      </c>
      <c r="D113" s="47">
        <v>0</v>
      </c>
      <c r="E113" s="47" t="s">
        <v>2359</v>
      </c>
      <c r="F113" s="3" t="s">
        <v>2344</v>
      </c>
    </row>
    <row r="114" spans="1:6" x14ac:dyDescent="0.25">
      <c r="A114" s="30">
        <v>44169.781712962962</v>
      </c>
      <c r="B114" s="3" t="s">
        <v>241</v>
      </c>
      <c r="C114" s="47" t="s">
        <v>2369</v>
      </c>
      <c r="D114" s="47">
        <v>0</v>
      </c>
      <c r="E114" s="47" t="s">
        <v>2369</v>
      </c>
      <c r="F114" s="3" t="s">
        <v>2344</v>
      </c>
    </row>
    <row r="115" spans="1:6" x14ac:dyDescent="0.25">
      <c r="A115" s="30">
        <v>44169.781712962962</v>
      </c>
      <c r="B115" s="3" t="s">
        <v>14</v>
      </c>
      <c r="C115" s="47" t="s">
        <v>2359</v>
      </c>
      <c r="D115" s="47">
        <v>0</v>
      </c>
      <c r="E115" s="47" t="s">
        <v>2359</v>
      </c>
      <c r="F115" s="3" t="s">
        <v>2344</v>
      </c>
    </row>
    <row r="116" spans="1:6" x14ac:dyDescent="0.25">
      <c r="A116" s="30">
        <v>44169.781724537039</v>
      </c>
      <c r="B116" s="3" t="s">
        <v>226</v>
      </c>
      <c r="C116" s="47" t="s">
        <v>2369</v>
      </c>
      <c r="D116" s="47">
        <v>0</v>
      </c>
      <c r="E116" s="47" t="s">
        <v>2369</v>
      </c>
      <c r="F116" s="3" t="s">
        <v>2344</v>
      </c>
    </row>
    <row r="117" spans="1:6" x14ac:dyDescent="0.25">
      <c r="A117" s="30">
        <v>44169.781724537039</v>
      </c>
      <c r="B117" s="3" t="s">
        <v>795</v>
      </c>
      <c r="C117" s="47" t="s">
        <v>2358</v>
      </c>
      <c r="D117" s="47">
        <v>0</v>
      </c>
      <c r="E117" s="47" t="s">
        <v>2358</v>
      </c>
      <c r="F117" s="3" t="s">
        <v>2344</v>
      </c>
    </row>
    <row r="118" spans="1:6" x14ac:dyDescent="0.25">
      <c r="A118" s="30">
        <v>44169.781724537039</v>
      </c>
      <c r="B118" s="3" t="s">
        <v>801</v>
      </c>
      <c r="C118" s="47" t="s">
        <v>2347</v>
      </c>
      <c r="D118" s="47">
        <v>0</v>
      </c>
      <c r="E118" s="47" t="s">
        <v>2347</v>
      </c>
      <c r="F118" s="3" t="s">
        <v>2344</v>
      </c>
    </row>
    <row r="119" spans="1:6" x14ac:dyDescent="0.25">
      <c r="A119" s="30">
        <v>44169.781736111108</v>
      </c>
      <c r="B119" s="3" t="s">
        <v>807</v>
      </c>
      <c r="C119" s="47" t="s">
        <v>2347</v>
      </c>
      <c r="D119" s="47">
        <v>0</v>
      </c>
      <c r="E119" s="47" t="s">
        <v>2347</v>
      </c>
      <c r="F119" s="3" t="s">
        <v>2344</v>
      </c>
    </row>
    <row r="120" spans="1:6" x14ac:dyDescent="0.25">
      <c r="A120" s="30">
        <v>44169.781736111108</v>
      </c>
      <c r="B120" s="3" t="s">
        <v>31</v>
      </c>
      <c r="C120" s="47" t="s">
        <v>2369</v>
      </c>
      <c r="D120" s="47">
        <v>0</v>
      </c>
      <c r="E120" s="47" t="s">
        <v>2369</v>
      </c>
      <c r="F120" s="3" t="s">
        <v>2344</v>
      </c>
    </row>
    <row r="121" spans="1:6" x14ac:dyDescent="0.25">
      <c r="A121" s="30">
        <v>44169.781747685185</v>
      </c>
      <c r="B121" s="3" t="s">
        <v>816</v>
      </c>
      <c r="C121" s="47" t="s">
        <v>2367</v>
      </c>
      <c r="D121" s="47">
        <v>0</v>
      </c>
      <c r="E121" s="47" t="s">
        <v>2367</v>
      </c>
      <c r="F121" s="3" t="s">
        <v>2344</v>
      </c>
    </row>
    <row r="122" spans="1:6" x14ac:dyDescent="0.25">
      <c r="A122" s="30">
        <v>44169.781747685185</v>
      </c>
      <c r="B122" s="3" t="s">
        <v>821</v>
      </c>
      <c r="C122" s="47" t="s">
        <v>2372</v>
      </c>
      <c r="D122" s="47">
        <v>0</v>
      </c>
      <c r="E122" s="47" t="s">
        <v>2372</v>
      </c>
      <c r="F122" s="3" t="s">
        <v>2344</v>
      </c>
    </row>
    <row r="123" spans="1:6" x14ac:dyDescent="0.25">
      <c r="A123" s="30">
        <v>44169.781747685185</v>
      </c>
      <c r="B123" s="3" t="s">
        <v>825</v>
      </c>
      <c r="C123" s="47" t="s">
        <v>2348</v>
      </c>
      <c r="D123" s="47">
        <v>0</v>
      </c>
      <c r="E123" s="47" t="s">
        <v>2348</v>
      </c>
      <c r="F123" s="3" t="s">
        <v>2344</v>
      </c>
    </row>
    <row r="124" spans="1:6" x14ac:dyDescent="0.25">
      <c r="A124" s="30">
        <v>44169.781759259262</v>
      </c>
      <c r="B124" s="3" t="s">
        <v>225</v>
      </c>
      <c r="C124" s="47" t="s">
        <v>2369</v>
      </c>
      <c r="D124" s="47">
        <v>0</v>
      </c>
      <c r="E124" s="47" t="s">
        <v>2369</v>
      </c>
      <c r="F124" s="3" t="s">
        <v>2344</v>
      </c>
    </row>
    <row r="125" spans="1:6" x14ac:dyDescent="0.25">
      <c r="A125" s="30">
        <v>44169.781759259262</v>
      </c>
      <c r="B125" s="3" t="s">
        <v>836</v>
      </c>
      <c r="C125" s="47" t="s">
        <v>2347</v>
      </c>
      <c r="D125" s="47">
        <v>0</v>
      </c>
      <c r="E125" s="47" t="s">
        <v>2347</v>
      </c>
      <c r="F125" s="3" t="s">
        <v>2344</v>
      </c>
    </row>
    <row r="126" spans="1:6" x14ac:dyDescent="0.25">
      <c r="A126" s="30">
        <v>44169.781770833331</v>
      </c>
      <c r="B126" s="3" t="s">
        <v>841</v>
      </c>
      <c r="C126" s="47" t="s">
        <v>2406</v>
      </c>
      <c r="D126" s="47">
        <v>0</v>
      </c>
      <c r="E126" s="47" t="s">
        <v>2406</v>
      </c>
      <c r="F126" s="3" t="s">
        <v>2344</v>
      </c>
    </row>
    <row r="127" spans="1:6" x14ac:dyDescent="0.25">
      <c r="A127" s="30">
        <v>44169.781770833331</v>
      </c>
      <c r="B127" s="3" t="s">
        <v>16</v>
      </c>
      <c r="C127" s="47" t="s">
        <v>2407</v>
      </c>
      <c r="D127" s="47">
        <v>0</v>
      </c>
      <c r="E127" s="47" t="s">
        <v>2407</v>
      </c>
      <c r="F127" s="3" t="s">
        <v>2344</v>
      </c>
    </row>
    <row r="128" spans="1:6" x14ac:dyDescent="0.25">
      <c r="A128" s="30">
        <v>44169.781782407408</v>
      </c>
      <c r="B128" s="3" t="s">
        <v>853</v>
      </c>
      <c r="C128" s="47" t="s">
        <v>2352</v>
      </c>
      <c r="D128" s="47">
        <v>0</v>
      </c>
      <c r="E128" s="47" t="s">
        <v>2352</v>
      </c>
      <c r="F128" s="3" t="s">
        <v>2344</v>
      </c>
    </row>
    <row r="129" spans="1:6" x14ac:dyDescent="0.25">
      <c r="A129" s="30">
        <v>44169.781782407408</v>
      </c>
      <c r="B129" s="3" t="s">
        <v>860</v>
      </c>
      <c r="C129" s="47" t="s">
        <v>2352</v>
      </c>
      <c r="D129" s="47">
        <v>0</v>
      </c>
      <c r="E129" s="47" t="s">
        <v>2352</v>
      </c>
      <c r="F129" s="3" t="s">
        <v>2344</v>
      </c>
    </row>
    <row r="130" spans="1:6" x14ac:dyDescent="0.25">
      <c r="A130" s="30">
        <v>44169.781793981485</v>
      </c>
      <c r="B130" s="3" t="s">
        <v>57</v>
      </c>
      <c r="C130" s="47" t="s">
        <v>2352</v>
      </c>
      <c r="D130" s="47">
        <v>0</v>
      </c>
      <c r="E130" s="47" t="s">
        <v>2352</v>
      </c>
      <c r="F130" s="3" t="s">
        <v>2344</v>
      </c>
    </row>
    <row r="131" spans="1:6" x14ac:dyDescent="0.25">
      <c r="A131" s="30">
        <v>44169.781793981485</v>
      </c>
      <c r="B131" s="3" t="s">
        <v>873</v>
      </c>
      <c r="C131" s="47" t="s">
        <v>2352</v>
      </c>
      <c r="D131" s="47">
        <v>0</v>
      </c>
      <c r="E131" s="47" t="s">
        <v>2352</v>
      </c>
      <c r="F131" s="3" t="s">
        <v>2344</v>
      </c>
    </row>
    <row r="132" spans="1:6" x14ac:dyDescent="0.25">
      <c r="A132" s="30">
        <v>44169.781793981485</v>
      </c>
      <c r="B132" s="3" t="s">
        <v>240</v>
      </c>
      <c r="C132" s="47" t="s">
        <v>2361</v>
      </c>
      <c r="D132" s="47">
        <v>0</v>
      </c>
      <c r="E132" s="47" t="s">
        <v>2361</v>
      </c>
      <c r="F132" s="3" t="s">
        <v>2344</v>
      </c>
    </row>
    <row r="133" spans="1:6" x14ac:dyDescent="0.25">
      <c r="A133" s="30">
        <v>44169.781805555554</v>
      </c>
      <c r="B133" s="3" t="s">
        <v>39</v>
      </c>
      <c r="C133" s="47" t="s">
        <v>2359</v>
      </c>
      <c r="D133" s="47">
        <v>0</v>
      </c>
      <c r="E133" s="47" t="s">
        <v>2359</v>
      </c>
      <c r="F133" s="3" t="s">
        <v>2344</v>
      </c>
    </row>
    <row r="134" spans="1:6" x14ac:dyDescent="0.25">
      <c r="A134" s="30">
        <v>44169.781805555554</v>
      </c>
      <c r="B134" s="3" t="s">
        <v>890</v>
      </c>
      <c r="C134" s="47" t="s">
        <v>2372</v>
      </c>
      <c r="D134" s="47">
        <v>0</v>
      </c>
      <c r="E134" s="47" t="s">
        <v>2372</v>
      </c>
      <c r="F134" s="3" t="s">
        <v>2344</v>
      </c>
    </row>
    <row r="135" spans="1:6" x14ac:dyDescent="0.25">
      <c r="A135" s="30">
        <v>44169.781817129631</v>
      </c>
      <c r="B135" s="3" t="s">
        <v>58</v>
      </c>
      <c r="C135" s="47" t="s">
        <v>2348</v>
      </c>
      <c r="D135" s="47">
        <v>0</v>
      </c>
      <c r="E135" s="47" t="s">
        <v>2348</v>
      </c>
      <c r="F135" s="3" t="s">
        <v>2344</v>
      </c>
    </row>
    <row r="136" spans="1:6" x14ac:dyDescent="0.25">
      <c r="A136" s="30">
        <v>44169.781817129631</v>
      </c>
      <c r="B136" s="3" t="s">
        <v>900</v>
      </c>
      <c r="C136" s="47" t="s">
        <v>2369</v>
      </c>
      <c r="D136" s="47">
        <v>0</v>
      </c>
      <c r="E136" s="47" t="s">
        <v>2369</v>
      </c>
      <c r="F136" s="3" t="s">
        <v>2344</v>
      </c>
    </row>
    <row r="137" spans="1:6" x14ac:dyDescent="0.25">
      <c r="A137" s="30">
        <v>44169.781817129631</v>
      </c>
      <c r="B137" s="3" t="s">
        <v>905</v>
      </c>
      <c r="C137" s="47" t="s">
        <v>2372</v>
      </c>
      <c r="D137" s="47">
        <v>0</v>
      </c>
      <c r="E137" s="47" t="s">
        <v>2372</v>
      </c>
      <c r="F137" s="3" t="s">
        <v>2344</v>
      </c>
    </row>
    <row r="138" spans="1:6" x14ac:dyDescent="0.25">
      <c r="A138" s="30">
        <v>44169.781828703701</v>
      </c>
      <c r="B138" s="3" t="s">
        <v>8</v>
      </c>
      <c r="C138" s="47" t="s">
        <v>2358</v>
      </c>
      <c r="D138" s="47">
        <v>0</v>
      </c>
      <c r="E138" s="47" t="s">
        <v>2358</v>
      </c>
      <c r="F138" s="3" t="s">
        <v>2344</v>
      </c>
    </row>
    <row r="139" spans="1:6" x14ac:dyDescent="0.25">
      <c r="A139" s="30">
        <v>44169.781828703701</v>
      </c>
      <c r="B139" s="3" t="s">
        <v>913</v>
      </c>
      <c r="C139" s="47" t="s">
        <v>2347</v>
      </c>
      <c r="D139" s="47">
        <v>0</v>
      </c>
      <c r="E139" s="47" t="s">
        <v>2347</v>
      </c>
      <c r="F139" s="3" t="s">
        <v>2344</v>
      </c>
    </row>
    <row r="140" spans="1:6" x14ac:dyDescent="0.25">
      <c r="A140" s="30">
        <v>44169.781840277778</v>
      </c>
      <c r="B140" s="3" t="s">
        <v>918</v>
      </c>
      <c r="C140" s="47" t="s">
        <v>2348</v>
      </c>
      <c r="D140" s="47">
        <v>0</v>
      </c>
      <c r="E140" s="47" t="s">
        <v>2348</v>
      </c>
      <c r="F140" s="3" t="s">
        <v>2344</v>
      </c>
    </row>
    <row r="141" spans="1:6" x14ac:dyDescent="0.25">
      <c r="A141" s="30">
        <v>44169.781840277778</v>
      </c>
      <c r="B141" s="3" t="s">
        <v>922</v>
      </c>
      <c r="C141" s="47" t="s">
        <v>2358</v>
      </c>
      <c r="D141" s="47">
        <v>0</v>
      </c>
      <c r="E141" s="47" t="s">
        <v>2358</v>
      </c>
      <c r="F141" s="3" t="s">
        <v>2344</v>
      </c>
    </row>
    <row r="142" spans="1:6" x14ac:dyDescent="0.25">
      <c r="A142" s="30">
        <v>44169.781851851854</v>
      </c>
      <c r="B142" s="3" t="s">
        <v>59</v>
      </c>
      <c r="C142" s="47" t="s">
        <v>2369</v>
      </c>
      <c r="D142" s="47">
        <v>0</v>
      </c>
      <c r="E142" s="47" t="s">
        <v>2369</v>
      </c>
      <c r="F142" s="3" t="s">
        <v>2344</v>
      </c>
    </row>
    <row r="143" spans="1:6" x14ac:dyDescent="0.25">
      <c r="A143" s="30">
        <v>44169.781851851854</v>
      </c>
      <c r="B143" s="3" t="s">
        <v>40</v>
      </c>
      <c r="C143" s="47" t="s">
        <v>2360</v>
      </c>
      <c r="D143" s="47">
        <v>0</v>
      </c>
      <c r="E143" s="47" t="s">
        <v>2360</v>
      </c>
      <c r="F143" s="3" t="s">
        <v>2344</v>
      </c>
    </row>
    <row r="144" spans="1:6" x14ac:dyDescent="0.25">
      <c r="A144" s="30">
        <v>44169.781863425924</v>
      </c>
      <c r="B144" s="3" t="s">
        <v>937</v>
      </c>
      <c r="C144" s="47" t="s">
        <v>2358</v>
      </c>
      <c r="D144" s="47">
        <v>0</v>
      </c>
      <c r="E144" s="47" t="s">
        <v>2358</v>
      </c>
      <c r="F144" s="3" t="s">
        <v>2344</v>
      </c>
    </row>
    <row r="145" spans="1:6" x14ac:dyDescent="0.25">
      <c r="A145" s="30">
        <v>44169.781863425924</v>
      </c>
      <c r="B145" s="3" t="s">
        <v>942</v>
      </c>
      <c r="C145" s="47" t="s">
        <v>2367</v>
      </c>
      <c r="D145" s="47">
        <v>0</v>
      </c>
      <c r="E145" s="47" t="s">
        <v>2367</v>
      </c>
      <c r="F145" s="3" t="s">
        <v>2344</v>
      </c>
    </row>
    <row r="146" spans="1:6" x14ac:dyDescent="0.25">
      <c r="A146" s="30">
        <v>44169.781863425924</v>
      </c>
      <c r="B146" s="3" t="s">
        <v>135</v>
      </c>
      <c r="C146" s="47" t="s">
        <v>2347</v>
      </c>
      <c r="D146" s="47">
        <v>0</v>
      </c>
      <c r="E146" s="47" t="s">
        <v>2347</v>
      </c>
      <c r="F146" s="3" t="s">
        <v>2344</v>
      </c>
    </row>
    <row r="147" spans="1:6" x14ac:dyDescent="0.25">
      <c r="A147" s="30">
        <v>44169.781875000001</v>
      </c>
      <c r="B147" s="3" t="s">
        <v>261</v>
      </c>
      <c r="C147" s="47" t="s">
        <v>2348</v>
      </c>
      <c r="D147" s="47">
        <v>0</v>
      </c>
      <c r="E147" s="47" t="s">
        <v>2348</v>
      </c>
      <c r="F147" s="3" t="s">
        <v>2344</v>
      </c>
    </row>
    <row r="148" spans="1:6" x14ac:dyDescent="0.25">
      <c r="A148" s="30">
        <v>44169.781875000001</v>
      </c>
      <c r="B148" s="3" t="s">
        <v>2411</v>
      </c>
      <c r="C148" s="47" t="s">
        <v>2348</v>
      </c>
      <c r="D148" s="47">
        <v>0</v>
      </c>
      <c r="E148" s="47" t="s">
        <v>2348</v>
      </c>
      <c r="F148" s="3" t="s">
        <v>2344</v>
      </c>
    </row>
    <row r="149" spans="1:6" x14ac:dyDescent="0.25">
      <c r="A149" s="30">
        <v>44169.781886574077</v>
      </c>
      <c r="B149" s="3" t="s">
        <v>2412</v>
      </c>
      <c r="C149" s="47" t="s">
        <v>2362</v>
      </c>
      <c r="D149" s="47">
        <v>0</v>
      </c>
      <c r="E149" s="47" t="s">
        <v>2362</v>
      </c>
      <c r="F149" s="3" t="s">
        <v>2344</v>
      </c>
    </row>
    <row r="150" spans="1:6" x14ac:dyDescent="0.25">
      <c r="A150" s="30">
        <v>44169.781886574077</v>
      </c>
      <c r="B150" s="3" t="s">
        <v>2413</v>
      </c>
      <c r="C150" s="47" t="s">
        <v>2347</v>
      </c>
      <c r="D150" s="47">
        <v>0</v>
      </c>
      <c r="E150" s="47" t="s">
        <v>2347</v>
      </c>
      <c r="F150" s="3" t="s">
        <v>2344</v>
      </c>
    </row>
    <row r="151" spans="1:6" x14ac:dyDescent="0.25">
      <c r="A151" s="30">
        <v>44169.781886574077</v>
      </c>
      <c r="B151" s="3" t="s">
        <v>2414</v>
      </c>
      <c r="C151" s="47" t="s">
        <v>2372</v>
      </c>
      <c r="D151" s="47">
        <v>0</v>
      </c>
      <c r="E151" s="47" t="s">
        <v>2372</v>
      </c>
      <c r="F151" s="3" t="s">
        <v>2344</v>
      </c>
    </row>
    <row r="152" spans="1:6" x14ac:dyDescent="0.25">
      <c r="A152" s="30">
        <v>44169.781898148147</v>
      </c>
      <c r="B152" s="3" t="s">
        <v>2415</v>
      </c>
      <c r="C152" s="47" t="s">
        <v>2347</v>
      </c>
      <c r="D152" s="47">
        <v>0</v>
      </c>
      <c r="E152" s="47" t="s">
        <v>2347</v>
      </c>
      <c r="F152" s="3" t="s">
        <v>2344</v>
      </c>
    </row>
    <row r="153" spans="1:6" x14ac:dyDescent="0.25">
      <c r="A153" s="30">
        <v>44169.781898148147</v>
      </c>
      <c r="B153" s="3" t="s">
        <v>134</v>
      </c>
      <c r="C153" s="47" t="s">
        <v>2369</v>
      </c>
      <c r="D153" s="47">
        <v>0</v>
      </c>
      <c r="E153" s="47" t="s">
        <v>2369</v>
      </c>
      <c r="F153" s="3" t="s">
        <v>2344</v>
      </c>
    </row>
    <row r="154" spans="1:6" x14ac:dyDescent="0.25">
      <c r="A154" s="30">
        <v>44169.781909722224</v>
      </c>
      <c r="B154" s="3" t="s">
        <v>969</v>
      </c>
      <c r="C154" s="47" t="s">
        <v>2348</v>
      </c>
      <c r="D154" s="47">
        <v>0</v>
      </c>
      <c r="E154" s="47" t="s">
        <v>2348</v>
      </c>
      <c r="F154" s="3" t="s">
        <v>2344</v>
      </c>
    </row>
    <row r="155" spans="1:6" x14ac:dyDescent="0.25">
      <c r="A155" s="30">
        <v>44169.781909722224</v>
      </c>
      <c r="B155" s="3" t="s">
        <v>20</v>
      </c>
      <c r="C155" s="47" t="s">
        <v>2348</v>
      </c>
      <c r="D155" s="47">
        <v>0</v>
      </c>
      <c r="E155" s="47" t="s">
        <v>2348</v>
      </c>
      <c r="F155" s="3" t="s">
        <v>2344</v>
      </c>
    </row>
    <row r="156" spans="1:6" x14ac:dyDescent="0.25">
      <c r="A156" s="30">
        <v>44169.781909722224</v>
      </c>
      <c r="B156" s="3" t="s">
        <v>133</v>
      </c>
      <c r="C156" s="47" t="s">
        <v>2367</v>
      </c>
      <c r="D156" s="47">
        <v>0</v>
      </c>
      <c r="E156" s="47" t="s">
        <v>2367</v>
      </c>
      <c r="F156" s="3" t="s">
        <v>2344</v>
      </c>
    </row>
    <row r="157" spans="1:6" x14ac:dyDescent="0.25">
      <c r="A157" s="30">
        <v>44169.781921296293</v>
      </c>
      <c r="B157" s="3" t="s">
        <v>986</v>
      </c>
      <c r="C157" s="47" t="s">
        <v>2362</v>
      </c>
      <c r="D157" s="47">
        <v>0</v>
      </c>
      <c r="E157" s="47" t="s">
        <v>2362</v>
      </c>
      <c r="F157" s="3" t="s">
        <v>2344</v>
      </c>
    </row>
    <row r="158" spans="1:6" x14ac:dyDescent="0.25">
      <c r="A158" s="30">
        <v>44169.781921296293</v>
      </c>
      <c r="B158" s="3" t="s">
        <v>990</v>
      </c>
      <c r="C158" s="47" t="s">
        <v>2352</v>
      </c>
      <c r="D158" s="47">
        <v>0</v>
      </c>
      <c r="E158" s="47" t="s">
        <v>2352</v>
      </c>
      <c r="F158" s="3" t="s">
        <v>2344</v>
      </c>
    </row>
    <row r="159" spans="1:6" x14ac:dyDescent="0.25">
      <c r="A159" s="30">
        <v>44169.78193287037</v>
      </c>
      <c r="B159" s="3" t="s">
        <v>94</v>
      </c>
      <c r="C159" s="47" t="s">
        <v>2352</v>
      </c>
      <c r="D159" s="47">
        <v>0</v>
      </c>
      <c r="E159" s="47" t="s">
        <v>2352</v>
      </c>
      <c r="F159" s="3" t="s">
        <v>2344</v>
      </c>
    </row>
    <row r="160" spans="1:6" x14ac:dyDescent="0.25">
      <c r="A160" s="30">
        <v>44169.78193287037</v>
      </c>
      <c r="B160" s="3" t="s">
        <v>227</v>
      </c>
      <c r="C160" s="47" t="s">
        <v>2372</v>
      </c>
      <c r="D160" s="47">
        <v>0</v>
      </c>
      <c r="E160" s="47" t="s">
        <v>2372</v>
      </c>
      <c r="F160" s="3" t="s">
        <v>2344</v>
      </c>
    </row>
    <row r="161" spans="1:6" x14ac:dyDescent="0.25">
      <c r="A161" s="30">
        <v>44169.781944444447</v>
      </c>
      <c r="B161" s="3" t="s">
        <v>994</v>
      </c>
      <c r="C161" s="47" t="s">
        <v>2372</v>
      </c>
      <c r="D161" s="47">
        <v>0</v>
      </c>
      <c r="E161" s="47" t="s">
        <v>2372</v>
      </c>
      <c r="F161" s="3" t="s">
        <v>2344</v>
      </c>
    </row>
    <row r="162" spans="1:6" x14ac:dyDescent="0.25">
      <c r="A162" s="30">
        <v>44169.781944444447</v>
      </c>
      <c r="B162" s="3" t="s">
        <v>263</v>
      </c>
      <c r="C162" s="47" t="s">
        <v>2358</v>
      </c>
      <c r="D162" s="47">
        <v>0</v>
      </c>
      <c r="E162" s="47" t="s">
        <v>2358</v>
      </c>
      <c r="F162" s="3" t="s">
        <v>2344</v>
      </c>
    </row>
    <row r="163" spans="1:6" x14ac:dyDescent="0.25">
      <c r="A163" s="30">
        <v>44169.781944444447</v>
      </c>
      <c r="B163" s="3" t="s">
        <v>997</v>
      </c>
      <c r="C163" s="47" t="s">
        <v>2367</v>
      </c>
      <c r="D163" s="47">
        <v>0</v>
      </c>
      <c r="E163" s="47" t="s">
        <v>2367</v>
      </c>
      <c r="F163" s="3" t="s">
        <v>2344</v>
      </c>
    </row>
    <row r="164" spans="1:6" x14ac:dyDescent="0.25">
      <c r="A164" s="30">
        <v>44169.781956018516</v>
      </c>
      <c r="B164" s="3" t="s">
        <v>93</v>
      </c>
      <c r="C164" s="47" t="s">
        <v>2358</v>
      </c>
      <c r="D164" s="47">
        <v>0</v>
      </c>
      <c r="E164" s="47" t="s">
        <v>2358</v>
      </c>
      <c r="F164" s="3" t="s">
        <v>2344</v>
      </c>
    </row>
    <row r="165" spans="1:6" x14ac:dyDescent="0.25">
      <c r="A165" s="30">
        <v>44169.781956018516</v>
      </c>
      <c r="B165" s="3" t="s">
        <v>1000</v>
      </c>
      <c r="C165" s="47" t="s">
        <v>2372</v>
      </c>
      <c r="D165" s="47">
        <v>0</v>
      </c>
      <c r="E165" s="47" t="s">
        <v>2372</v>
      </c>
      <c r="F165" s="3" t="s">
        <v>2344</v>
      </c>
    </row>
    <row r="166" spans="1:6" x14ac:dyDescent="0.25">
      <c r="A166" s="30">
        <v>44169.781967592593</v>
      </c>
      <c r="B166" s="3" t="s">
        <v>1002</v>
      </c>
      <c r="C166" s="47" t="s">
        <v>2362</v>
      </c>
      <c r="D166" s="47">
        <v>0</v>
      </c>
      <c r="E166" s="47" t="s">
        <v>2362</v>
      </c>
      <c r="F166" s="3" t="s">
        <v>2344</v>
      </c>
    </row>
    <row r="167" spans="1:6" x14ac:dyDescent="0.25">
      <c r="A167" s="30">
        <v>44169.781967592593</v>
      </c>
      <c r="B167" s="3" t="s">
        <v>202</v>
      </c>
      <c r="C167" s="47" t="s">
        <v>2372</v>
      </c>
      <c r="D167" s="47">
        <v>0</v>
      </c>
      <c r="E167" s="47" t="s">
        <v>2372</v>
      </c>
      <c r="F167" s="3" t="s">
        <v>2344</v>
      </c>
    </row>
    <row r="168" spans="1:6" x14ac:dyDescent="0.25">
      <c r="A168" s="30">
        <v>44169.78197916667</v>
      </c>
      <c r="B168" s="3" t="s">
        <v>262</v>
      </c>
      <c r="C168" s="47" t="s">
        <v>2358</v>
      </c>
      <c r="D168" s="47">
        <v>0</v>
      </c>
      <c r="E168" s="47" t="s">
        <v>2358</v>
      </c>
      <c r="F168" s="3" t="s">
        <v>2344</v>
      </c>
    </row>
    <row r="169" spans="1:6" x14ac:dyDescent="0.25">
      <c r="A169" s="30">
        <v>44169.78197916667</v>
      </c>
      <c r="B169" s="3" t="s">
        <v>23</v>
      </c>
      <c r="C169" s="47" t="s">
        <v>2369</v>
      </c>
      <c r="D169" s="47">
        <v>0</v>
      </c>
      <c r="E169" s="47" t="s">
        <v>2369</v>
      </c>
      <c r="F169" s="3" t="s">
        <v>2344</v>
      </c>
    </row>
    <row r="170" spans="1:6" x14ac:dyDescent="0.25">
      <c r="A170" s="30">
        <v>44169.781990740739</v>
      </c>
      <c r="B170" s="3" t="s">
        <v>1011</v>
      </c>
      <c r="C170" s="47" t="s">
        <v>2348</v>
      </c>
      <c r="D170" s="47">
        <v>0</v>
      </c>
      <c r="E170" s="47" t="s">
        <v>2348</v>
      </c>
      <c r="F170" s="3" t="s">
        <v>2344</v>
      </c>
    </row>
    <row r="171" spans="1:6" x14ac:dyDescent="0.25">
      <c r="A171" s="30">
        <v>44169.781990740739</v>
      </c>
      <c r="B171" s="3" t="s">
        <v>2416</v>
      </c>
      <c r="C171" s="47" t="s">
        <v>2348</v>
      </c>
      <c r="D171" s="47">
        <v>0</v>
      </c>
      <c r="E171" s="47" t="s">
        <v>2348</v>
      </c>
      <c r="F171" s="3" t="s">
        <v>2344</v>
      </c>
    </row>
    <row r="172" spans="1:6" x14ac:dyDescent="0.25">
      <c r="A172" s="30">
        <v>44169.781990740739</v>
      </c>
      <c r="B172" s="3" t="s">
        <v>1020</v>
      </c>
      <c r="C172" s="47" t="s">
        <v>2348</v>
      </c>
      <c r="D172" s="47">
        <v>0</v>
      </c>
      <c r="E172" s="47" t="s">
        <v>2348</v>
      </c>
      <c r="F172" s="3" t="s">
        <v>2344</v>
      </c>
    </row>
    <row r="173" spans="1:6" x14ac:dyDescent="0.25">
      <c r="A173" s="30">
        <v>44169.782002314816</v>
      </c>
      <c r="B173" s="3" t="s">
        <v>13</v>
      </c>
      <c r="C173" s="47" t="s">
        <v>2348</v>
      </c>
      <c r="D173" s="47">
        <v>0</v>
      </c>
      <c r="E173" s="47" t="s">
        <v>2348</v>
      </c>
      <c r="F173" s="3" t="s">
        <v>2344</v>
      </c>
    </row>
    <row r="174" spans="1:6" x14ac:dyDescent="0.25">
      <c r="A174" s="30">
        <v>44169.782002314816</v>
      </c>
      <c r="B174" s="3" t="s">
        <v>1029</v>
      </c>
      <c r="C174" s="47" t="s">
        <v>2347</v>
      </c>
      <c r="D174" s="47">
        <v>0</v>
      </c>
      <c r="E174" s="47" t="s">
        <v>2347</v>
      </c>
      <c r="F174" s="3" t="s">
        <v>2344</v>
      </c>
    </row>
    <row r="175" spans="1:6" x14ac:dyDescent="0.25">
      <c r="A175" s="30">
        <v>44169.782013888886</v>
      </c>
      <c r="B175" s="3" t="s">
        <v>1034</v>
      </c>
      <c r="C175" s="47" t="s">
        <v>2348</v>
      </c>
      <c r="D175" s="47">
        <v>0</v>
      </c>
      <c r="E175" s="47" t="s">
        <v>2348</v>
      </c>
      <c r="F175" s="3" t="s">
        <v>2344</v>
      </c>
    </row>
    <row r="176" spans="1:6" x14ac:dyDescent="0.25">
      <c r="A176" s="30">
        <v>44169.782013888886</v>
      </c>
      <c r="B176" s="3" t="s">
        <v>1038</v>
      </c>
      <c r="C176" s="47" t="s">
        <v>2358</v>
      </c>
      <c r="D176" s="47">
        <v>0</v>
      </c>
      <c r="E176" s="47" t="s">
        <v>2358</v>
      </c>
      <c r="F176" s="3" t="s">
        <v>2344</v>
      </c>
    </row>
    <row r="177" spans="1:6" x14ac:dyDescent="0.25">
      <c r="A177" s="30">
        <v>44169.782025462962</v>
      </c>
      <c r="B177" s="3" t="s">
        <v>219</v>
      </c>
      <c r="C177" s="47" t="s">
        <v>2347</v>
      </c>
      <c r="D177" s="47">
        <v>0</v>
      </c>
      <c r="E177" s="47" t="s">
        <v>2347</v>
      </c>
      <c r="F177" s="3" t="s">
        <v>2344</v>
      </c>
    </row>
    <row r="178" spans="1:6" x14ac:dyDescent="0.25">
      <c r="A178" s="30">
        <v>44169.782025462962</v>
      </c>
      <c r="B178" s="3" t="s">
        <v>38</v>
      </c>
      <c r="C178" s="47" t="s">
        <v>2347</v>
      </c>
      <c r="D178" s="47">
        <v>0</v>
      </c>
      <c r="E178" s="47" t="s">
        <v>2347</v>
      </c>
      <c r="F178" s="3" t="s">
        <v>2344</v>
      </c>
    </row>
    <row r="179" spans="1:6" x14ac:dyDescent="0.25">
      <c r="A179" s="30">
        <v>44169.782025462962</v>
      </c>
      <c r="B179" s="3" t="s">
        <v>220</v>
      </c>
      <c r="C179" s="47" t="s">
        <v>2347</v>
      </c>
      <c r="D179" s="47">
        <v>0</v>
      </c>
      <c r="E179" s="47" t="s">
        <v>2347</v>
      </c>
      <c r="F179" s="3" t="s">
        <v>2344</v>
      </c>
    </row>
    <row r="180" spans="1:6" x14ac:dyDescent="0.25">
      <c r="A180" s="30">
        <v>44169.782037037039</v>
      </c>
      <c r="B180" s="3" t="s">
        <v>2418</v>
      </c>
      <c r="C180" s="47" t="s">
        <v>2359</v>
      </c>
      <c r="D180" s="47">
        <v>0</v>
      </c>
      <c r="E180" s="47" t="s">
        <v>2359</v>
      </c>
      <c r="F180" s="3" t="s">
        <v>2344</v>
      </c>
    </row>
    <row r="181" spans="1:6" x14ac:dyDescent="0.25">
      <c r="A181" s="30">
        <v>44169.782037037039</v>
      </c>
      <c r="B181" s="3" t="s">
        <v>1063</v>
      </c>
      <c r="C181" s="47" t="s">
        <v>2419</v>
      </c>
      <c r="D181" s="47">
        <v>0</v>
      </c>
      <c r="E181" s="47" t="s">
        <v>2419</v>
      </c>
      <c r="F181" s="3" t="s">
        <v>2344</v>
      </c>
    </row>
    <row r="182" spans="1:6" x14ac:dyDescent="0.25">
      <c r="A182" s="30">
        <v>44169.782048611109</v>
      </c>
      <c r="B182" s="3" t="s">
        <v>53</v>
      </c>
      <c r="C182" s="47" t="s">
        <v>2420</v>
      </c>
      <c r="D182" s="47">
        <v>0</v>
      </c>
      <c r="E182" s="47" t="s">
        <v>2420</v>
      </c>
      <c r="F182" s="3" t="s">
        <v>2344</v>
      </c>
    </row>
    <row r="183" spans="1:6" x14ac:dyDescent="0.25">
      <c r="A183" s="30">
        <v>44169.782048611109</v>
      </c>
      <c r="B183" s="3" t="s">
        <v>1073</v>
      </c>
      <c r="C183" s="47" t="s">
        <v>2348</v>
      </c>
      <c r="D183" s="47">
        <v>0</v>
      </c>
      <c r="E183" s="47" t="s">
        <v>2348</v>
      </c>
      <c r="F183" s="3" t="s">
        <v>2344</v>
      </c>
    </row>
    <row r="184" spans="1:6" x14ac:dyDescent="0.25">
      <c r="A184" s="30">
        <v>44169.782060185185</v>
      </c>
      <c r="B184" s="3" t="s">
        <v>1077</v>
      </c>
      <c r="C184" s="47" t="s">
        <v>2348</v>
      </c>
      <c r="D184" s="47">
        <v>0</v>
      </c>
      <c r="E184" s="47" t="s">
        <v>2348</v>
      </c>
      <c r="F184" s="3" t="s">
        <v>2344</v>
      </c>
    </row>
    <row r="185" spans="1:6" x14ac:dyDescent="0.25">
      <c r="A185" s="30">
        <v>44169.782060185185</v>
      </c>
      <c r="B185" s="3" t="s">
        <v>218</v>
      </c>
      <c r="C185" s="47" t="s">
        <v>2352</v>
      </c>
      <c r="D185" s="47">
        <v>0</v>
      </c>
      <c r="E185" s="47" t="s">
        <v>2352</v>
      </c>
      <c r="F185" s="3" t="s">
        <v>2344</v>
      </c>
    </row>
    <row r="186" spans="1:6" x14ac:dyDescent="0.25">
      <c r="A186" s="30">
        <v>44169.782071759262</v>
      </c>
      <c r="B186" s="3" t="s">
        <v>1085</v>
      </c>
      <c r="C186" s="47" t="s">
        <v>2367</v>
      </c>
      <c r="D186" s="47">
        <v>0</v>
      </c>
      <c r="E186" s="47" t="s">
        <v>2367</v>
      </c>
      <c r="F186" s="3" t="s">
        <v>2344</v>
      </c>
    </row>
    <row r="187" spans="1:6" x14ac:dyDescent="0.25">
      <c r="A187" s="30">
        <v>44169.782071759262</v>
      </c>
      <c r="B187" s="3" t="s">
        <v>1090</v>
      </c>
      <c r="C187" s="47" t="s">
        <v>2419</v>
      </c>
      <c r="D187" s="47">
        <v>0</v>
      </c>
      <c r="E187" s="47" t="s">
        <v>2419</v>
      </c>
      <c r="F187" s="3" t="s">
        <v>2344</v>
      </c>
    </row>
    <row r="188" spans="1:6" x14ac:dyDescent="0.25">
      <c r="A188" s="30">
        <v>44169.782071759262</v>
      </c>
      <c r="B188" s="3" t="s">
        <v>26</v>
      </c>
      <c r="C188" s="47" t="s">
        <v>2350</v>
      </c>
      <c r="D188" s="47">
        <v>0</v>
      </c>
      <c r="E188" s="47" t="s">
        <v>2350</v>
      </c>
      <c r="F188" s="3" t="s">
        <v>2344</v>
      </c>
    </row>
    <row r="189" spans="1:6" x14ac:dyDescent="0.25">
      <c r="A189" s="30">
        <v>44169.782071759262</v>
      </c>
      <c r="B189" s="3" t="s">
        <v>178</v>
      </c>
      <c r="C189" s="47" t="s">
        <v>2348</v>
      </c>
      <c r="D189" s="47">
        <v>0</v>
      </c>
      <c r="E189" s="47">
        <v>0</v>
      </c>
      <c r="F189" s="3" t="s">
        <v>2344</v>
      </c>
    </row>
    <row r="190" spans="1:6" x14ac:dyDescent="0.25">
      <c r="A190" s="30">
        <v>44169.782083333332</v>
      </c>
      <c r="B190" s="3" t="s">
        <v>1103</v>
      </c>
      <c r="C190" s="47" t="s">
        <v>2352</v>
      </c>
      <c r="D190" s="47">
        <v>0</v>
      </c>
      <c r="E190" s="47" t="s">
        <v>2352</v>
      </c>
      <c r="F190" s="3" t="s">
        <v>2344</v>
      </c>
    </row>
    <row r="191" spans="1:6" x14ac:dyDescent="0.25">
      <c r="A191" s="30">
        <v>44169.782094907408</v>
      </c>
      <c r="B191" s="3" t="s">
        <v>1110</v>
      </c>
      <c r="C191" s="47" t="s">
        <v>2352</v>
      </c>
      <c r="D191" s="47">
        <v>0</v>
      </c>
      <c r="E191" s="47" t="s">
        <v>2352</v>
      </c>
      <c r="F191" s="3" t="s">
        <v>2344</v>
      </c>
    </row>
    <row r="192" spans="1:6" x14ac:dyDescent="0.25">
      <c r="A192" s="30">
        <v>44169.782094907408</v>
      </c>
      <c r="B192" s="3" t="s">
        <v>1117</v>
      </c>
      <c r="C192" s="47" t="s">
        <v>2348</v>
      </c>
      <c r="D192" s="47">
        <v>0</v>
      </c>
      <c r="E192" s="47" t="s">
        <v>2348</v>
      </c>
      <c r="F192" s="3" t="s">
        <v>2344</v>
      </c>
    </row>
    <row r="193" spans="1:6" x14ac:dyDescent="0.25">
      <c r="A193" s="30">
        <v>44169.782094907408</v>
      </c>
      <c r="B193" s="3" t="s">
        <v>1123</v>
      </c>
      <c r="C193" s="47" t="s">
        <v>2348</v>
      </c>
      <c r="D193" s="47">
        <v>0</v>
      </c>
      <c r="E193" s="47" t="s">
        <v>2348</v>
      </c>
      <c r="F193" s="3" t="s">
        <v>2344</v>
      </c>
    </row>
    <row r="194" spans="1:6" x14ac:dyDescent="0.25">
      <c r="A194" s="30">
        <v>44169.782106481478</v>
      </c>
      <c r="B194" s="3" t="s">
        <v>176</v>
      </c>
      <c r="C194" s="47" t="s">
        <v>2422</v>
      </c>
      <c r="D194" s="47">
        <v>0</v>
      </c>
      <c r="E194" s="47" t="s">
        <v>2422</v>
      </c>
      <c r="F194" s="3" t="s">
        <v>2344</v>
      </c>
    </row>
    <row r="195" spans="1:6" x14ac:dyDescent="0.25">
      <c r="A195" s="30">
        <v>44169.782106481478</v>
      </c>
      <c r="B195" s="3" t="s">
        <v>180</v>
      </c>
      <c r="C195" s="47" t="s">
        <v>2362</v>
      </c>
      <c r="D195" s="47">
        <v>0</v>
      </c>
      <c r="E195" s="47" t="s">
        <v>2362</v>
      </c>
      <c r="F195" s="3" t="s">
        <v>2344</v>
      </c>
    </row>
    <row r="196" spans="1:6" x14ac:dyDescent="0.25">
      <c r="A196" s="30">
        <v>44169.782118055555</v>
      </c>
      <c r="B196" s="3" t="s">
        <v>1141</v>
      </c>
      <c r="C196" s="47" t="s">
        <v>2348</v>
      </c>
      <c r="D196" s="47">
        <v>0</v>
      </c>
      <c r="E196" s="47" t="s">
        <v>2348</v>
      </c>
      <c r="F196" s="3" t="s">
        <v>2344</v>
      </c>
    </row>
    <row r="197" spans="1:6" x14ac:dyDescent="0.25">
      <c r="A197" s="30">
        <v>44169.782118055555</v>
      </c>
      <c r="B197" s="3" t="s">
        <v>189</v>
      </c>
      <c r="C197" s="47" t="s">
        <v>2361</v>
      </c>
      <c r="D197" s="47">
        <v>0</v>
      </c>
      <c r="E197" s="47" t="s">
        <v>2361</v>
      </c>
      <c r="F197" s="3" t="s">
        <v>2344</v>
      </c>
    </row>
    <row r="198" spans="1:6" x14ac:dyDescent="0.25">
      <c r="A198" s="30">
        <v>44169.782129629632</v>
      </c>
      <c r="B198" s="3" t="s">
        <v>1153</v>
      </c>
      <c r="C198" s="47" t="s">
        <v>2348</v>
      </c>
      <c r="D198" s="47">
        <v>0</v>
      </c>
      <c r="E198" s="47" t="s">
        <v>2348</v>
      </c>
      <c r="F198" s="3" t="s">
        <v>2344</v>
      </c>
    </row>
    <row r="199" spans="1:6" x14ac:dyDescent="0.25">
      <c r="A199" s="30">
        <v>44169.782129629632</v>
      </c>
      <c r="B199" s="3" t="s">
        <v>1159</v>
      </c>
      <c r="C199" s="47" t="s">
        <v>2348</v>
      </c>
      <c r="D199" s="47">
        <v>0</v>
      </c>
      <c r="E199" s="47" t="s">
        <v>2348</v>
      </c>
      <c r="F199" s="3" t="s">
        <v>2344</v>
      </c>
    </row>
    <row r="200" spans="1:6" x14ac:dyDescent="0.25">
      <c r="A200" s="30">
        <v>44169.782141203701</v>
      </c>
      <c r="B200" s="3" t="s">
        <v>1165</v>
      </c>
      <c r="C200" s="47" t="s">
        <v>2348</v>
      </c>
      <c r="D200" s="47">
        <v>0</v>
      </c>
      <c r="E200" s="47" t="s">
        <v>2348</v>
      </c>
      <c r="F200" s="3" t="s">
        <v>2344</v>
      </c>
    </row>
    <row r="201" spans="1:6" x14ac:dyDescent="0.25">
      <c r="A201" s="30">
        <v>44169.782141203701</v>
      </c>
      <c r="B201" s="3" t="s">
        <v>1171</v>
      </c>
      <c r="C201" s="47" t="s">
        <v>2348</v>
      </c>
      <c r="D201" s="47">
        <v>0</v>
      </c>
      <c r="E201" s="47" t="s">
        <v>2348</v>
      </c>
      <c r="F201" s="3" t="s">
        <v>2344</v>
      </c>
    </row>
    <row r="202" spans="1:6" x14ac:dyDescent="0.25">
      <c r="A202" s="30">
        <v>44169.782141203701</v>
      </c>
      <c r="B202" s="3" t="s">
        <v>1177</v>
      </c>
      <c r="C202" s="47" t="s">
        <v>2348</v>
      </c>
      <c r="D202" s="47">
        <v>0</v>
      </c>
      <c r="E202" s="47" t="s">
        <v>2348</v>
      </c>
      <c r="F202" s="3" t="s">
        <v>2344</v>
      </c>
    </row>
    <row r="203" spans="1:6" x14ac:dyDescent="0.25">
      <c r="A203" s="30">
        <v>44169.782152777778</v>
      </c>
      <c r="B203" s="3" t="s">
        <v>1183</v>
      </c>
      <c r="C203" s="47" t="s">
        <v>2348</v>
      </c>
      <c r="D203" s="47">
        <v>0</v>
      </c>
      <c r="E203" s="47" t="s">
        <v>2348</v>
      </c>
      <c r="F203" s="3" t="s">
        <v>2344</v>
      </c>
    </row>
    <row r="204" spans="1:6" x14ac:dyDescent="0.25">
      <c r="A204" s="30">
        <v>44169.782152777778</v>
      </c>
      <c r="B204" s="3" t="s">
        <v>1189</v>
      </c>
      <c r="C204" s="47" t="s">
        <v>2348</v>
      </c>
      <c r="D204" s="47">
        <v>0</v>
      </c>
      <c r="E204" s="47" t="s">
        <v>2348</v>
      </c>
      <c r="F204" s="3" t="s">
        <v>2344</v>
      </c>
    </row>
    <row r="205" spans="1:6" x14ac:dyDescent="0.25">
      <c r="A205" s="30">
        <v>44169.782164351855</v>
      </c>
      <c r="B205" s="3" t="s">
        <v>1195</v>
      </c>
      <c r="C205" s="47" t="s">
        <v>2348</v>
      </c>
      <c r="D205" s="47">
        <v>0</v>
      </c>
      <c r="E205" s="47" t="s">
        <v>2348</v>
      </c>
      <c r="F205" s="3" t="s">
        <v>2344</v>
      </c>
    </row>
    <row r="206" spans="1:6" x14ac:dyDescent="0.25">
      <c r="A206" s="30">
        <v>44169.782164351855</v>
      </c>
      <c r="B206" s="3" t="s">
        <v>182</v>
      </c>
      <c r="C206" s="47" t="s">
        <v>2361</v>
      </c>
      <c r="D206" s="47">
        <v>0</v>
      </c>
      <c r="E206" s="47" t="s">
        <v>2361</v>
      </c>
      <c r="F206" s="3" t="s">
        <v>2344</v>
      </c>
    </row>
    <row r="207" spans="1:6" x14ac:dyDescent="0.25">
      <c r="A207" s="30">
        <v>44169.782175925924</v>
      </c>
      <c r="B207" s="3" t="s">
        <v>1207</v>
      </c>
      <c r="C207" s="47" t="s">
        <v>2352</v>
      </c>
      <c r="D207" s="47">
        <v>0</v>
      </c>
      <c r="E207" s="47" t="s">
        <v>2352</v>
      </c>
      <c r="F207" s="3" t="s">
        <v>2344</v>
      </c>
    </row>
    <row r="208" spans="1:6" x14ac:dyDescent="0.25">
      <c r="A208" s="30">
        <v>44169.782175925924</v>
      </c>
      <c r="B208" s="3" t="s">
        <v>1214</v>
      </c>
      <c r="C208" s="47" t="s">
        <v>2348</v>
      </c>
      <c r="D208" s="47">
        <v>0</v>
      </c>
      <c r="E208" s="47" t="s">
        <v>2348</v>
      </c>
      <c r="F208" s="3" t="s">
        <v>2344</v>
      </c>
    </row>
    <row r="209" spans="1:6" x14ac:dyDescent="0.25">
      <c r="A209" s="30">
        <v>44169.782187500001</v>
      </c>
      <c r="B209" s="3" t="s">
        <v>1220</v>
      </c>
      <c r="C209" s="47" t="s">
        <v>2348</v>
      </c>
      <c r="D209" s="47">
        <v>0</v>
      </c>
      <c r="E209" s="47" t="s">
        <v>2348</v>
      </c>
      <c r="F209" s="3" t="s">
        <v>2344</v>
      </c>
    </row>
    <row r="210" spans="1:6" x14ac:dyDescent="0.25">
      <c r="A210" s="30">
        <v>44169.782187500001</v>
      </c>
      <c r="B210" s="3" t="s">
        <v>1226</v>
      </c>
      <c r="C210" s="47" t="s">
        <v>2348</v>
      </c>
      <c r="D210" s="47">
        <v>0</v>
      </c>
      <c r="E210" s="47" t="s">
        <v>2348</v>
      </c>
      <c r="F210" s="3" t="s">
        <v>2344</v>
      </c>
    </row>
    <row r="211" spans="1:6" x14ac:dyDescent="0.25">
      <c r="A211" s="30">
        <v>44169.782187500001</v>
      </c>
      <c r="B211" s="3" t="s">
        <v>1232</v>
      </c>
      <c r="C211" s="47" t="s">
        <v>2348</v>
      </c>
      <c r="D211" s="47">
        <v>0</v>
      </c>
      <c r="E211" s="47" t="s">
        <v>2348</v>
      </c>
      <c r="F211" s="3" t="s">
        <v>2344</v>
      </c>
    </row>
    <row r="212" spans="1:6" x14ac:dyDescent="0.25">
      <c r="A212" s="30">
        <v>44169.782199074078</v>
      </c>
      <c r="B212" s="3" t="s">
        <v>1238</v>
      </c>
      <c r="C212" s="47" t="s">
        <v>2348</v>
      </c>
      <c r="D212" s="47">
        <v>0</v>
      </c>
      <c r="E212" s="47" t="s">
        <v>2348</v>
      </c>
      <c r="F212" s="3" t="s">
        <v>2344</v>
      </c>
    </row>
    <row r="213" spans="1:6" x14ac:dyDescent="0.25">
      <c r="A213" s="30">
        <v>44169.782199074078</v>
      </c>
      <c r="B213" s="3" t="s">
        <v>1244</v>
      </c>
      <c r="C213" s="47" t="s">
        <v>2348</v>
      </c>
      <c r="D213" s="47">
        <v>0</v>
      </c>
      <c r="E213" s="47" t="s">
        <v>2348</v>
      </c>
      <c r="F213" s="3" t="s">
        <v>2344</v>
      </c>
    </row>
    <row r="214" spans="1:6" x14ac:dyDescent="0.25">
      <c r="A214" s="30">
        <v>44169.782210648147</v>
      </c>
      <c r="B214" s="3" t="s">
        <v>1250</v>
      </c>
      <c r="C214" s="47" t="s">
        <v>2348</v>
      </c>
      <c r="D214" s="47">
        <v>0</v>
      </c>
      <c r="E214" s="47" t="s">
        <v>2348</v>
      </c>
      <c r="F214" s="3" t="s">
        <v>2344</v>
      </c>
    </row>
    <row r="215" spans="1:6" x14ac:dyDescent="0.25">
      <c r="A215" s="30">
        <v>44169.782210648147</v>
      </c>
      <c r="B215" s="3" t="s">
        <v>1256</v>
      </c>
      <c r="C215" s="47" t="s">
        <v>2348</v>
      </c>
      <c r="D215" s="47">
        <v>0</v>
      </c>
      <c r="E215" s="47" t="s">
        <v>2348</v>
      </c>
      <c r="F215" s="3" t="s">
        <v>2344</v>
      </c>
    </row>
    <row r="216" spans="1:6" x14ac:dyDescent="0.25">
      <c r="A216" s="30">
        <v>44169.782222222224</v>
      </c>
      <c r="B216" s="3" t="s">
        <v>1262</v>
      </c>
      <c r="C216" s="47" t="s">
        <v>2348</v>
      </c>
      <c r="D216" s="47">
        <v>0</v>
      </c>
      <c r="E216" s="47" t="s">
        <v>2348</v>
      </c>
      <c r="F216" s="3" t="s">
        <v>2344</v>
      </c>
    </row>
    <row r="217" spans="1:6" x14ac:dyDescent="0.25">
      <c r="A217" s="30">
        <v>44169.782222222224</v>
      </c>
      <c r="B217" s="3" t="s">
        <v>1268</v>
      </c>
      <c r="C217" s="47" t="s">
        <v>2348</v>
      </c>
      <c r="D217" s="47">
        <v>0</v>
      </c>
      <c r="E217" s="47" t="s">
        <v>2348</v>
      </c>
      <c r="F217" s="3" t="s">
        <v>2344</v>
      </c>
    </row>
    <row r="218" spans="1:6" x14ac:dyDescent="0.25">
      <c r="A218" s="30">
        <v>44169.782233796293</v>
      </c>
      <c r="B218" s="3" t="s">
        <v>183</v>
      </c>
      <c r="C218" s="47" t="s">
        <v>2365</v>
      </c>
      <c r="D218" s="47">
        <v>0</v>
      </c>
      <c r="E218" s="47" t="s">
        <v>2365</v>
      </c>
      <c r="F218" s="3" t="s">
        <v>2344</v>
      </c>
    </row>
    <row r="219" spans="1:6" x14ac:dyDescent="0.25">
      <c r="A219" s="30">
        <v>44169.782233796293</v>
      </c>
      <c r="B219" s="3" t="s">
        <v>1280</v>
      </c>
      <c r="C219" s="47" t="s">
        <v>2352</v>
      </c>
      <c r="D219" s="47">
        <v>0</v>
      </c>
      <c r="E219" s="47" t="s">
        <v>2352</v>
      </c>
      <c r="F219" s="3" t="s">
        <v>2344</v>
      </c>
    </row>
    <row r="220" spans="1:6" x14ac:dyDescent="0.25">
      <c r="A220" s="30">
        <v>44169.782233796293</v>
      </c>
      <c r="B220" s="3" t="s">
        <v>1287</v>
      </c>
      <c r="C220" s="47" t="s">
        <v>2348</v>
      </c>
      <c r="D220" s="47">
        <v>0</v>
      </c>
      <c r="E220" s="47" t="s">
        <v>2348</v>
      </c>
      <c r="F220" s="3" t="s">
        <v>2344</v>
      </c>
    </row>
    <row r="221" spans="1:6" x14ac:dyDescent="0.25">
      <c r="A221" s="30">
        <v>44169.78224537037</v>
      </c>
      <c r="B221" s="3" t="s">
        <v>1293</v>
      </c>
      <c r="C221" s="47" t="s">
        <v>2348</v>
      </c>
      <c r="D221" s="47">
        <v>0</v>
      </c>
      <c r="E221" s="47" t="s">
        <v>2348</v>
      </c>
      <c r="F221" s="3" t="s">
        <v>2344</v>
      </c>
    </row>
    <row r="222" spans="1:6" x14ac:dyDescent="0.25">
      <c r="A222" s="30">
        <v>44169.78224537037</v>
      </c>
      <c r="B222" s="3" t="s">
        <v>1299</v>
      </c>
      <c r="C222" s="47" t="s">
        <v>2348</v>
      </c>
      <c r="D222" s="47">
        <v>0</v>
      </c>
      <c r="E222" s="47" t="s">
        <v>2348</v>
      </c>
      <c r="F222" s="3" t="s">
        <v>2344</v>
      </c>
    </row>
    <row r="223" spans="1:6" x14ac:dyDescent="0.25">
      <c r="A223" s="30">
        <v>44169.782256944447</v>
      </c>
      <c r="B223" s="3" t="s">
        <v>1305</v>
      </c>
      <c r="C223" s="47" t="s">
        <v>2348</v>
      </c>
      <c r="D223" s="47">
        <v>0</v>
      </c>
      <c r="E223" s="47" t="s">
        <v>2348</v>
      </c>
      <c r="F223" s="3" t="s">
        <v>2344</v>
      </c>
    </row>
    <row r="224" spans="1:6" x14ac:dyDescent="0.25">
      <c r="A224" s="30">
        <v>44169.782256944447</v>
      </c>
      <c r="B224" s="3" t="s">
        <v>1311</v>
      </c>
      <c r="C224" s="47" t="s">
        <v>2348</v>
      </c>
      <c r="D224" s="47">
        <v>0</v>
      </c>
      <c r="E224" s="47" t="s">
        <v>2348</v>
      </c>
      <c r="F224" s="3" t="s">
        <v>2344</v>
      </c>
    </row>
    <row r="225" spans="1:6" x14ac:dyDescent="0.25">
      <c r="A225" s="30">
        <v>44169.782268518517</v>
      </c>
      <c r="B225" s="3" t="s">
        <v>1317</v>
      </c>
      <c r="C225" s="47" t="s">
        <v>2348</v>
      </c>
      <c r="D225" s="47">
        <v>0</v>
      </c>
      <c r="E225" s="47" t="s">
        <v>2348</v>
      </c>
      <c r="F225" s="3" t="s">
        <v>2344</v>
      </c>
    </row>
    <row r="226" spans="1:6" x14ac:dyDescent="0.25">
      <c r="A226" s="30">
        <v>44169.782268518517</v>
      </c>
      <c r="B226" s="3" t="s">
        <v>1323</v>
      </c>
      <c r="C226" s="47" t="s">
        <v>2348</v>
      </c>
      <c r="D226" s="47">
        <v>0</v>
      </c>
      <c r="E226" s="47" t="s">
        <v>2348</v>
      </c>
      <c r="F226" s="3" t="s">
        <v>2344</v>
      </c>
    </row>
    <row r="227" spans="1:6" x14ac:dyDescent="0.25">
      <c r="A227" s="30">
        <v>44169.782280092593</v>
      </c>
      <c r="B227" s="3" t="s">
        <v>1329</v>
      </c>
      <c r="C227" s="47" t="s">
        <v>2348</v>
      </c>
      <c r="D227" s="47">
        <v>0</v>
      </c>
      <c r="E227" s="47" t="s">
        <v>2348</v>
      </c>
      <c r="F227" s="3" t="s">
        <v>2344</v>
      </c>
    </row>
    <row r="228" spans="1:6" x14ac:dyDescent="0.25">
      <c r="A228" s="30">
        <v>44169.782280092593</v>
      </c>
      <c r="B228" s="3" t="s">
        <v>1335</v>
      </c>
      <c r="C228" s="47" t="s">
        <v>2348</v>
      </c>
      <c r="D228" s="47">
        <v>0</v>
      </c>
      <c r="E228" s="47" t="s">
        <v>2348</v>
      </c>
      <c r="F228" s="3" t="s">
        <v>2344</v>
      </c>
    </row>
    <row r="229" spans="1:6" x14ac:dyDescent="0.25">
      <c r="A229" s="30">
        <v>44169.78229166667</v>
      </c>
      <c r="B229" s="3" t="s">
        <v>188</v>
      </c>
      <c r="C229" s="47" t="s">
        <v>2423</v>
      </c>
      <c r="D229" s="47">
        <v>0</v>
      </c>
      <c r="E229" s="47" t="s">
        <v>2423</v>
      </c>
      <c r="F229" s="3" t="s">
        <v>2344</v>
      </c>
    </row>
    <row r="230" spans="1:6" x14ac:dyDescent="0.25">
      <c r="A230" s="30">
        <v>44169.78229166667</v>
      </c>
      <c r="B230" s="3" t="s">
        <v>1347</v>
      </c>
      <c r="C230" s="47" t="s">
        <v>2352</v>
      </c>
      <c r="D230" s="47">
        <v>0</v>
      </c>
      <c r="E230" s="47" t="s">
        <v>2352</v>
      </c>
      <c r="F230" s="3" t="s">
        <v>2344</v>
      </c>
    </row>
    <row r="231" spans="1:6" x14ac:dyDescent="0.25">
      <c r="A231" s="30">
        <v>44169.78230324074</v>
      </c>
      <c r="B231" s="3" t="s">
        <v>1354</v>
      </c>
      <c r="C231" s="47" t="s">
        <v>2348</v>
      </c>
      <c r="D231" s="47">
        <v>0</v>
      </c>
      <c r="E231" s="47" t="s">
        <v>2348</v>
      </c>
      <c r="F231" s="3" t="s">
        <v>2344</v>
      </c>
    </row>
    <row r="232" spans="1:6" x14ac:dyDescent="0.25">
      <c r="A232" s="30">
        <v>44169.78230324074</v>
      </c>
      <c r="B232" s="3" t="s">
        <v>1360</v>
      </c>
      <c r="C232" s="47" t="s">
        <v>2348</v>
      </c>
      <c r="D232" s="47">
        <v>0</v>
      </c>
      <c r="E232" s="47" t="s">
        <v>2348</v>
      </c>
      <c r="F232" s="3" t="s">
        <v>2344</v>
      </c>
    </row>
    <row r="233" spans="1:6" x14ac:dyDescent="0.25">
      <c r="A233" s="30">
        <v>44169.782314814816</v>
      </c>
      <c r="B233" s="3" t="s">
        <v>1366</v>
      </c>
      <c r="C233" s="47" t="s">
        <v>2348</v>
      </c>
      <c r="D233" s="47">
        <v>0</v>
      </c>
      <c r="E233" s="47" t="s">
        <v>2348</v>
      </c>
      <c r="F233" s="3" t="s">
        <v>2344</v>
      </c>
    </row>
    <row r="234" spans="1:6" x14ac:dyDescent="0.25">
      <c r="A234" s="30">
        <v>44169.782314814816</v>
      </c>
      <c r="B234" s="3" t="s">
        <v>1372</v>
      </c>
      <c r="C234" s="47" t="s">
        <v>2348</v>
      </c>
      <c r="D234" s="47">
        <v>0</v>
      </c>
      <c r="E234" s="47" t="s">
        <v>2348</v>
      </c>
      <c r="F234" s="3" t="s">
        <v>2344</v>
      </c>
    </row>
    <row r="235" spans="1:6" x14ac:dyDescent="0.25">
      <c r="A235" s="30">
        <v>44169.782314814816</v>
      </c>
      <c r="B235" s="3" t="s">
        <v>1378</v>
      </c>
      <c r="C235" s="47" t="s">
        <v>2348</v>
      </c>
      <c r="D235" s="47">
        <v>0</v>
      </c>
      <c r="E235" s="47" t="s">
        <v>2348</v>
      </c>
      <c r="F235" s="3" t="s">
        <v>2344</v>
      </c>
    </row>
    <row r="236" spans="1:6" x14ac:dyDescent="0.25">
      <c r="A236" s="30">
        <v>44169.782326388886</v>
      </c>
      <c r="B236" s="3" t="s">
        <v>1384</v>
      </c>
      <c r="C236" s="47" t="s">
        <v>2348</v>
      </c>
      <c r="D236" s="47">
        <v>0</v>
      </c>
      <c r="E236" s="47" t="s">
        <v>2348</v>
      </c>
      <c r="F236" s="3" t="s">
        <v>2344</v>
      </c>
    </row>
    <row r="237" spans="1:6" x14ac:dyDescent="0.25">
      <c r="A237" s="30">
        <v>44169.782326388886</v>
      </c>
      <c r="B237" s="3" t="s">
        <v>1390</v>
      </c>
      <c r="C237" s="47" t="s">
        <v>2348</v>
      </c>
      <c r="D237" s="47">
        <v>0</v>
      </c>
      <c r="E237" s="47" t="s">
        <v>2348</v>
      </c>
      <c r="F237" s="3" t="s">
        <v>2344</v>
      </c>
    </row>
    <row r="238" spans="1:6" x14ac:dyDescent="0.25">
      <c r="A238" s="30">
        <v>44169.782337962963</v>
      </c>
      <c r="B238" s="3" t="s">
        <v>1396</v>
      </c>
      <c r="C238" s="47" t="s">
        <v>2348</v>
      </c>
      <c r="D238" s="47">
        <v>0</v>
      </c>
      <c r="E238" s="47" t="s">
        <v>2348</v>
      </c>
      <c r="F238" s="3" t="s">
        <v>2344</v>
      </c>
    </row>
    <row r="239" spans="1:6" x14ac:dyDescent="0.25">
      <c r="A239" s="30">
        <v>44169.782337962963</v>
      </c>
      <c r="B239" s="3" t="s">
        <v>1402</v>
      </c>
      <c r="C239" s="47" t="s">
        <v>2348</v>
      </c>
      <c r="D239" s="47">
        <v>0</v>
      </c>
      <c r="E239" s="47" t="s">
        <v>2348</v>
      </c>
      <c r="F239" s="3" t="s">
        <v>2344</v>
      </c>
    </row>
    <row r="240" spans="1:6" x14ac:dyDescent="0.25">
      <c r="A240" s="30">
        <v>44169.782349537039</v>
      </c>
      <c r="B240" s="3" t="s">
        <v>1408</v>
      </c>
      <c r="C240" s="47" t="s">
        <v>2348</v>
      </c>
      <c r="D240" s="47">
        <v>0</v>
      </c>
      <c r="E240" s="47" t="s">
        <v>2348</v>
      </c>
      <c r="F240" s="3" t="s">
        <v>2344</v>
      </c>
    </row>
    <row r="241" spans="1:6" x14ac:dyDescent="0.25">
      <c r="A241" s="30">
        <v>44169.782349537039</v>
      </c>
      <c r="B241" s="3" t="s">
        <v>1414</v>
      </c>
      <c r="C241" s="47" t="s">
        <v>2348</v>
      </c>
      <c r="D241" s="47">
        <v>0</v>
      </c>
      <c r="E241" s="47" t="s">
        <v>2348</v>
      </c>
      <c r="F241" s="3" t="s">
        <v>2344</v>
      </c>
    </row>
    <row r="242" spans="1:6" x14ac:dyDescent="0.25">
      <c r="A242" s="30">
        <v>44169.782361111109</v>
      </c>
      <c r="B242" s="3" t="s">
        <v>1420</v>
      </c>
      <c r="C242" s="47" t="s">
        <v>2348</v>
      </c>
      <c r="D242" s="47">
        <v>0</v>
      </c>
      <c r="E242" s="47" t="s">
        <v>2348</v>
      </c>
      <c r="F242" s="3" t="s">
        <v>2344</v>
      </c>
    </row>
    <row r="243" spans="1:6" x14ac:dyDescent="0.25">
      <c r="A243" s="30">
        <v>44169.782361111109</v>
      </c>
      <c r="B243" s="3" t="s">
        <v>1426</v>
      </c>
      <c r="C243" s="47" t="s">
        <v>2348</v>
      </c>
      <c r="D243" s="47">
        <v>0</v>
      </c>
      <c r="E243" s="47" t="s">
        <v>2348</v>
      </c>
      <c r="F243" s="3" t="s">
        <v>2344</v>
      </c>
    </row>
    <row r="244" spans="1:6" x14ac:dyDescent="0.25">
      <c r="A244" s="30">
        <v>44169.782372685186</v>
      </c>
      <c r="B244" s="3" t="s">
        <v>1432</v>
      </c>
      <c r="C244" s="47" t="s">
        <v>2348</v>
      </c>
      <c r="D244" s="47">
        <v>0</v>
      </c>
      <c r="E244" s="47" t="s">
        <v>2348</v>
      </c>
      <c r="F244" s="3" t="s">
        <v>2344</v>
      </c>
    </row>
    <row r="245" spans="1:6" x14ac:dyDescent="0.25">
      <c r="A245" s="30">
        <v>44169.782372685186</v>
      </c>
      <c r="B245" s="3" t="s">
        <v>1438</v>
      </c>
      <c r="C245" s="47" t="s">
        <v>2348</v>
      </c>
      <c r="D245" s="47">
        <v>0</v>
      </c>
      <c r="E245" s="47" t="s">
        <v>2348</v>
      </c>
      <c r="F245" s="3" t="s">
        <v>2344</v>
      </c>
    </row>
    <row r="246" spans="1:6" x14ac:dyDescent="0.25">
      <c r="A246" s="30">
        <v>44169.782384259262</v>
      </c>
      <c r="B246" s="3" t="s">
        <v>1444</v>
      </c>
      <c r="C246" s="47" t="s">
        <v>2348</v>
      </c>
      <c r="D246" s="47">
        <v>0</v>
      </c>
      <c r="E246" s="47" t="s">
        <v>2348</v>
      </c>
      <c r="F246" s="3" t="s">
        <v>2344</v>
      </c>
    </row>
    <row r="247" spans="1:6" x14ac:dyDescent="0.25">
      <c r="A247" s="30">
        <v>44169.782384259262</v>
      </c>
      <c r="B247" s="3" t="s">
        <v>1450</v>
      </c>
      <c r="C247" s="47" t="s">
        <v>2348</v>
      </c>
      <c r="D247" s="47">
        <v>0</v>
      </c>
      <c r="E247" s="47" t="s">
        <v>2348</v>
      </c>
      <c r="F247" s="3" t="s">
        <v>2344</v>
      </c>
    </row>
    <row r="248" spans="1:6" x14ac:dyDescent="0.25">
      <c r="A248" s="30">
        <v>44169.782395833332</v>
      </c>
      <c r="B248" s="3" t="s">
        <v>1456</v>
      </c>
      <c r="C248" s="47" t="s">
        <v>2348</v>
      </c>
      <c r="D248" s="47">
        <v>0</v>
      </c>
      <c r="E248" s="47" t="s">
        <v>2348</v>
      </c>
      <c r="F248" s="3" t="s">
        <v>2344</v>
      </c>
    </row>
    <row r="249" spans="1:6" x14ac:dyDescent="0.25">
      <c r="A249" s="30">
        <v>44169.782395833332</v>
      </c>
      <c r="B249" s="3" t="s">
        <v>1462</v>
      </c>
      <c r="C249" s="47" t="s">
        <v>2352</v>
      </c>
      <c r="D249" s="47">
        <v>0</v>
      </c>
      <c r="E249" s="47" t="s">
        <v>2352</v>
      </c>
      <c r="F249" s="3" t="s">
        <v>2344</v>
      </c>
    </row>
    <row r="250" spans="1:6" x14ac:dyDescent="0.25">
      <c r="A250" s="30">
        <v>44169.782395833332</v>
      </c>
      <c r="B250" s="3" t="s">
        <v>1469</v>
      </c>
      <c r="C250" s="47" t="s">
        <v>2348</v>
      </c>
      <c r="D250" s="47">
        <v>0</v>
      </c>
      <c r="E250" s="47" t="s">
        <v>2348</v>
      </c>
      <c r="F250" s="3" t="s">
        <v>2344</v>
      </c>
    </row>
    <row r="251" spans="1:6" x14ac:dyDescent="0.25">
      <c r="A251" s="30">
        <v>44169.782407407409</v>
      </c>
      <c r="B251" s="3" t="s">
        <v>1475</v>
      </c>
      <c r="C251" s="47" t="s">
        <v>2348</v>
      </c>
      <c r="D251" s="47">
        <v>0</v>
      </c>
      <c r="E251" s="47" t="s">
        <v>2348</v>
      </c>
      <c r="F251" s="3" t="s">
        <v>2344</v>
      </c>
    </row>
    <row r="252" spans="1:6" x14ac:dyDescent="0.25">
      <c r="A252" s="30">
        <v>44169.782407407409</v>
      </c>
      <c r="B252" s="3" t="s">
        <v>1481</v>
      </c>
      <c r="C252" s="47" t="s">
        <v>2348</v>
      </c>
      <c r="D252" s="47">
        <v>0</v>
      </c>
      <c r="E252" s="47" t="s">
        <v>2348</v>
      </c>
      <c r="F252" s="3" t="s">
        <v>2344</v>
      </c>
    </row>
    <row r="253" spans="1:6" x14ac:dyDescent="0.25">
      <c r="A253" s="30">
        <v>44169.782418981478</v>
      </c>
      <c r="B253" s="3" t="s">
        <v>1487</v>
      </c>
      <c r="C253" s="47" t="s">
        <v>2348</v>
      </c>
      <c r="D253" s="47">
        <v>0</v>
      </c>
      <c r="E253" s="47" t="s">
        <v>2348</v>
      </c>
      <c r="F253" s="3" t="s">
        <v>2344</v>
      </c>
    </row>
    <row r="254" spans="1:6" x14ac:dyDescent="0.25">
      <c r="A254" s="30">
        <v>44169.782418981478</v>
      </c>
      <c r="B254" s="3" t="s">
        <v>1493</v>
      </c>
      <c r="C254" s="47" t="s">
        <v>2348</v>
      </c>
      <c r="D254" s="47">
        <v>0</v>
      </c>
      <c r="E254" s="47" t="s">
        <v>2348</v>
      </c>
      <c r="F254" s="3" t="s">
        <v>2344</v>
      </c>
    </row>
    <row r="255" spans="1:6" x14ac:dyDescent="0.25">
      <c r="A255" s="30">
        <v>44169.782418981478</v>
      </c>
      <c r="B255" s="3" t="s">
        <v>1499</v>
      </c>
      <c r="C255" s="47" t="s">
        <v>2348</v>
      </c>
      <c r="D255" s="47">
        <v>0</v>
      </c>
      <c r="E255" s="47" t="s">
        <v>2348</v>
      </c>
      <c r="F255" s="3" t="s">
        <v>2344</v>
      </c>
    </row>
    <row r="256" spans="1:6" x14ac:dyDescent="0.25">
      <c r="A256" s="30">
        <v>44169.782430555555</v>
      </c>
      <c r="B256" s="3" t="s">
        <v>1505</v>
      </c>
      <c r="C256" s="47" t="s">
        <v>2348</v>
      </c>
      <c r="D256" s="47">
        <v>0</v>
      </c>
      <c r="E256" s="47" t="s">
        <v>2348</v>
      </c>
      <c r="F256" s="3" t="s">
        <v>2344</v>
      </c>
    </row>
    <row r="257" spans="1:6" x14ac:dyDescent="0.25">
      <c r="A257" s="30">
        <v>44169.782430555555</v>
      </c>
      <c r="B257" s="3" t="s">
        <v>1511</v>
      </c>
      <c r="C257" s="47" t="s">
        <v>2348</v>
      </c>
      <c r="D257" s="47">
        <v>0</v>
      </c>
      <c r="E257" s="47" t="s">
        <v>2348</v>
      </c>
      <c r="F257" s="3" t="s">
        <v>2344</v>
      </c>
    </row>
    <row r="258" spans="1:6" x14ac:dyDescent="0.25">
      <c r="A258" s="30">
        <v>44169.782442129632</v>
      </c>
      <c r="B258" s="3" t="s">
        <v>1517</v>
      </c>
      <c r="C258" s="47" t="s">
        <v>2348</v>
      </c>
      <c r="D258" s="47">
        <v>0</v>
      </c>
      <c r="E258" s="47" t="s">
        <v>2348</v>
      </c>
      <c r="F258" s="3" t="s">
        <v>2344</v>
      </c>
    </row>
    <row r="259" spans="1:6" x14ac:dyDescent="0.25">
      <c r="A259" s="30">
        <v>44169.782442129632</v>
      </c>
      <c r="B259" s="3" t="s">
        <v>1523</v>
      </c>
      <c r="C259" s="47" t="s">
        <v>2348</v>
      </c>
      <c r="D259" s="47">
        <v>0</v>
      </c>
      <c r="E259" s="47" t="s">
        <v>2348</v>
      </c>
      <c r="F259" s="3" t="s">
        <v>2344</v>
      </c>
    </row>
    <row r="260" spans="1:6" x14ac:dyDescent="0.25">
      <c r="A260" s="30">
        <v>44169.782453703701</v>
      </c>
      <c r="B260" s="3" t="s">
        <v>187</v>
      </c>
      <c r="C260" s="47" t="s">
        <v>2360</v>
      </c>
      <c r="D260" s="47">
        <v>0</v>
      </c>
      <c r="E260" s="47" t="s">
        <v>2360</v>
      </c>
      <c r="F260" s="3" t="s">
        <v>2344</v>
      </c>
    </row>
    <row r="261" spans="1:6" x14ac:dyDescent="0.25">
      <c r="A261" s="30">
        <v>44169.782453703701</v>
      </c>
      <c r="B261" s="3" t="s">
        <v>1535</v>
      </c>
      <c r="C261" s="47" t="s">
        <v>2352</v>
      </c>
      <c r="D261" s="47">
        <v>0</v>
      </c>
      <c r="E261" s="47" t="s">
        <v>2352</v>
      </c>
      <c r="F261" s="3" t="s">
        <v>2344</v>
      </c>
    </row>
    <row r="262" spans="1:6" x14ac:dyDescent="0.25">
      <c r="A262" s="30">
        <v>44169.782465277778</v>
      </c>
      <c r="B262" s="3" t="s">
        <v>186</v>
      </c>
      <c r="C262" s="47" t="s">
        <v>2360</v>
      </c>
      <c r="D262" s="47">
        <v>0</v>
      </c>
      <c r="E262" s="47" t="s">
        <v>2360</v>
      </c>
      <c r="F262" s="3" t="s">
        <v>2344</v>
      </c>
    </row>
    <row r="263" spans="1:6" x14ac:dyDescent="0.25">
      <c r="A263" s="30">
        <v>44169.782465277778</v>
      </c>
      <c r="B263" s="3" t="s">
        <v>1548</v>
      </c>
      <c r="C263" s="47" t="s">
        <v>2348</v>
      </c>
      <c r="D263" s="47">
        <v>0</v>
      </c>
      <c r="E263" s="47" t="s">
        <v>2348</v>
      </c>
      <c r="F263" s="3" t="s">
        <v>2344</v>
      </c>
    </row>
    <row r="264" spans="1:6" x14ac:dyDescent="0.25">
      <c r="A264" s="30">
        <v>44169.782476851855</v>
      </c>
      <c r="B264" s="3" t="s">
        <v>1554</v>
      </c>
      <c r="C264" s="47" t="s">
        <v>2348</v>
      </c>
      <c r="D264" s="47">
        <v>0</v>
      </c>
      <c r="E264" s="47" t="s">
        <v>2348</v>
      </c>
      <c r="F264" s="3" t="s">
        <v>2344</v>
      </c>
    </row>
    <row r="265" spans="1:6" x14ac:dyDescent="0.25">
      <c r="A265" s="30">
        <v>44169.782476851855</v>
      </c>
      <c r="B265" s="3" t="s">
        <v>1560</v>
      </c>
      <c r="C265" s="47" t="s">
        <v>2348</v>
      </c>
      <c r="D265" s="47">
        <v>0</v>
      </c>
      <c r="E265" s="47" t="s">
        <v>2348</v>
      </c>
      <c r="F265" s="3" t="s">
        <v>2344</v>
      </c>
    </row>
    <row r="266" spans="1:6" x14ac:dyDescent="0.25">
      <c r="A266" s="30">
        <v>44169.782488425924</v>
      </c>
      <c r="B266" s="3" t="s">
        <v>1566</v>
      </c>
      <c r="C266" s="47" t="s">
        <v>2348</v>
      </c>
      <c r="D266" s="47">
        <v>0</v>
      </c>
      <c r="E266" s="47" t="s">
        <v>2348</v>
      </c>
      <c r="F266" s="3" t="s">
        <v>2344</v>
      </c>
    </row>
    <row r="267" spans="1:6" x14ac:dyDescent="0.25">
      <c r="A267" s="30">
        <v>44169.782488425924</v>
      </c>
      <c r="B267" s="3" t="s">
        <v>1572</v>
      </c>
      <c r="C267" s="47" t="s">
        <v>2348</v>
      </c>
      <c r="D267" s="47">
        <v>0</v>
      </c>
      <c r="E267" s="47" t="s">
        <v>2348</v>
      </c>
      <c r="F267" s="3" t="s">
        <v>2344</v>
      </c>
    </row>
    <row r="268" spans="1:6" x14ac:dyDescent="0.25">
      <c r="A268" s="30">
        <v>44169.782488425924</v>
      </c>
      <c r="B268" s="3" t="s">
        <v>1578</v>
      </c>
      <c r="C268" s="47" t="s">
        <v>2348</v>
      </c>
      <c r="D268" s="47">
        <v>0</v>
      </c>
      <c r="E268" s="47" t="s">
        <v>2348</v>
      </c>
      <c r="F268" s="3" t="s">
        <v>2344</v>
      </c>
    </row>
    <row r="269" spans="1:6" x14ac:dyDescent="0.25">
      <c r="A269" s="30">
        <v>44169.782500000001</v>
      </c>
      <c r="B269" s="3" t="s">
        <v>1584</v>
      </c>
      <c r="C269" s="47" t="s">
        <v>2348</v>
      </c>
      <c r="D269" s="47">
        <v>0</v>
      </c>
      <c r="E269" s="47" t="s">
        <v>2348</v>
      </c>
      <c r="F269" s="3" t="s">
        <v>2344</v>
      </c>
    </row>
    <row r="270" spans="1:6" x14ac:dyDescent="0.25">
      <c r="A270" s="30">
        <v>44169.782500000001</v>
      </c>
      <c r="B270" s="3" t="s">
        <v>1590</v>
      </c>
      <c r="C270" s="47" t="s">
        <v>2348</v>
      </c>
      <c r="D270" s="47">
        <v>0</v>
      </c>
      <c r="E270" s="47" t="s">
        <v>2348</v>
      </c>
      <c r="F270" s="3" t="s">
        <v>2344</v>
      </c>
    </row>
    <row r="271" spans="1:6" x14ac:dyDescent="0.25">
      <c r="A271" s="30">
        <v>44169.782511574071</v>
      </c>
      <c r="B271" s="3" t="s">
        <v>1596</v>
      </c>
      <c r="C271" s="47" t="s">
        <v>2348</v>
      </c>
      <c r="D271" s="47">
        <v>0</v>
      </c>
      <c r="E271" s="47" t="s">
        <v>2348</v>
      </c>
      <c r="F271" s="3" t="s">
        <v>2344</v>
      </c>
    </row>
    <row r="272" spans="1:6" x14ac:dyDescent="0.25">
      <c r="A272" s="30">
        <v>44169.782511574071</v>
      </c>
      <c r="B272" s="3" t="s">
        <v>1602</v>
      </c>
      <c r="C272" s="47" t="s">
        <v>2348</v>
      </c>
      <c r="D272" s="47">
        <v>0</v>
      </c>
      <c r="E272" s="47" t="s">
        <v>2348</v>
      </c>
      <c r="F272" s="3" t="s">
        <v>2344</v>
      </c>
    </row>
    <row r="273" spans="1:6" x14ac:dyDescent="0.25">
      <c r="A273" s="30">
        <v>44169.782523148147</v>
      </c>
      <c r="B273" s="3" t="s">
        <v>1608</v>
      </c>
      <c r="C273" s="47" t="s">
        <v>2348</v>
      </c>
      <c r="D273" s="47">
        <v>0</v>
      </c>
      <c r="E273" s="47" t="s">
        <v>2348</v>
      </c>
      <c r="F273" s="3" t="s">
        <v>2344</v>
      </c>
    </row>
    <row r="274" spans="1:6" x14ac:dyDescent="0.25">
      <c r="A274" s="30">
        <v>44169.782523148147</v>
      </c>
      <c r="B274" s="3" t="s">
        <v>1614</v>
      </c>
      <c r="C274" s="47" t="s">
        <v>2348</v>
      </c>
      <c r="D274" s="47">
        <v>0</v>
      </c>
      <c r="E274" s="47" t="s">
        <v>2348</v>
      </c>
      <c r="F274" s="3" t="s">
        <v>2344</v>
      </c>
    </row>
    <row r="275" spans="1:6" x14ac:dyDescent="0.25">
      <c r="A275" s="30">
        <v>44169.782523148147</v>
      </c>
      <c r="B275" s="3" t="s">
        <v>181</v>
      </c>
      <c r="C275" s="47" t="s">
        <v>2361</v>
      </c>
      <c r="D275" s="47">
        <v>0</v>
      </c>
      <c r="E275" s="47" t="s">
        <v>2361</v>
      </c>
      <c r="F275" s="3" t="s">
        <v>2344</v>
      </c>
    </row>
    <row r="276" spans="1:6" x14ac:dyDescent="0.25">
      <c r="A276" s="30">
        <v>44169.782534722224</v>
      </c>
      <c r="B276" s="3" t="s">
        <v>1626</v>
      </c>
      <c r="C276" s="47" t="s">
        <v>2352</v>
      </c>
      <c r="D276" s="47">
        <v>0</v>
      </c>
      <c r="E276" s="47" t="s">
        <v>2352</v>
      </c>
      <c r="F276" s="3" t="s">
        <v>2344</v>
      </c>
    </row>
    <row r="277" spans="1:6" x14ac:dyDescent="0.25">
      <c r="A277" s="30">
        <v>44169.782534722224</v>
      </c>
      <c r="B277" s="3" t="s">
        <v>1633</v>
      </c>
      <c r="C277" s="47" t="s">
        <v>2348</v>
      </c>
      <c r="D277" s="47">
        <v>0</v>
      </c>
      <c r="E277" s="47" t="s">
        <v>2348</v>
      </c>
      <c r="F277" s="3" t="s">
        <v>2344</v>
      </c>
    </row>
    <row r="278" spans="1:6" x14ac:dyDescent="0.25">
      <c r="A278" s="30">
        <v>44169.782546296294</v>
      </c>
      <c r="B278" s="3" t="s">
        <v>1639</v>
      </c>
      <c r="C278" s="47" t="s">
        <v>2348</v>
      </c>
      <c r="D278" s="47">
        <v>0</v>
      </c>
      <c r="E278" s="47" t="s">
        <v>2348</v>
      </c>
      <c r="F278" s="3" t="s">
        <v>2344</v>
      </c>
    </row>
    <row r="279" spans="1:6" x14ac:dyDescent="0.25">
      <c r="A279" s="30">
        <v>44169.782546296294</v>
      </c>
      <c r="B279" s="3" t="s">
        <v>1645</v>
      </c>
      <c r="C279" s="47" t="s">
        <v>2348</v>
      </c>
      <c r="D279" s="47">
        <v>0</v>
      </c>
      <c r="E279" s="47" t="s">
        <v>2348</v>
      </c>
      <c r="F279" s="3" t="s">
        <v>2344</v>
      </c>
    </row>
    <row r="280" spans="1:6" x14ac:dyDescent="0.25">
      <c r="A280" s="30">
        <v>44169.782557870371</v>
      </c>
      <c r="B280" s="3" t="s">
        <v>1651</v>
      </c>
      <c r="C280" s="47" t="s">
        <v>2348</v>
      </c>
      <c r="D280" s="47">
        <v>0</v>
      </c>
      <c r="E280" s="47" t="s">
        <v>2348</v>
      </c>
      <c r="F280" s="3" t="s">
        <v>2344</v>
      </c>
    </row>
    <row r="281" spans="1:6" x14ac:dyDescent="0.25">
      <c r="A281" s="30">
        <v>44169.782557870371</v>
      </c>
      <c r="B281" s="3" t="s">
        <v>1657</v>
      </c>
      <c r="C281" s="47" t="s">
        <v>2348</v>
      </c>
      <c r="D281" s="47">
        <v>0</v>
      </c>
      <c r="E281" s="47" t="s">
        <v>2348</v>
      </c>
      <c r="F281" s="3" t="s">
        <v>2344</v>
      </c>
    </row>
    <row r="282" spans="1:6" x14ac:dyDescent="0.25">
      <c r="A282" s="30">
        <v>44169.782569444447</v>
      </c>
      <c r="B282" s="3" t="s">
        <v>1663</v>
      </c>
      <c r="C282" s="47" t="s">
        <v>2348</v>
      </c>
      <c r="D282" s="47">
        <v>0</v>
      </c>
      <c r="E282" s="47" t="s">
        <v>2348</v>
      </c>
      <c r="F282" s="3" t="s">
        <v>2344</v>
      </c>
    </row>
    <row r="283" spans="1:6" x14ac:dyDescent="0.25">
      <c r="A283" s="30">
        <v>44169.782569444447</v>
      </c>
      <c r="B283" s="3" t="s">
        <v>1669</v>
      </c>
      <c r="C283" s="47" t="s">
        <v>2348</v>
      </c>
      <c r="D283" s="47">
        <v>0</v>
      </c>
      <c r="E283" s="47" t="s">
        <v>2348</v>
      </c>
      <c r="F283" s="3" t="s">
        <v>2344</v>
      </c>
    </row>
    <row r="284" spans="1:6" x14ac:dyDescent="0.25">
      <c r="A284" s="30">
        <v>44169.782581018517</v>
      </c>
      <c r="B284" s="3" t="s">
        <v>1675</v>
      </c>
      <c r="C284" s="47" t="s">
        <v>2348</v>
      </c>
      <c r="D284" s="47">
        <v>0</v>
      </c>
      <c r="E284" s="47" t="s">
        <v>2348</v>
      </c>
      <c r="F284" s="3" t="s">
        <v>2344</v>
      </c>
    </row>
    <row r="285" spans="1:6" x14ac:dyDescent="0.25">
      <c r="A285" s="30">
        <v>44169.782581018517</v>
      </c>
      <c r="B285" s="3" t="s">
        <v>1681</v>
      </c>
      <c r="C285" s="47" t="s">
        <v>2348</v>
      </c>
      <c r="D285" s="47">
        <v>0</v>
      </c>
      <c r="E285" s="47" t="s">
        <v>2348</v>
      </c>
      <c r="F285" s="3" t="s">
        <v>2344</v>
      </c>
    </row>
    <row r="286" spans="1:6" x14ac:dyDescent="0.25">
      <c r="A286" s="30">
        <v>44169.782592592594</v>
      </c>
      <c r="B286" s="3" t="s">
        <v>1687</v>
      </c>
      <c r="C286" s="47" t="s">
        <v>2348</v>
      </c>
      <c r="D286" s="47">
        <v>0</v>
      </c>
      <c r="E286" s="47" t="s">
        <v>2348</v>
      </c>
      <c r="F286" s="3" t="s">
        <v>2344</v>
      </c>
    </row>
    <row r="287" spans="1:6" x14ac:dyDescent="0.25">
      <c r="A287" s="30">
        <v>44169.782592592594</v>
      </c>
      <c r="B287" s="3" t="s">
        <v>1693</v>
      </c>
      <c r="C287" s="47" t="s">
        <v>2352</v>
      </c>
      <c r="D287" s="47">
        <v>0</v>
      </c>
      <c r="E287" s="47" t="s">
        <v>2352</v>
      </c>
      <c r="F287" s="3" t="s">
        <v>2344</v>
      </c>
    </row>
    <row r="288" spans="1:6" x14ac:dyDescent="0.25">
      <c r="A288" s="30">
        <v>44169.782592592594</v>
      </c>
      <c r="B288" s="3" t="s">
        <v>1700</v>
      </c>
      <c r="C288" s="47" t="s">
        <v>2348</v>
      </c>
      <c r="D288" s="47">
        <v>0</v>
      </c>
      <c r="E288" s="47" t="s">
        <v>2348</v>
      </c>
      <c r="F288" s="3" t="s">
        <v>2344</v>
      </c>
    </row>
    <row r="289" spans="1:6" x14ac:dyDescent="0.25">
      <c r="A289" s="30">
        <v>44169.782604166663</v>
      </c>
      <c r="B289" s="3" t="s">
        <v>1706</v>
      </c>
      <c r="C289" s="47" t="s">
        <v>2348</v>
      </c>
      <c r="D289" s="47">
        <v>0</v>
      </c>
      <c r="E289" s="47" t="s">
        <v>2348</v>
      </c>
      <c r="F289" s="3" t="s">
        <v>2344</v>
      </c>
    </row>
    <row r="290" spans="1:6" x14ac:dyDescent="0.25">
      <c r="A290" s="30">
        <v>44169.782604166663</v>
      </c>
      <c r="B290" s="3" t="s">
        <v>1712</v>
      </c>
      <c r="C290" s="47" t="s">
        <v>2348</v>
      </c>
      <c r="D290" s="47">
        <v>0</v>
      </c>
      <c r="E290" s="47" t="s">
        <v>2348</v>
      </c>
      <c r="F290" s="3" t="s">
        <v>2344</v>
      </c>
    </row>
    <row r="291" spans="1:6" x14ac:dyDescent="0.25">
      <c r="A291" s="30">
        <v>44169.78261574074</v>
      </c>
      <c r="B291" s="3" t="s">
        <v>1718</v>
      </c>
      <c r="C291" s="47" t="s">
        <v>2348</v>
      </c>
      <c r="D291" s="47">
        <v>0</v>
      </c>
      <c r="E291" s="47" t="s">
        <v>2348</v>
      </c>
      <c r="F291" s="3" t="s">
        <v>2344</v>
      </c>
    </row>
    <row r="292" spans="1:6" x14ac:dyDescent="0.25">
      <c r="A292" s="30">
        <v>44169.78261574074</v>
      </c>
      <c r="B292" s="3" t="s">
        <v>1724</v>
      </c>
      <c r="C292" s="47" t="s">
        <v>2348</v>
      </c>
      <c r="D292" s="47">
        <v>0</v>
      </c>
      <c r="E292" s="47" t="s">
        <v>2348</v>
      </c>
      <c r="F292" s="3" t="s">
        <v>2344</v>
      </c>
    </row>
    <row r="293" spans="1:6" x14ac:dyDescent="0.25">
      <c r="A293" s="30">
        <v>44169.782627314817</v>
      </c>
      <c r="B293" s="3" t="s">
        <v>1730</v>
      </c>
      <c r="C293" s="47" t="s">
        <v>2348</v>
      </c>
      <c r="D293" s="47">
        <v>0</v>
      </c>
      <c r="E293" s="47" t="s">
        <v>2348</v>
      </c>
      <c r="F293" s="3" t="s">
        <v>2344</v>
      </c>
    </row>
    <row r="294" spans="1:6" x14ac:dyDescent="0.25">
      <c r="A294" s="30">
        <v>44169.782627314817</v>
      </c>
      <c r="B294" s="3" t="s">
        <v>1736</v>
      </c>
      <c r="C294" s="47" t="s">
        <v>2348</v>
      </c>
      <c r="D294" s="47">
        <v>0</v>
      </c>
      <c r="E294" s="47" t="s">
        <v>2348</v>
      </c>
      <c r="F294" s="3" t="s">
        <v>2344</v>
      </c>
    </row>
    <row r="295" spans="1:6" x14ac:dyDescent="0.25">
      <c r="A295" s="30">
        <v>44169.782638888886</v>
      </c>
      <c r="B295" s="3" t="s">
        <v>1742</v>
      </c>
      <c r="C295" s="47" t="s">
        <v>2348</v>
      </c>
      <c r="D295" s="47">
        <v>0</v>
      </c>
      <c r="E295" s="47" t="s">
        <v>2348</v>
      </c>
      <c r="F295" s="3" t="s">
        <v>2344</v>
      </c>
    </row>
    <row r="296" spans="1:6" x14ac:dyDescent="0.25">
      <c r="A296" s="30">
        <v>44169.782638888886</v>
      </c>
      <c r="B296" s="3" t="s">
        <v>1748</v>
      </c>
      <c r="C296" s="47" t="s">
        <v>2348</v>
      </c>
      <c r="D296" s="47">
        <v>0</v>
      </c>
      <c r="E296" s="47" t="s">
        <v>2348</v>
      </c>
      <c r="F296" s="3" t="s">
        <v>2344</v>
      </c>
    </row>
    <row r="297" spans="1:6" x14ac:dyDescent="0.25">
      <c r="A297" s="30">
        <v>44169.782650462963</v>
      </c>
      <c r="B297" s="3" t="s">
        <v>1754</v>
      </c>
      <c r="C297" s="47" t="s">
        <v>2348</v>
      </c>
      <c r="D297" s="47">
        <v>0</v>
      </c>
      <c r="E297" s="47" t="s">
        <v>2348</v>
      </c>
      <c r="F297" s="3" t="s">
        <v>2344</v>
      </c>
    </row>
    <row r="298" spans="1:6" x14ac:dyDescent="0.25">
      <c r="A298" s="30">
        <v>44169.782650462963</v>
      </c>
      <c r="B298" s="3" t="s">
        <v>1760</v>
      </c>
      <c r="C298" s="47" t="s">
        <v>2348</v>
      </c>
      <c r="D298" s="47">
        <v>0</v>
      </c>
      <c r="E298" s="47" t="s">
        <v>2348</v>
      </c>
      <c r="F298" s="3" t="s">
        <v>2344</v>
      </c>
    </row>
    <row r="299" spans="1:6" x14ac:dyDescent="0.25">
      <c r="A299" s="30">
        <v>44169.782650462963</v>
      </c>
      <c r="B299" s="3" t="s">
        <v>1766</v>
      </c>
      <c r="C299" s="47" t="s">
        <v>2348</v>
      </c>
      <c r="D299" s="47">
        <v>0</v>
      </c>
      <c r="E299" s="47" t="s">
        <v>2348</v>
      </c>
      <c r="F299" s="3" t="s">
        <v>2344</v>
      </c>
    </row>
    <row r="300" spans="1:6" x14ac:dyDescent="0.25">
      <c r="A300" s="30">
        <v>44169.78266203704</v>
      </c>
      <c r="B300" s="3" t="s">
        <v>1772</v>
      </c>
      <c r="C300" s="47" t="s">
        <v>2348</v>
      </c>
      <c r="D300" s="47">
        <v>0</v>
      </c>
      <c r="E300" s="47" t="s">
        <v>2348</v>
      </c>
      <c r="F300" s="3" t="s">
        <v>2344</v>
      </c>
    </row>
    <row r="301" spans="1:6" x14ac:dyDescent="0.25">
      <c r="A301" s="30">
        <v>44169.78266203704</v>
      </c>
      <c r="B301" s="3" t="s">
        <v>1778</v>
      </c>
      <c r="C301" s="47" t="s">
        <v>2348</v>
      </c>
      <c r="D301" s="47">
        <v>0</v>
      </c>
      <c r="E301" s="47" t="s">
        <v>2348</v>
      </c>
      <c r="F301" s="3" t="s">
        <v>2344</v>
      </c>
    </row>
    <row r="302" spans="1:6" x14ac:dyDescent="0.25">
      <c r="A302" s="30">
        <v>44169.782673611109</v>
      </c>
      <c r="B302" s="3" t="s">
        <v>184</v>
      </c>
      <c r="C302" s="47" t="s">
        <v>2352</v>
      </c>
      <c r="D302" s="47">
        <v>0</v>
      </c>
      <c r="E302" s="47" t="s">
        <v>2352</v>
      </c>
      <c r="F302" s="3" t="s">
        <v>2344</v>
      </c>
    </row>
    <row r="303" spans="1:6" x14ac:dyDescent="0.25">
      <c r="A303" s="30">
        <v>44169.782673611109</v>
      </c>
      <c r="B303" s="3" t="s">
        <v>1790</v>
      </c>
      <c r="C303" s="47" t="s">
        <v>2348</v>
      </c>
      <c r="D303" s="47">
        <v>0</v>
      </c>
      <c r="E303" s="47" t="s">
        <v>2348</v>
      </c>
      <c r="F303" s="3" t="s">
        <v>2344</v>
      </c>
    </row>
    <row r="304" spans="1:6" x14ac:dyDescent="0.25">
      <c r="A304" s="30">
        <v>44169.782685185186</v>
      </c>
      <c r="B304" s="3" t="s">
        <v>1796</v>
      </c>
      <c r="C304" s="47" t="s">
        <v>2348</v>
      </c>
      <c r="D304" s="47">
        <v>0</v>
      </c>
      <c r="E304" s="47" t="s">
        <v>2348</v>
      </c>
      <c r="F304" s="3" t="s">
        <v>2344</v>
      </c>
    </row>
    <row r="305" spans="1:6" x14ac:dyDescent="0.25">
      <c r="A305" s="30">
        <v>44169.782685185186</v>
      </c>
      <c r="B305" s="3" t="s">
        <v>1802</v>
      </c>
      <c r="C305" s="47" t="s">
        <v>2348</v>
      </c>
      <c r="D305" s="47">
        <v>0</v>
      </c>
      <c r="E305" s="47" t="s">
        <v>2348</v>
      </c>
      <c r="F305" s="3" t="s">
        <v>2344</v>
      </c>
    </row>
    <row r="306" spans="1:6" x14ac:dyDescent="0.25">
      <c r="A306" s="30">
        <v>44169.782696759263</v>
      </c>
      <c r="B306" s="3" t="s">
        <v>1808</v>
      </c>
      <c r="C306" s="47" t="s">
        <v>2348</v>
      </c>
      <c r="D306" s="47">
        <v>0</v>
      </c>
      <c r="E306" s="47" t="s">
        <v>2348</v>
      </c>
      <c r="F306" s="3" t="s">
        <v>2344</v>
      </c>
    </row>
    <row r="307" spans="1:6" x14ac:dyDescent="0.25">
      <c r="A307" s="30">
        <v>44169.782696759263</v>
      </c>
      <c r="B307" s="3" t="s">
        <v>1814</v>
      </c>
      <c r="C307" s="47" t="s">
        <v>2348</v>
      </c>
      <c r="D307" s="47">
        <v>0</v>
      </c>
      <c r="E307" s="47" t="s">
        <v>2348</v>
      </c>
      <c r="F307" s="3" t="s">
        <v>2344</v>
      </c>
    </row>
    <row r="308" spans="1:6" x14ac:dyDescent="0.25">
      <c r="A308" s="30">
        <v>44169.782708333332</v>
      </c>
      <c r="B308" s="3" t="s">
        <v>1820</v>
      </c>
      <c r="C308" s="47" t="s">
        <v>2348</v>
      </c>
      <c r="D308" s="47">
        <v>0</v>
      </c>
      <c r="E308" s="47" t="s">
        <v>2348</v>
      </c>
      <c r="F308" s="3" t="s">
        <v>2344</v>
      </c>
    </row>
    <row r="309" spans="1:6" x14ac:dyDescent="0.25">
      <c r="A309" s="30">
        <v>44169.782708333332</v>
      </c>
      <c r="B309" s="3" t="s">
        <v>1826</v>
      </c>
      <c r="C309" s="47" t="s">
        <v>2348</v>
      </c>
      <c r="D309" s="47">
        <v>0</v>
      </c>
      <c r="E309" s="47" t="s">
        <v>2348</v>
      </c>
      <c r="F309" s="3" t="s">
        <v>2344</v>
      </c>
    </row>
    <row r="310" spans="1:6" x14ac:dyDescent="0.25">
      <c r="A310" s="30">
        <v>44169.782719907409</v>
      </c>
      <c r="B310" s="3" t="s">
        <v>1832</v>
      </c>
      <c r="C310" s="47" t="s">
        <v>2348</v>
      </c>
      <c r="D310" s="47">
        <v>0</v>
      </c>
      <c r="E310" s="47" t="s">
        <v>2348</v>
      </c>
      <c r="F310" s="3" t="s">
        <v>2344</v>
      </c>
    </row>
    <row r="311" spans="1:6" x14ac:dyDescent="0.25">
      <c r="A311" s="30">
        <v>44169.782719907409</v>
      </c>
      <c r="B311" s="3" t="s">
        <v>1838</v>
      </c>
      <c r="C311" s="47" t="s">
        <v>2348</v>
      </c>
      <c r="D311" s="47">
        <v>0</v>
      </c>
      <c r="E311" s="47" t="s">
        <v>2348</v>
      </c>
      <c r="F311" s="3" t="s">
        <v>2344</v>
      </c>
    </row>
    <row r="312" spans="1:6" x14ac:dyDescent="0.25">
      <c r="A312" s="30">
        <v>44169.782731481479</v>
      </c>
      <c r="B312" s="3" t="s">
        <v>1844</v>
      </c>
      <c r="C312" s="47" t="s">
        <v>2348</v>
      </c>
      <c r="D312" s="47">
        <v>0</v>
      </c>
      <c r="E312" s="47" t="s">
        <v>2348</v>
      </c>
      <c r="F312" s="3" t="s">
        <v>2344</v>
      </c>
    </row>
    <row r="313" spans="1:6" x14ac:dyDescent="0.25">
      <c r="A313" s="30">
        <v>44169.782731481479</v>
      </c>
      <c r="B313" s="3" t="s">
        <v>1850</v>
      </c>
      <c r="C313" s="47" t="s">
        <v>2348</v>
      </c>
      <c r="D313" s="47">
        <v>0</v>
      </c>
      <c r="E313" s="47" t="s">
        <v>2348</v>
      </c>
      <c r="F313" s="3" t="s">
        <v>2344</v>
      </c>
    </row>
    <row r="314" spans="1:6" x14ac:dyDescent="0.25">
      <c r="A314" s="30">
        <v>44169.782731481479</v>
      </c>
      <c r="B314" s="3" t="s">
        <v>1856</v>
      </c>
      <c r="C314" s="47" t="s">
        <v>2348</v>
      </c>
      <c r="D314" s="47">
        <v>0</v>
      </c>
      <c r="E314" s="47" t="s">
        <v>2348</v>
      </c>
      <c r="F314" s="3" t="s">
        <v>2344</v>
      </c>
    </row>
    <row r="315" spans="1:6" x14ac:dyDescent="0.25">
      <c r="A315" s="30">
        <v>44169.782743055555</v>
      </c>
      <c r="B315" s="3" t="s">
        <v>192</v>
      </c>
      <c r="C315" s="47" t="s">
        <v>2362</v>
      </c>
      <c r="D315" s="47">
        <v>0</v>
      </c>
      <c r="E315" s="47" t="s">
        <v>2362</v>
      </c>
      <c r="F315" s="3" t="s">
        <v>2344</v>
      </c>
    </row>
    <row r="316" spans="1:6" x14ac:dyDescent="0.25">
      <c r="A316" s="30">
        <v>44169.782743055555</v>
      </c>
      <c r="B316" s="3" t="s">
        <v>1868</v>
      </c>
      <c r="C316" s="47" t="s">
        <v>2352</v>
      </c>
      <c r="D316" s="47">
        <v>0</v>
      </c>
      <c r="E316" s="47" t="s">
        <v>2352</v>
      </c>
      <c r="F316" s="3" t="s">
        <v>2344</v>
      </c>
    </row>
    <row r="317" spans="1:6" x14ac:dyDescent="0.25">
      <c r="A317" s="30">
        <v>44169.782754629632</v>
      </c>
      <c r="B317" s="3" t="s">
        <v>1875</v>
      </c>
      <c r="C317" s="47" t="s">
        <v>2348</v>
      </c>
      <c r="D317" s="47">
        <v>0</v>
      </c>
      <c r="E317" s="47" t="s">
        <v>2348</v>
      </c>
      <c r="F317" s="3" t="s">
        <v>2344</v>
      </c>
    </row>
    <row r="318" spans="1:6" x14ac:dyDescent="0.25">
      <c r="A318" s="30">
        <v>44169.782754629632</v>
      </c>
      <c r="B318" s="3" t="s">
        <v>1881</v>
      </c>
      <c r="C318" s="47" t="s">
        <v>2348</v>
      </c>
      <c r="D318" s="47">
        <v>0</v>
      </c>
      <c r="E318" s="47" t="s">
        <v>2348</v>
      </c>
      <c r="F318" s="3" t="s">
        <v>2344</v>
      </c>
    </row>
    <row r="319" spans="1:6" x14ac:dyDescent="0.25">
      <c r="A319" s="30">
        <v>44169.782766203702</v>
      </c>
      <c r="B319" s="3" t="s">
        <v>1887</v>
      </c>
      <c r="C319" s="47" t="s">
        <v>2348</v>
      </c>
      <c r="D319" s="47">
        <v>0</v>
      </c>
      <c r="E319" s="47" t="s">
        <v>2348</v>
      </c>
      <c r="F319" s="3" t="s">
        <v>2344</v>
      </c>
    </row>
    <row r="320" spans="1:6" x14ac:dyDescent="0.25">
      <c r="A320" s="30">
        <v>44169.782766203702</v>
      </c>
      <c r="B320" s="3" t="s">
        <v>1893</v>
      </c>
      <c r="C320" s="47" t="s">
        <v>2348</v>
      </c>
      <c r="D320" s="47">
        <v>0</v>
      </c>
      <c r="E320" s="47" t="s">
        <v>2348</v>
      </c>
      <c r="F320" s="3" t="s">
        <v>2344</v>
      </c>
    </row>
    <row r="321" spans="1:6" x14ac:dyDescent="0.25">
      <c r="A321" s="30">
        <v>44169.782777777778</v>
      </c>
      <c r="B321" s="3" t="s">
        <v>1899</v>
      </c>
      <c r="C321" s="47" t="s">
        <v>2348</v>
      </c>
      <c r="D321" s="47">
        <v>0</v>
      </c>
      <c r="E321" s="47" t="s">
        <v>2348</v>
      </c>
      <c r="F321" s="3" t="s">
        <v>2344</v>
      </c>
    </row>
    <row r="322" spans="1:6" x14ac:dyDescent="0.25">
      <c r="A322" s="30">
        <v>44169.782777777778</v>
      </c>
      <c r="B322" s="3" t="s">
        <v>1905</v>
      </c>
      <c r="C322" s="47" t="s">
        <v>2348</v>
      </c>
      <c r="D322" s="47">
        <v>0</v>
      </c>
      <c r="E322" s="47" t="s">
        <v>2348</v>
      </c>
      <c r="F322" s="3" t="s">
        <v>2344</v>
      </c>
    </row>
    <row r="323" spans="1:6" x14ac:dyDescent="0.25">
      <c r="A323" s="30">
        <v>44169.782789351855</v>
      </c>
      <c r="B323" s="3" t="s">
        <v>1911</v>
      </c>
      <c r="C323" s="47" t="s">
        <v>2348</v>
      </c>
      <c r="D323" s="47">
        <v>0</v>
      </c>
      <c r="E323" s="47" t="s">
        <v>2348</v>
      </c>
      <c r="F323" s="3" t="s">
        <v>2344</v>
      </c>
    </row>
    <row r="324" spans="1:6" x14ac:dyDescent="0.25">
      <c r="A324" s="30">
        <v>44169.782789351855</v>
      </c>
      <c r="B324" s="3" t="s">
        <v>1917</v>
      </c>
      <c r="C324" s="47" t="s">
        <v>2348</v>
      </c>
      <c r="D324" s="47">
        <v>0</v>
      </c>
      <c r="E324" s="47" t="s">
        <v>2348</v>
      </c>
      <c r="F324" s="3" t="s">
        <v>2344</v>
      </c>
    </row>
    <row r="325" spans="1:6" x14ac:dyDescent="0.25">
      <c r="A325" s="30">
        <v>44169.782800925925</v>
      </c>
      <c r="B325" s="3" t="s">
        <v>1923</v>
      </c>
      <c r="C325" s="47" t="s">
        <v>2348</v>
      </c>
      <c r="D325" s="47">
        <v>0</v>
      </c>
      <c r="E325" s="47" t="s">
        <v>2348</v>
      </c>
      <c r="F325" s="3" t="s">
        <v>2344</v>
      </c>
    </row>
    <row r="326" spans="1:6" x14ac:dyDescent="0.25">
      <c r="A326" s="30">
        <v>44169.782800925925</v>
      </c>
      <c r="B326" s="3" t="s">
        <v>1929</v>
      </c>
      <c r="C326" s="47" t="s">
        <v>2348</v>
      </c>
      <c r="D326" s="47">
        <v>0</v>
      </c>
      <c r="E326" s="47" t="s">
        <v>2348</v>
      </c>
      <c r="F326" s="3" t="s">
        <v>2344</v>
      </c>
    </row>
    <row r="327" spans="1:6" x14ac:dyDescent="0.25">
      <c r="A327" s="30">
        <v>44169.782812500001</v>
      </c>
      <c r="B327" s="3" t="s">
        <v>1935</v>
      </c>
      <c r="C327" s="47" t="s">
        <v>2352</v>
      </c>
      <c r="D327" s="47">
        <v>0</v>
      </c>
      <c r="E327" s="47" t="s">
        <v>2352</v>
      </c>
      <c r="F327" s="3" t="s">
        <v>2344</v>
      </c>
    </row>
    <row r="328" spans="1:6" x14ac:dyDescent="0.25">
      <c r="A328" s="30">
        <v>44169.782812500001</v>
      </c>
      <c r="B328" s="3" t="s">
        <v>1942</v>
      </c>
      <c r="C328" s="47" t="s">
        <v>2348</v>
      </c>
      <c r="D328" s="47">
        <v>0</v>
      </c>
      <c r="E328" s="47" t="s">
        <v>2348</v>
      </c>
      <c r="F328" s="3" t="s">
        <v>2344</v>
      </c>
    </row>
    <row r="329" spans="1:6" x14ac:dyDescent="0.25">
      <c r="A329" s="30">
        <v>44169.782812500001</v>
      </c>
      <c r="B329" s="3" t="s">
        <v>1948</v>
      </c>
      <c r="C329" s="47" t="s">
        <v>2348</v>
      </c>
      <c r="D329" s="47">
        <v>0</v>
      </c>
      <c r="E329" s="47" t="s">
        <v>2348</v>
      </c>
      <c r="F329" s="3" t="s">
        <v>2344</v>
      </c>
    </row>
    <row r="330" spans="1:6" x14ac:dyDescent="0.25">
      <c r="A330" s="30">
        <v>44169.782824074071</v>
      </c>
      <c r="B330" s="3" t="s">
        <v>1954</v>
      </c>
      <c r="C330" s="47" t="s">
        <v>2348</v>
      </c>
      <c r="D330" s="47">
        <v>0</v>
      </c>
      <c r="E330" s="47" t="s">
        <v>2348</v>
      </c>
      <c r="F330" s="3" t="s">
        <v>2344</v>
      </c>
    </row>
    <row r="331" spans="1:6" x14ac:dyDescent="0.25">
      <c r="A331" s="30">
        <v>44169.782824074071</v>
      </c>
      <c r="B331" s="3" t="s">
        <v>1960</v>
      </c>
      <c r="C331" s="47" t="s">
        <v>2348</v>
      </c>
      <c r="D331" s="47">
        <v>0</v>
      </c>
      <c r="E331" s="47" t="s">
        <v>2348</v>
      </c>
      <c r="F331" s="3" t="s">
        <v>2344</v>
      </c>
    </row>
    <row r="332" spans="1:6" x14ac:dyDescent="0.25">
      <c r="A332" s="30">
        <v>44169.782835648148</v>
      </c>
      <c r="B332" s="3" t="s">
        <v>1966</v>
      </c>
      <c r="C332" s="47" t="s">
        <v>2348</v>
      </c>
      <c r="D332" s="47">
        <v>0</v>
      </c>
      <c r="E332" s="47" t="s">
        <v>2348</v>
      </c>
      <c r="F332" s="3" t="s">
        <v>2344</v>
      </c>
    </row>
    <row r="333" spans="1:6" x14ac:dyDescent="0.25">
      <c r="A333" s="30">
        <v>44169.782835648148</v>
      </c>
      <c r="B333" s="3" t="s">
        <v>1972</v>
      </c>
      <c r="C333" s="47" t="s">
        <v>2348</v>
      </c>
      <c r="D333" s="47">
        <v>0</v>
      </c>
      <c r="E333" s="47" t="s">
        <v>2348</v>
      </c>
      <c r="F333" s="3" t="s">
        <v>2344</v>
      </c>
    </row>
    <row r="334" spans="1:6" x14ac:dyDescent="0.25">
      <c r="A334" s="30">
        <v>44169.782847222225</v>
      </c>
      <c r="B334" s="3" t="s">
        <v>1978</v>
      </c>
      <c r="C334" s="47" t="s">
        <v>2348</v>
      </c>
      <c r="D334" s="47">
        <v>0</v>
      </c>
      <c r="E334" s="47" t="s">
        <v>2348</v>
      </c>
      <c r="F334" s="3" t="s">
        <v>2344</v>
      </c>
    </row>
    <row r="335" spans="1:6" x14ac:dyDescent="0.25">
      <c r="A335" s="30">
        <v>44169.782847222225</v>
      </c>
      <c r="B335" s="3" t="s">
        <v>1984</v>
      </c>
      <c r="C335" s="47" t="s">
        <v>2348</v>
      </c>
      <c r="D335" s="47">
        <v>0</v>
      </c>
      <c r="E335" s="47" t="s">
        <v>2348</v>
      </c>
      <c r="F335" s="3" t="s">
        <v>2344</v>
      </c>
    </row>
    <row r="336" spans="1:6" x14ac:dyDescent="0.25">
      <c r="A336" s="30">
        <v>44169.782858796294</v>
      </c>
      <c r="B336" s="3" t="s">
        <v>1990</v>
      </c>
      <c r="C336" s="47" t="s">
        <v>2348</v>
      </c>
      <c r="D336" s="47">
        <v>0</v>
      </c>
      <c r="E336" s="47" t="s">
        <v>2348</v>
      </c>
      <c r="F336" s="3" t="s">
        <v>2344</v>
      </c>
    </row>
    <row r="337" spans="1:6" x14ac:dyDescent="0.25">
      <c r="A337" s="30">
        <v>44169.782858796294</v>
      </c>
      <c r="B337" s="3" t="s">
        <v>1996</v>
      </c>
      <c r="C337" s="47" t="s">
        <v>2348</v>
      </c>
      <c r="D337" s="47">
        <v>0</v>
      </c>
      <c r="E337" s="47" t="s">
        <v>2348</v>
      </c>
      <c r="F337" s="3" t="s">
        <v>2344</v>
      </c>
    </row>
    <row r="338" spans="1:6" x14ac:dyDescent="0.25">
      <c r="A338" s="30">
        <v>44169.782870370371</v>
      </c>
      <c r="B338" s="3" t="s">
        <v>2002</v>
      </c>
      <c r="C338" s="47" t="s">
        <v>2348</v>
      </c>
      <c r="D338" s="47">
        <v>0</v>
      </c>
      <c r="E338" s="47" t="s">
        <v>2348</v>
      </c>
      <c r="F338" s="3" t="s">
        <v>2344</v>
      </c>
    </row>
    <row r="339" spans="1:6" x14ac:dyDescent="0.25">
      <c r="A339" s="30">
        <v>44169.782870370371</v>
      </c>
      <c r="B339" s="3" t="s">
        <v>2008</v>
      </c>
      <c r="C339" s="47" t="s">
        <v>2348</v>
      </c>
      <c r="D339" s="47">
        <v>0</v>
      </c>
      <c r="E339" s="47" t="s">
        <v>2348</v>
      </c>
      <c r="F339" s="3" t="s">
        <v>2344</v>
      </c>
    </row>
    <row r="340" spans="1:6" x14ac:dyDescent="0.25">
      <c r="A340" s="30">
        <v>44169.782881944448</v>
      </c>
      <c r="B340" s="3" t="s">
        <v>2014</v>
      </c>
      <c r="C340" s="47" t="s">
        <v>2348</v>
      </c>
      <c r="D340" s="47">
        <v>0</v>
      </c>
      <c r="E340" s="47" t="s">
        <v>2348</v>
      </c>
      <c r="F340" s="3" t="s">
        <v>2344</v>
      </c>
    </row>
    <row r="341" spans="1:6" x14ac:dyDescent="0.25">
      <c r="A341" s="30">
        <v>44169.782881944448</v>
      </c>
      <c r="B341" s="3" t="s">
        <v>2020</v>
      </c>
      <c r="C341" s="47" t="s">
        <v>2348</v>
      </c>
      <c r="D341" s="47">
        <v>0</v>
      </c>
      <c r="E341" s="47" t="s">
        <v>2348</v>
      </c>
      <c r="F341" s="3" t="s">
        <v>2344</v>
      </c>
    </row>
    <row r="342" spans="1:6" x14ac:dyDescent="0.25">
      <c r="A342" s="30">
        <v>44169.782893518517</v>
      </c>
      <c r="B342" s="3" t="s">
        <v>2026</v>
      </c>
      <c r="C342" s="47" t="s">
        <v>2352</v>
      </c>
      <c r="D342" s="47">
        <v>0</v>
      </c>
      <c r="E342" s="47" t="s">
        <v>2352</v>
      </c>
      <c r="F342" s="3" t="s">
        <v>2344</v>
      </c>
    </row>
    <row r="343" spans="1:6" x14ac:dyDescent="0.25">
      <c r="A343" s="30">
        <v>44169.782893518517</v>
      </c>
      <c r="B343" s="3" t="s">
        <v>2033</v>
      </c>
      <c r="C343" s="47" t="s">
        <v>2348</v>
      </c>
      <c r="D343" s="47">
        <v>0</v>
      </c>
      <c r="E343" s="47" t="s">
        <v>2348</v>
      </c>
      <c r="F343" s="3" t="s">
        <v>2344</v>
      </c>
    </row>
    <row r="344" spans="1:6" x14ac:dyDescent="0.25">
      <c r="A344" s="30">
        <v>44169.782893518517</v>
      </c>
      <c r="B344" s="3" t="s">
        <v>2039</v>
      </c>
      <c r="C344" s="47" t="s">
        <v>2348</v>
      </c>
      <c r="D344" s="47">
        <v>0</v>
      </c>
      <c r="E344" s="47" t="s">
        <v>2348</v>
      </c>
      <c r="F344" s="3" t="s">
        <v>2344</v>
      </c>
    </row>
    <row r="345" spans="1:6" x14ac:dyDescent="0.25">
      <c r="A345" s="30">
        <v>44169.782905092594</v>
      </c>
      <c r="B345" s="3" t="s">
        <v>2045</v>
      </c>
      <c r="C345" s="47" t="s">
        <v>2348</v>
      </c>
      <c r="D345" s="47">
        <v>0</v>
      </c>
      <c r="E345" s="47" t="s">
        <v>2348</v>
      </c>
      <c r="F345" s="3" t="s">
        <v>2344</v>
      </c>
    </row>
    <row r="346" spans="1:6" x14ac:dyDescent="0.25">
      <c r="A346" s="30">
        <v>44169.782905092594</v>
      </c>
      <c r="B346" s="3" t="s">
        <v>2051</v>
      </c>
      <c r="C346" s="47" t="s">
        <v>2348</v>
      </c>
      <c r="D346" s="47">
        <v>0</v>
      </c>
      <c r="E346" s="47" t="s">
        <v>2348</v>
      </c>
      <c r="F346" s="3" t="s">
        <v>2344</v>
      </c>
    </row>
    <row r="347" spans="1:6" x14ac:dyDescent="0.25">
      <c r="A347" s="30">
        <v>44169.782916666663</v>
      </c>
      <c r="B347" s="3" t="s">
        <v>2057</v>
      </c>
      <c r="C347" s="47" t="s">
        <v>2348</v>
      </c>
      <c r="D347" s="47">
        <v>0</v>
      </c>
      <c r="E347" s="47" t="s">
        <v>2348</v>
      </c>
      <c r="F347" s="3" t="s">
        <v>2344</v>
      </c>
    </row>
    <row r="348" spans="1:6" x14ac:dyDescent="0.25">
      <c r="A348" s="30">
        <v>44169.782916666663</v>
      </c>
      <c r="B348" s="3" t="s">
        <v>2063</v>
      </c>
      <c r="C348" s="47" t="s">
        <v>2348</v>
      </c>
      <c r="D348" s="47">
        <v>0</v>
      </c>
      <c r="E348" s="47" t="s">
        <v>2348</v>
      </c>
      <c r="F348" s="3" t="s">
        <v>2344</v>
      </c>
    </row>
    <row r="349" spans="1:6" x14ac:dyDescent="0.25">
      <c r="A349" s="30">
        <v>44169.78292824074</v>
      </c>
      <c r="B349" s="3" t="s">
        <v>2069</v>
      </c>
      <c r="C349" s="47" t="s">
        <v>2348</v>
      </c>
      <c r="D349" s="47">
        <v>0</v>
      </c>
      <c r="E349" s="47" t="s">
        <v>2348</v>
      </c>
      <c r="F349" s="3" t="s">
        <v>2344</v>
      </c>
    </row>
    <row r="350" spans="1:6" x14ac:dyDescent="0.25">
      <c r="A350" s="30">
        <v>44169.78292824074</v>
      </c>
      <c r="B350" s="3" t="s">
        <v>2075</v>
      </c>
      <c r="C350" s="47" t="s">
        <v>2348</v>
      </c>
      <c r="D350" s="47">
        <v>0</v>
      </c>
      <c r="E350" s="47" t="s">
        <v>2348</v>
      </c>
      <c r="F350" s="3" t="s">
        <v>2344</v>
      </c>
    </row>
    <row r="351" spans="1:6" x14ac:dyDescent="0.25">
      <c r="A351" s="30">
        <v>44169.782939814817</v>
      </c>
      <c r="B351" s="3" t="s">
        <v>2081</v>
      </c>
      <c r="C351" s="47" t="s">
        <v>2348</v>
      </c>
      <c r="D351" s="47">
        <v>0</v>
      </c>
      <c r="E351" s="47" t="s">
        <v>2348</v>
      </c>
      <c r="F351" s="3" t="s">
        <v>2344</v>
      </c>
    </row>
    <row r="352" spans="1:6" x14ac:dyDescent="0.25">
      <c r="A352" s="30">
        <v>44169.782939814817</v>
      </c>
      <c r="B352" s="3" t="s">
        <v>2087</v>
      </c>
      <c r="C352" s="47" t="s">
        <v>2348</v>
      </c>
      <c r="D352" s="47">
        <v>0</v>
      </c>
      <c r="E352" s="47" t="s">
        <v>2348</v>
      </c>
      <c r="F352" s="3" t="s">
        <v>2344</v>
      </c>
    </row>
    <row r="353" spans="1:6" x14ac:dyDescent="0.25">
      <c r="A353" s="30">
        <v>44169.782951388886</v>
      </c>
      <c r="B353" s="3" t="s">
        <v>2093</v>
      </c>
      <c r="C353" s="47" t="s">
        <v>2348</v>
      </c>
      <c r="D353" s="47">
        <v>0</v>
      </c>
      <c r="E353" s="47" t="s">
        <v>2348</v>
      </c>
      <c r="F353" s="3" t="s">
        <v>2344</v>
      </c>
    </row>
    <row r="354" spans="1:6" x14ac:dyDescent="0.25">
      <c r="A354" s="30">
        <v>44169.782951388886</v>
      </c>
      <c r="B354" s="3" t="s">
        <v>2099</v>
      </c>
      <c r="C354" s="47" t="s">
        <v>2359</v>
      </c>
      <c r="D354" s="47">
        <v>0</v>
      </c>
      <c r="E354" s="47" t="s">
        <v>2359</v>
      </c>
      <c r="F354" s="3" t="s">
        <v>2344</v>
      </c>
    </row>
    <row r="355" spans="1:6" x14ac:dyDescent="0.25">
      <c r="A355" s="30">
        <v>44169.782962962963</v>
      </c>
      <c r="B355" s="3" t="s">
        <v>193</v>
      </c>
      <c r="C355" s="47" t="s">
        <v>2359</v>
      </c>
      <c r="D355" s="47">
        <v>0</v>
      </c>
      <c r="E355" s="47" t="s">
        <v>2359</v>
      </c>
      <c r="F355" s="3" t="s">
        <v>2344</v>
      </c>
    </row>
    <row r="356" spans="1:6" x14ac:dyDescent="0.25">
      <c r="A356" s="30">
        <v>44169.782962962963</v>
      </c>
      <c r="B356" s="3" t="s">
        <v>2110</v>
      </c>
      <c r="C356" s="47" t="s">
        <v>2361</v>
      </c>
      <c r="D356" s="47">
        <v>0</v>
      </c>
      <c r="E356" s="47" t="s">
        <v>2361</v>
      </c>
      <c r="F356" s="3" t="s">
        <v>2344</v>
      </c>
    </row>
    <row r="357" spans="1:6" x14ac:dyDescent="0.25">
      <c r="A357" s="30">
        <v>44169.78297453704</v>
      </c>
      <c r="B357" s="3" t="s">
        <v>185</v>
      </c>
      <c r="C357" s="47" t="s">
        <v>2352</v>
      </c>
      <c r="D357" s="47">
        <v>0</v>
      </c>
      <c r="E357" s="47" t="s">
        <v>2352</v>
      </c>
      <c r="F357" s="3" t="s">
        <v>2344</v>
      </c>
    </row>
    <row r="358" spans="1:6" x14ac:dyDescent="0.25">
      <c r="A358" s="30">
        <v>44169.78297453704</v>
      </c>
      <c r="B358" s="3" t="s">
        <v>2121</v>
      </c>
      <c r="C358" s="47" t="s">
        <v>2360</v>
      </c>
      <c r="D358" s="47">
        <v>0</v>
      </c>
      <c r="E358" s="47" t="s">
        <v>2360</v>
      </c>
      <c r="F358" s="3" t="s">
        <v>2344</v>
      </c>
    </row>
    <row r="359" spans="1:6" x14ac:dyDescent="0.25">
      <c r="A359" s="30">
        <v>44169.782986111109</v>
      </c>
      <c r="B359" s="3" t="s">
        <v>163</v>
      </c>
      <c r="C359" s="47" t="s">
        <v>2360</v>
      </c>
      <c r="D359" s="47">
        <v>0</v>
      </c>
      <c r="E359" s="47" t="s">
        <v>2360</v>
      </c>
      <c r="F359" s="3" t="s">
        <v>2344</v>
      </c>
    </row>
    <row r="360" spans="1:6" x14ac:dyDescent="0.25">
      <c r="A360" s="30">
        <v>44169.782986111109</v>
      </c>
      <c r="B360" s="3" t="s">
        <v>191</v>
      </c>
      <c r="C360" s="47" t="s">
        <v>2372</v>
      </c>
      <c r="D360" s="47">
        <v>0</v>
      </c>
      <c r="E360" s="47" t="s">
        <v>2372</v>
      </c>
      <c r="F360" s="3" t="s">
        <v>2344</v>
      </c>
    </row>
    <row r="361" spans="1:6" x14ac:dyDescent="0.25">
      <c r="A361" s="30">
        <v>44169.782997685186</v>
      </c>
      <c r="B361" s="3" t="s">
        <v>264</v>
      </c>
      <c r="C361" s="47" t="s">
        <v>2361</v>
      </c>
      <c r="D361" s="47">
        <v>0</v>
      </c>
      <c r="E361" s="47" t="s">
        <v>2361</v>
      </c>
      <c r="F361" s="3" t="s">
        <v>2344</v>
      </c>
    </row>
    <row r="362" spans="1:6" x14ac:dyDescent="0.25">
      <c r="A362" s="30">
        <v>44169.782997685186</v>
      </c>
      <c r="B362" s="3" t="s">
        <v>190</v>
      </c>
      <c r="C362" s="47" t="s">
        <v>2360</v>
      </c>
      <c r="D362" s="47">
        <v>0</v>
      </c>
      <c r="E362" s="47" t="s">
        <v>2360</v>
      </c>
      <c r="F362" s="3" t="s">
        <v>2344</v>
      </c>
    </row>
    <row r="363" spans="1:6" x14ac:dyDescent="0.25">
      <c r="A363" s="30">
        <v>44169.783009259256</v>
      </c>
      <c r="B363" s="3" t="s">
        <v>170</v>
      </c>
      <c r="C363" s="47" t="s">
        <v>2352</v>
      </c>
      <c r="D363" s="47">
        <v>0</v>
      </c>
      <c r="E363" s="47" t="s">
        <v>2352</v>
      </c>
      <c r="F363" s="3" t="s">
        <v>2344</v>
      </c>
    </row>
    <row r="364" spans="1:6" x14ac:dyDescent="0.25">
      <c r="A364" s="30">
        <v>44169.783009259256</v>
      </c>
      <c r="B364" s="3" t="s">
        <v>171</v>
      </c>
      <c r="C364" s="47" t="s">
        <v>2348</v>
      </c>
      <c r="D364" s="47">
        <v>0</v>
      </c>
      <c r="E364" s="47" t="s">
        <v>2348</v>
      </c>
      <c r="F364" s="3" t="s">
        <v>2344</v>
      </c>
    </row>
    <row r="365" spans="1:6" x14ac:dyDescent="0.25">
      <c r="A365" s="30">
        <v>44169.783009259256</v>
      </c>
      <c r="B365" s="3" t="s">
        <v>27</v>
      </c>
      <c r="C365" s="47" t="s">
        <v>2362</v>
      </c>
      <c r="D365" s="47">
        <v>0</v>
      </c>
      <c r="E365" s="47" t="s">
        <v>2362</v>
      </c>
      <c r="F365" s="3" t="s">
        <v>2344</v>
      </c>
    </row>
    <row r="366" spans="1:6" x14ac:dyDescent="0.25">
      <c r="A366" s="30">
        <v>44169.783020833333</v>
      </c>
      <c r="B366" s="3" t="s">
        <v>25</v>
      </c>
      <c r="C366" s="47" t="s">
        <v>2362</v>
      </c>
      <c r="D366" s="47">
        <v>0</v>
      </c>
      <c r="E366" s="47" t="s">
        <v>2362</v>
      </c>
      <c r="F366" s="3" t="s">
        <v>2344</v>
      </c>
    </row>
    <row r="367" spans="1:6" x14ac:dyDescent="0.25">
      <c r="A367" s="30">
        <v>44169.783020833333</v>
      </c>
      <c r="B367" s="3" t="s">
        <v>2166</v>
      </c>
      <c r="C367" s="47" t="s">
        <v>2348</v>
      </c>
      <c r="D367" s="47">
        <v>0</v>
      </c>
      <c r="E367" s="47" t="s">
        <v>2348</v>
      </c>
      <c r="F367" s="3" t="s">
        <v>2344</v>
      </c>
    </row>
    <row r="368" spans="1:6" x14ac:dyDescent="0.25">
      <c r="A368" s="30">
        <v>44169.783032407409</v>
      </c>
      <c r="B368" s="3" t="s">
        <v>28</v>
      </c>
      <c r="C368" s="47" t="s">
        <v>2360</v>
      </c>
      <c r="D368" s="47">
        <v>0</v>
      </c>
      <c r="E368" s="47" t="s">
        <v>2360</v>
      </c>
      <c r="F368" s="3" t="s">
        <v>2344</v>
      </c>
    </row>
    <row r="369" spans="1:6" x14ac:dyDescent="0.25">
      <c r="A369" s="30">
        <v>44169.783032407409</v>
      </c>
      <c r="B369" s="3" t="s">
        <v>24</v>
      </c>
      <c r="C369" s="47" t="s">
        <v>2362</v>
      </c>
      <c r="D369" s="47">
        <v>0</v>
      </c>
      <c r="E369" s="47" t="s">
        <v>2362</v>
      </c>
      <c r="F369" s="3" t="s">
        <v>2344</v>
      </c>
    </row>
    <row r="370" spans="1:6" x14ac:dyDescent="0.25">
      <c r="A370" s="30">
        <v>44169.783043981479</v>
      </c>
      <c r="B370" s="3" t="s">
        <v>2176</v>
      </c>
      <c r="C370" s="47" t="s">
        <v>2352</v>
      </c>
      <c r="D370" s="47">
        <v>0</v>
      </c>
      <c r="E370" s="47" t="s">
        <v>2352</v>
      </c>
      <c r="F370" s="3" t="s">
        <v>2344</v>
      </c>
    </row>
    <row r="371" spans="1:6" x14ac:dyDescent="0.25">
      <c r="A371" s="30">
        <v>44169.783043981479</v>
      </c>
      <c r="B371" s="3" t="s">
        <v>2183</v>
      </c>
      <c r="C371" s="47" t="s">
        <v>2352</v>
      </c>
      <c r="D371" s="47">
        <v>0</v>
      </c>
      <c r="E371" s="47" t="s">
        <v>2352</v>
      </c>
      <c r="F371" s="3" t="s">
        <v>2344</v>
      </c>
    </row>
    <row r="372" spans="1:6" x14ac:dyDescent="0.25">
      <c r="A372" s="30">
        <v>44169.783055555556</v>
      </c>
      <c r="B372" s="3" t="s">
        <v>2188</v>
      </c>
      <c r="C372" s="47" t="s">
        <v>2352</v>
      </c>
      <c r="D372" s="47">
        <v>0</v>
      </c>
      <c r="E372" s="47" t="s">
        <v>2352</v>
      </c>
      <c r="F372" s="3" t="s">
        <v>2344</v>
      </c>
    </row>
    <row r="373" spans="1:6" x14ac:dyDescent="0.25">
      <c r="A373" s="30">
        <v>44169.783055555556</v>
      </c>
      <c r="B373" s="3" t="s">
        <v>2429</v>
      </c>
      <c r="C373" s="47" t="s">
        <v>2348</v>
      </c>
      <c r="D373" s="47">
        <v>0</v>
      </c>
      <c r="E373" s="47" t="s">
        <v>2348</v>
      </c>
      <c r="F373" s="3" t="s">
        <v>2344</v>
      </c>
    </row>
    <row r="374" spans="1:6" x14ac:dyDescent="0.25">
      <c r="A374" s="30">
        <v>44169.783067129632</v>
      </c>
      <c r="B374" s="3" t="s">
        <v>2196</v>
      </c>
      <c r="C374" s="47" t="s">
        <v>2369</v>
      </c>
      <c r="D374" s="47">
        <v>0</v>
      </c>
      <c r="E374" s="47" t="s">
        <v>2369</v>
      </c>
      <c r="F374" s="3" t="s">
        <v>2344</v>
      </c>
    </row>
    <row r="375" spans="1:6" x14ac:dyDescent="0.25">
      <c r="A375" s="30">
        <v>44169.783067129632</v>
      </c>
      <c r="B375" s="3" t="s">
        <v>2200</v>
      </c>
      <c r="C375" s="47" t="s">
        <v>2348</v>
      </c>
      <c r="D375" s="47">
        <v>0</v>
      </c>
      <c r="E375" s="47" t="s">
        <v>2348</v>
      </c>
      <c r="F375" s="3" t="s">
        <v>2344</v>
      </c>
    </row>
    <row r="376" spans="1:6" x14ac:dyDescent="0.25">
      <c r="A376" s="30">
        <v>44169.783078703702</v>
      </c>
      <c r="B376" s="3" t="s">
        <v>2206</v>
      </c>
      <c r="C376" s="47" t="s">
        <v>2348</v>
      </c>
      <c r="D376" s="47">
        <v>0</v>
      </c>
      <c r="E376" s="47" t="s">
        <v>2348</v>
      </c>
      <c r="F376" s="3" t="s">
        <v>2344</v>
      </c>
    </row>
    <row r="377" spans="1:6" x14ac:dyDescent="0.25">
      <c r="A377" s="30">
        <v>44169.783078703702</v>
      </c>
      <c r="B377" s="3" t="s">
        <v>2210</v>
      </c>
      <c r="C377" s="47" t="s">
        <v>2348</v>
      </c>
      <c r="D377" s="47">
        <v>0</v>
      </c>
      <c r="E377" s="47" t="s">
        <v>2348</v>
      </c>
      <c r="F377" s="3" t="s">
        <v>2344</v>
      </c>
    </row>
    <row r="378" spans="1:6" x14ac:dyDescent="0.25">
      <c r="A378" s="30">
        <v>44169.783090277779</v>
      </c>
      <c r="B378" s="3" t="s">
        <v>2215</v>
      </c>
      <c r="C378" s="47" t="s">
        <v>2348</v>
      </c>
      <c r="D378" s="47">
        <v>0</v>
      </c>
      <c r="E378" s="47" t="s">
        <v>2348</v>
      </c>
      <c r="F378" s="3" t="s">
        <v>2344</v>
      </c>
    </row>
    <row r="379" spans="1:6" x14ac:dyDescent="0.25">
      <c r="A379" s="30">
        <v>44169.783090277779</v>
      </c>
      <c r="B379" s="3" t="s">
        <v>2219</v>
      </c>
      <c r="C379" s="47" t="s">
        <v>2347</v>
      </c>
      <c r="D379" s="47">
        <v>0</v>
      </c>
      <c r="E379" s="47" t="s">
        <v>2347</v>
      </c>
      <c r="F379" s="3" t="s">
        <v>2344</v>
      </c>
    </row>
    <row r="380" spans="1:6" x14ac:dyDescent="0.25">
      <c r="A380" s="30">
        <v>44169.783101851855</v>
      </c>
      <c r="B380" s="3" t="s">
        <v>2223</v>
      </c>
      <c r="C380" s="47" t="s">
        <v>2347</v>
      </c>
      <c r="D380" s="47">
        <v>0</v>
      </c>
      <c r="E380" s="47" t="s">
        <v>2347</v>
      </c>
      <c r="F380" s="3" t="s">
        <v>2344</v>
      </c>
    </row>
    <row r="381" spans="1:6" x14ac:dyDescent="0.25">
      <c r="A381" s="30">
        <v>44169.783101851855</v>
      </c>
      <c r="B381" s="3" t="s">
        <v>2227</v>
      </c>
      <c r="C381" s="47" t="s">
        <v>2347</v>
      </c>
      <c r="D381" s="47">
        <v>0</v>
      </c>
      <c r="E381" s="47" t="s">
        <v>2347</v>
      </c>
      <c r="F381" s="3" t="s">
        <v>2344</v>
      </c>
    </row>
    <row r="382" spans="1:6" x14ac:dyDescent="0.25">
      <c r="A382" s="30">
        <v>44169.783101851855</v>
      </c>
      <c r="B382" s="3" t="s">
        <v>2232</v>
      </c>
      <c r="C382" s="47" t="s">
        <v>2347</v>
      </c>
      <c r="D382" s="47">
        <v>0</v>
      </c>
      <c r="E382" s="47" t="s">
        <v>2347</v>
      </c>
      <c r="F382" s="3" t="s">
        <v>2344</v>
      </c>
    </row>
    <row r="383" spans="1:6" x14ac:dyDescent="0.25">
      <c r="A383" s="30">
        <v>44169.783113425925</v>
      </c>
      <c r="B383" s="3" t="s">
        <v>2236</v>
      </c>
      <c r="C383" s="47" t="s">
        <v>2369</v>
      </c>
      <c r="D383" s="47">
        <v>0</v>
      </c>
      <c r="E383" s="47" t="s">
        <v>2369</v>
      </c>
      <c r="F383" s="3" t="s">
        <v>2344</v>
      </c>
    </row>
    <row r="384" spans="1:6" x14ac:dyDescent="0.25">
      <c r="A384" s="30">
        <v>44169.783113425925</v>
      </c>
      <c r="B384" s="3" t="s">
        <v>2238</v>
      </c>
      <c r="C384" s="47" t="s">
        <v>2350</v>
      </c>
      <c r="D384" s="47">
        <v>0</v>
      </c>
      <c r="E384" s="47" t="s">
        <v>2350</v>
      </c>
      <c r="F384" s="3" t="s">
        <v>2344</v>
      </c>
    </row>
    <row r="385" spans="1:6" x14ac:dyDescent="0.25">
      <c r="A385" s="30">
        <v>44169.783125000002</v>
      </c>
      <c r="B385" s="3" t="s">
        <v>2244</v>
      </c>
      <c r="C385" s="47" t="s">
        <v>2352</v>
      </c>
      <c r="D385" s="47">
        <v>0</v>
      </c>
      <c r="E385" s="47" t="s">
        <v>2352</v>
      </c>
      <c r="F385" s="3" t="s">
        <v>2344</v>
      </c>
    </row>
    <row r="386" spans="1:6" x14ac:dyDescent="0.25">
      <c r="A386" s="30">
        <v>44169.783125000002</v>
      </c>
      <c r="B386" s="3" t="s">
        <v>2249</v>
      </c>
      <c r="C386" s="47" t="s">
        <v>2431</v>
      </c>
      <c r="D386" s="47">
        <v>0</v>
      </c>
      <c r="E386" s="47" t="s">
        <v>2431</v>
      </c>
      <c r="F386" s="3" t="s">
        <v>2344</v>
      </c>
    </row>
    <row r="387" spans="1:6" x14ac:dyDescent="0.25">
      <c r="A387" s="30">
        <v>44169.783136574071</v>
      </c>
      <c r="B387" s="3" t="s">
        <v>2432</v>
      </c>
      <c r="C387" s="47" t="s">
        <v>2358</v>
      </c>
      <c r="D387" s="47">
        <v>0</v>
      </c>
      <c r="E387" s="47" t="s">
        <v>2358</v>
      </c>
      <c r="F387" s="3" t="s">
        <v>2344</v>
      </c>
    </row>
    <row r="388" spans="1:6" x14ac:dyDescent="0.25">
      <c r="A388" s="30">
        <v>44169.783136574071</v>
      </c>
      <c r="B388" s="3" t="s">
        <v>2433</v>
      </c>
      <c r="C388" s="47" t="s">
        <v>2358</v>
      </c>
      <c r="D388" s="47">
        <v>0</v>
      </c>
      <c r="E388" s="47" t="s">
        <v>2358</v>
      </c>
      <c r="F388" s="3" t="s">
        <v>2344</v>
      </c>
    </row>
    <row r="389" spans="1:6" x14ac:dyDescent="0.25">
      <c r="A389" s="30">
        <v>44169.783148148148</v>
      </c>
      <c r="B389" s="3" t="s">
        <v>2262</v>
      </c>
      <c r="C389" s="47" t="s">
        <v>2348</v>
      </c>
      <c r="D389" s="47">
        <v>0</v>
      </c>
      <c r="E389" s="47" t="s">
        <v>2348</v>
      </c>
      <c r="F389" s="3" t="s">
        <v>2344</v>
      </c>
    </row>
    <row r="390" spans="1:6" x14ac:dyDescent="0.25">
      <c r="A390" s="30">
        <v>44169.783148148148</v>
      </c>
      <c r="B390" s="3" t="s">
        <v>2266</v>
      </c>
      <c r="C390" s="47" t="s">
        <v>2347</v>
      </c>
      <c r="D390" s="47">
        <v>0</v>
      </c>
      <c r="E390" s="47" t="s">
        <v>2347</v>
      </c>
      <c r="F390" s="3" t="s">
        <v>2344</v>
      </c>
    </row>
    <row r="391" spans="1:6" x14ac:dyDescent="0.25">
      <c r="A391" s="30">
        <v>44169.783159722225</v>
      </c>
      <c r="B391" s="3" t="s">
        <v>2434</v>
      </c>
      <c r="C391" s="47" t="s">
        <v>2348</v>
      </c>
      <c r="D391" s="47">
        <v>0</v>
      </c>
      <c r="E391" s="47" t="s">
        <v>2348</v>
      </c>
      <c r="F391" s="3" t="s">
        <v>2344</v>
      </c>
    </row>
    <row r="392" spans="1:6" x14ac:dyDescent="0.25">
      <c r="A392" s="30">
        <v>44169.783159722225</v>
      </c>
      <c r="B392" s="3" t="s">
        <v>2275</v>
      </c>
      <c r="C392" s="47" t="s">
        <v>2347</v>
      </c>
      <c r="D392" s="47">
        <v>0</v>
      </c>
      <c r="E392" s="47" t="s">
        <v>2347</v>
      </c>
      <c r="F392" s="3" t="s">
        <v>2344</v>
      </c>
    </row>
    <row r="393" spans="1:6" x14ac:dyDescent="0.25">
      <c r="A393" s="30">
        <v>44169.783171296294</v>
      </c>
      <c r="B393" s="3" t="s">
        <v>2280</v>
      </c>
      <c r="C393" s="47" t="s">
        <v>2348</v>
      </c>
      <c r="D393" s="47">
        <v>0</v>
      </c>
      <c r="E393" s="47" t="s">
        <v>2348</v>
      </c>
      <c r="F393" s="3" t="s">
        <v>2344</v>
      </c>
    </row>
    <row r="394" spans="1:6" x14ac:dyDescent="0.25">
      <c r="A394" s="30">
        <v>44169.783171296294</v>
      </c>
      <c r="B394" s="3" t="s">
        <v>2285</v>
      </c>
      <c r="C394" s="47" t="s">
        <v>2347</v>
      </c>
      <c r="D394" s="47">
        <v>0</v>
      </c>
      <c r="E394" s="47" t="s">
        <v>2347</v>
      </c>
      <c r="F394" s="3" t="s">
        <v>2344</v>
      </c>
    </row>
    <row r="395" spans="1:6" x14ac:dyDescent="0.25">
      <c r="A395" s="30">
        <v>44169.783182870371</v>
      </c>
      <c r="B395" s="3" t="s">
        <v>22</v>
      </c>
      <c r="C395" s="47" t="s">
        <v>2435</v>
      </c>
      <c r="D395" s="47">
        <v>0</v>
      </c>
      <c r="E395" s="47" t="s">
        <v>2435</v>
      </c>
      <c r="F395" s="3" t="s">
        <v>2344</v>
      </c>
    </row>
    <row r="396" spans="1:6" x14ac:dyDescent="0.25">
      <c r="A396" s="30">
        <v>44169.783182870371</v>
      </c>
      <c r="B396" s="3" t="s">
        <v>21</v>
      </c>
      <c r="C396" s="47" t="s">
        <v>2436</v>
      </c>
      <c r="D396" s="47">
        <v>0</v>
      </c>
      <c r="E396" s="47" t="s">
        <v>2436</v>
      </c>
      <c r="F396" s="3" t="s">
        <v>2344</v>
      </c>
    </row>
    <row r="397" spans="1:6" x14ac:dyDescent="0.25">
      <c r="A397" s="30">
        <v>44169.783194444448</v>
      </c>
      <c r="B397" s="3" t="s">
        <v>2299</v>
      </c>
      <c r="C397" s="47" t="s">
        <v>2348</v>
      </c>
      <c r="D397" s="47">
        <v>0</v>
      </c>
      <c r="E397" s="47" t="s">
        <v>2348</v>
      </c>
      <c r="F397" s="3" t="s">
        <v>2344</v>
      </c>
    </row>
    <row r="398" spans="1:6" x14ac:dyDescent="0.25">
      <c r="A398" s="30">
        <v>44169.783194444448</v>
      </c>
      <c r="B398" s="3" t="s">
        <v>11</v>
      </c>
      <c r="C398" s="47" t="s">
        <v>2407</v>
      </c>
      <c r="D398" s="47">
        <v>0</v>
      </c>
      <c r="E398" s="47" t="s">
        <v>2407</v>
      </c>
      <c r="F398" s="3" t="s">
        <v>2344</v>
      </c>
    </row>
    <row r="399" spans="1:6" x14ac:dyDescent="0.25">
      <c r="A399" s="30">
        <v>44169.783206018517</v>
      </c>
      <c r="B399" s="3" t="s">
        <v>2307</v>
      </c>
      <c r="C399" s="47" t="s">
        <v>2438</v>
      </c>
      <c r="D399" s="47">
        <v>0</v>
      </c>
      <c r="E399" s="47" t="s">
        <v>2438</v>
      </c>
      <c r="F399" s="3" t="s">
        <v>2344</v>
      </c>
    </row>
    <row r="400" spans="1:6" x14ac:dyDescent="0.25">
      <c r="A400" s="30">
        <v>44169.783206018517</v>
      </c>
      <c r="B400" s="3" t="s">
        <v>2315</v>
      </c>
      <c r="C400" s="47" t="s">
        <v>2367</v>
      </c>
      <c r="D400" s="47">
        <v>0</v>
      </c>
      <c r="E400" s="47" t="s">
        <v>2367</v>
      </c>
      <c r="F400" s="3" t="s">
        <v>2344</v>
      </c>
    </row>
    <row r="401" spans="1:6" x14ac:dyDescent="0.25">
      <c r="A401" s="30">
        <v>44169.783217592594</v>
      </c>
      <c r="B401" s="3" t="s">
        <v>2320</v>
      </c>
      <c r="C401" s="47" t="s">
        <v>2347</v>
      </c>
      <c r="D401" s="47">
        <v>0</v>
      </c>
      <c r="E401" s="47" t="s">
        <v>2347</v>
      </c>
      <c r="F401" s="3" t="s">
        <v>2344</v>
      </c>
    </row>
    <row r="402" spans="1:6" x14ac:dyDescent="0.25">
      <c r="A402" s="30">
        <v>44169.783217592594</v>
      </c>
      <c r="B402" s="3" t="s">
        <v>2326</v>
      </c>
      <c r="C402" s="47" t="s">
        <v>2358</v>
      </c>
      <c r="D402" s="47">
        <v>0</v>
      </c>
      <c r="E402" s="47" t="s">
        <v>2358</v>
      </c>
      <c r="F402" s="3" t="s">
        <v>2344</v>
      </c>
    </row>
    <row r="403" spans="1:6" x14ac:dyDescent="0.25">
      <c r="A403" s="30">
        <v>44169.783229166664</v>
      </c>
      <c r="B403" s="3" t="s">
        <v>2330</v>
      </c>
      <c r="C403" s="47" t="s">
        <v>2369</v>
      </c>
      <c r="D403" s="47">
        <v>0</v>
      </c>
      <c r="E403" s="47" t="s">
        <v>2369</v>
      </c>
      <c r="F403" s="3" t="s">
        <v>2344</v>
      </c>
    </row>
    <row r="404" spans="1:6" x14ac:dyDescent="0.25">
      <c r="A404" s="30">
        <v>44169.788923611108</v>
      </c>
      <c r="B404" s="3" t="s">
        <v>2346</v>
      </c>
      <c r="C404" s="47" t="s">
        <v>2347</v>
      </c>
      <c r="D404" s="47">
        <v>0</v>
      </c>
      <c r="E404" s="47" t="s">
        <v>2347</v>
      </c>
      <c r="F404" s="3" t="s">
        <v>2336</v>
      </c>
    </row>
    <row r="405" spans="1:6" x14ac:dyDescent="0.25">
      <c r="A405" s="30">
        <v>44169.788923611108</v>
      </c>
      <c r="B405" s="3" t="s">
        <v>312</v>
      </c>
      <c r="C405" s="47" t="s">
        <v>2348</v>
      </c>
      <c r="D405" s="47">
        <v>0</v>
      </c>
      <c r="E405" s="47" t="s">
        <v>2348</v>
      </c>
      <c r="F405" s="3" t="s">
        <v>2336</v>
      </c>
    </row>
    <row r="406" spans="1:6" x14ac:dyDescent="0.25">
      <c r="A406" s="30">
        <v>44169.788935185185</v>
      </c>
      <c r="B406" s="3" t="s">
        <v>2432</v>
      </c>
      <c r="C406" s="47" t="s">
        <v>2358</v>
      </c>
      <c r="D406" s="47">
        <v>0</v>
      </c>
      <c r="E406" s="47" t="s">
        <v>2358</v>
      </c>
      <c r="F406" s="3" t="s">
        <v>2336</v>
      </c>
    </row>
    <row r="407" spans="1:6" x14ac:dyDescent="0.25">
      <c r="A407" s="30">
        <v>44169.788935185185</v>
      </c>
      <c r="B407" s="3" t="s">
        <v>2433</v>
      </c>
      <c r="C407" s="47" t="s">
        <v>2358</v>
      </c>
      <c r="D407" s="47">
        <v>0</v>
      </c>
      <c r="E407" s="47" t="s">
        <v>2358</v>
      </c>
      <c r="F407" s="3" t="s">
        <v>2336</v>
      </c>
    </row>
    <row r="408" spans="1:6" x14ac:dyDescent="0.25">
      <c r="A408" s="30">
        <v>44169.788946759261</v>
      </c>
      <c r="B408" s="3" t="s">
        <v>12</v>
      </c>
      <c r="C408" s="47" t="s">
        <v>2350</v>
      </c>
      <c r="D408" s="47">
        <v>0</v>
      </c>
      <c r="E408" s="47" t="s">
        <v>2350</v>
      </c>
      <c r="F408" s="3" t="s">
        <v>2336</v>
      </c>
    </row>
    <row r="409" spans="1:6" x14ac:dyDescent="0.25">
      <c r="A409" s="30">
        <v>44169.788946759261</v>
      </c>
      <c r="B409" s="3" t="s">
        <v>324</v>
      </c>
      <c r="C409" s="47" t="s">
        <v>2352</v>
      </c>
      <c r="D409" s="47">
        <v>0</v>
      </c>
      <c r="E409" s="47" t="s">
        <v>2352</v>
      </c>
      <c r="F409" s="3" t="s">
        <v>2336</v>
      </c>
    </row>
    <row r="410" spans="1:6" x14ac:dyDescent="0.25">
      <c r="A410" s="30">
        <v>44169.788946759261</v>
      </c>
      <c r="B410" s="3" t="s">
        <v>332</v>
      </c>
      <c r="C410" s="47" t="s">
        <v>2352</v>
      </c>
      <c r="D410" s="47">
        <v>0</v>
      </c>
      <c r="E410" s="47" t="s">
        <v>2352</v>
      </c>
      <c r="F410" s="3" t="s">
        <v>2336</v>
      </c>
    </row>
    <row r="411" spans="1:6" x14ac:dyDescent="0.25">
      <c r="A411" s="30">
        <v>44169.788958333331</v>
      </c>
      <c r="B411" s="3" t="s">
        <v>890</v>
      </c>
      <c r="C411" s="47" t="s">
        <v>2372</v>
      </c>
      <c r="D411" s="47">
        <v>0</v>
      </c>
      <c r="E411" s="47" t="s">
        <v>2372</v>
      </c>
      <c r="F411" s="3" t="s">
        <v>2336</v>
      </c>
    </row>
    <row r="412" spans="1:6" x14ac:dyDescent="0.25">
      <c r="A412" s="30">
        <v>44169.788958333331</v>
      </c>
      <c r="B412" s="3" t="s">
        <v>336</v>
      </c>
      <c r="C412" s="47" t="s">
        <v>2347</v>
      </c>
      <c r="D412" s="47">
        <v>0</v>
      </c>
      <c r="E412" s="47" t="s">
        <v>2347</v>
      </c>
      <c r="F412" s="3" t="s">
        <v>2336</v>
      </c>
    </row>
    <row r="413" spans="1:6" x14ac:dyDescent="0.25">
      <c r="A413" s="30">
        <v>44169.788969907408</v>
      </c>
      <c r="B413" s="3" t="s">
        <v>2353</v>
      </c>
      <c r="C413" s="47" t="s">
        <v>2348</v>
      </c>
      <c r="D413" s="47">
        <v>0</v>
      </c>
      <c r="E413" s="47" t="s">
        <v>2348</v>
      </c>
      <c r="F413" s="3" t="s">
        <v>2336</v>
      </c>
    </row>
    <row r="414" spans="1:6" x14ac:dyDescent="0.25">
      <c r="A414" s="30">
        <v>44169.788969907408</v>
      </c>
      <c r="B414" s="3" t="s">
        <v>478</v>
      </c>
      <c r="C414" s="47" t="s">
        <v>2358</v>
      </c>
      <c r="D414" s="47">
        <v>0</v>
      </c>
      <c r="E414" s="47" t="s">
        <v>2358</v>
      </c>
      <c r="F414" s="3" t="s">
        <v>2336</v>
      </c>
    </row>
    <row r="415" spans="1:6" x14ac:dyDescent="0.25">
      <c r="A415" s="30">
        <v>44169.788969907408</v>
      </c>
      <c r="B415" s="3" t="s">
        <v>2418</v>
      </c>
      <c r="C415" s="47" t="s">
        <v>2359</v>
      </c>
      <c r="D415" s="47">
        <v>0</v>
      </c>
      <c r="E415" s="47" t="s">
        <v>2359</v>
      </c>
      <c r="F415" s="3" t="s">
        <v>2336</v>
      </c>
    </row>
    <row r="416" spans="1:6" x14ac:dyDescent="0.25">
      <c r="A416" s="30">
        <v>44169.788981481484</v>
      </c>
      <c r="B416" s="3" t="s">
        <v>42</v>
      </c>
      <c r="C416" s="47" t="s">
        <v>2348</v>
      </c>
      <c r="D416" s="47">
        <v>0</v>
      </c>
      <c r="E416" s="47" t="s">
        <v>2348</v>
      </c>
      <c r="F416" s="3" t="s">
        <v>2336</v>
      </c>
    </row>
    <row r="417" spans="1:6" x14ac:dyDescent="0.25">
      <c r="A417" s="30">
        <v>44169.788981481484</v>
      </c>
      <c r="B417" s="3" t="s">
        <v>362</v>
      </c>
      <c r="C417" s="47" t="s">
        <v>2348</v>
      </c>
      <c r="D417" s="47">
        <v>0</v>
      </c>
      <c r="E417" s="47" t="s">
        <v>2348</v>
      </c>
      <c r="F417" s="3" t="s">
        <v>2336</v>
      </c>
    </row>
    <row r="418" spans="1:6" x14ac:dyDescent="0.25">
      <c r="A418" s="30">
        <v>44169.788993055554</v>
      </c>
      <c r="B418" s="3" t="s">
        <v>366</v>
      </c>
      <c r="C418" s="47" t="s">
        <v>2348</v>
      </c>
      <c r="D418" s="47">
        <v>0</v>
      </c>
      <c r="E418" s="47" t="s">
        <v>2348</v>
      </c>
      <c r="F418" s="3" t="s">
        <v>2336</v>
      </c>
    </row>
    <row r="419" spans="1:6" x14ac:dyDescent="0.25">
      <c r="A419" s="30">
        <v>44169.788993055554</v>
      </c>
      <c r="B419" s="3" t="s">
        <v>370</v>
      </c>
      <c r="C419" s="47" t="s">
        <v>2348</v>
      </c>
      <c r="D419" s="47">
        <v>0</v>
      </c>
      <c r="E419" s="47" t="s">
        <v>2348</v>
      </c>
      <c r="F419" s="3" t="s">
        <v>2336</v>
      </c>
    </row>
    <row r="420" spans="1:6" x14ac:dyDescent="0.25">
      <c r="A420" s="30">
        <v>44169.788993055554</v>
      </c>
      <c r="B420" s="3" t="s">
        <v>132</v>
      </c>
      <c r="C420" s="47" t="s">
        <v>2347</v>
      </c>
      <c r="D420" s="47">
        <v>0</v>
      </c>
      <c r="E420" s="47" t="s">
        <v>2347</v>
      </c>
      <c r="F420" s="3" t="s">
        <v>2336</v>
      </c>
    </row>
    <row r="421" spans="1:6" x14ac:dyDescent="0.25">
      <c r="A421" s="30">
        <v>44169.789004629631</v>
      </c>
      <c r="B421" s="3" t="s">
        <v>30</v>
      </c>
      <c r="C421" s="47" t="s">
        <v>2347</v>
      </c>
      <c r="D421" s="47">
        <v>0</v>
      </c>
      <c r="E421" s="47" t="s">
        <v>2347</v>
      </c>
      <c r="F421" s="3" t="s">
        <v>2336</v>
      </c>
    </row>
    <row r="422" spans="1:6" x14ac:dyDescent="0.25">
      <c r="A422" s="30">
        <v>44169.789004629631</v>
      </c>
      <c r="B422" s="3" t="s">
        <v>386</v>
      </c>
      <c r="C422" s="47" t="s">
        <v>2347</v>
      </c>
      <c r="D422" s="47">
        <v>0</v>
      </c>
      <c r="E422" s="47" t="s">
        <v>2347</v>
      </c>
      <c r="F422" s="3" t="s">
        <v>2336</v>
      </c>
    </row>
    <row r="423" spans="1:6" x14ac:dyDescent="0.25">
      <c r="A423" s="30">
        <v>44169.7890162037</v>
      </c>
      <c r="B423" s="3" t="s">
        <v>392</v>
      </c>
      <c r="C423" s="47" t="s">
        <v>2347</v>
      </c>
      <c r="D423" s="47">
        <v>0</v>
      </c>
      <c r="E423" s="47" t="s">
        <v>2347</v>
      </c>
      <c r="F423" s="3" t="s">
        <v>2336</v>
      </c>
    </row>
    <row r="424" spans="1:6" x14ac:dyDescent="0.25">
      <c r="A424" s="30">
        <v>44169.7890162037</v>
      </c>
      <c r="B424" s="3" t="s">
        <v>9</v>
      </c>
      <c r="C424" s="47" t="s">
        <v>2343</v>
      </c>
      <c r="D424" s="47">
        <v>0</v>
      </c>
      <c r="E424" s="47" t="s">
        <v>2343</v>
      </c>
      <c r="F424" s="3" t="s">
        <v>2336</v>
      </c>
    </row>
    <row r="425" spans="1:6" x14ac:dyDescent="0.25">
      <c r="A425" s="30">
        <v>44169.789027777777</v>
      </c>
      <c r="B425" s="3" t="s">
        <v>10</v>
      </c>
      <c r="C425" s="47" t="s">
        <v>2343</v>
      </c>
      <c r="D425" s="47">
        <v>0</v>
      </c>
      <c r="E425" s="47" t="s">
        <v>2343</v>
      </c>
      <c r="F425" s="3" t="s">
        <v>2336</v>
      </c>
    </row>
    <row r="426" spans="1:6" x14ac:dyDescent="0.25">
      <c r="A426" s="30">
        <v>44169.789027777777</v>
      </c>
      <c r="B426" s="3" t="s">
        <v>2357</v>
      </c>
      <c r="C426" s="47" t="s">
        <v>2358</v>
      </c>
      <c r="D426" s="47">
        <v>0</v>
      </c>
      <c r="E426" s="47" t="s">
        <v>2358</v>
      </c>
      <c r="F426" s="3" t="s">
        <v>2336</v>
      </c>
    </row>
    <row r="427" spans="1:6" x14ac:dyDescent="0.25">
      <c r="A427" s="30">
        <v>44169.789027777777</v>
      </c>
      <c r="B427" s="3" t="s">
        <v>231</v>
      </c>
      <c r="C427" s="47" t="s">
        <v>2359</v>
      </c>
      <c r="D427" s="47">
        <v>0</v>
      </c>
      <c r="E427" s="47" t="s">
        <v>2359</v>
      </c>
      <c r="F427" s="3" t="s">
        <v>2336</v>
      </c>
    </row>
    <row r="428" spans="1:6" x14ac:dyDescent="0.25">
      <c r="A428" s="30">
        <v>44169.789039351854</v>
      </c>
      <c r="B428" s="3" t="s">
        <v>160</v>
      </c>
      <c r="C428" s="47" t="s">
        <v>2360</v>
      </c>
      <c r="D428" s="47">
        <v>0</v>
      </c>
      <c r="E428" s="47" t="s">
        <v>2360</v>
      </c>
      <c r="F428" s="3" t="s">
        <v>2336</v>
      </c>
    </row>
    <row r="429" spans="1:6" x14ac:dyDescent="0.25">
      <c r="A429" s="30">
        <v>44169.789039351854</v>
      </c>
      <c r="B429" s="3" t="s">
        <v>162</v>
      </c>
      <c r="C429" s="47" t="s">
        <v>2361</v>
      </c>
      <c r="D429" s="47">
        <v>0</v>
      </c>
      <c r="E429" s="47" t="s">
        <v>2361</v>
      </c>
      <c r="F429" s="3" t="s">
        <v>2336</v>
      </c>
    </row>
    <row r="430" spans="1:6" x14ac:dyDescent="0.25">
      <c r="A430" s="30">
        <v>44169.789050925923</v>
      </c>
      <c r="B430" s="3" t="s">
        <v>159</v>
      </c>
      <c r="C430" s="47" t="s">
        <v>2362</v>
      </c>
      <c r="D430" s="47">
        <v>0</v>
      </c>
      <c r="E430" s="47" t="s">
        <v>2362</v>
      </c>
      <c r="F430" s="3" t="s">
        <v>2336</v>
      </c>
    </row>
    <row r="431" spans="1:6" x14ac:dyDescent="0.25">
      <c r="A431" s="30">
        <v>44169.789050925923</v>
      </c>
      <c r="B431" s="3" t="s">
        <v>161</v>
      </c>
      <c r="C431" s="47" t="s">
        <v>2363</v>
      </c>
      <c r="D431" s="47">
        <v>0</v>
      </c>
      <c r="E431" s="47" t="s">
        <v>2363</v>
      </c>
      <c r="F431" s="3" t="s">
        <v>2336</v>
      </c>
    </row>
    <row r="432" spans="1:6" x14ac:dyDescent="0.25">
      <c r="A432" s="30">
        <v>44169.7890625</v>
      </c>
      <c r="B432" s="3" t="s">
        <v>206</v>
      </c>
      <c r="C432" s="47" t="s">
        <v>2364</v>
      </c>
      <c r="D432" s="47">
        <v>0</v>
      </c>
      <c r="E432" s="47" t="s">
        <v>2364</v>
      </c>
      <c r="F432" s="3" t="s">
        <v>2336</v>
      </c>
    </row>
    <row r="433" spans="1:6" x14ac:dyDescent="0.25">
      <c r="A433" s="30">
        <v>44169.7890625</v>
      </c>
      <c r="B433" s="3" t="s">
        <v>60</v>
      </c>
      <c r="C433" s="47" t="s">
        <v>2365</v>
      </c>
      <c r="D433" s="47">
        <v>0</v>
      </c>
      <c r="E433" s="47" t="s">
        <v>2365</v>
      </c>
      <c r="F433" s="3" t="s">
        <v>2336</v>
      </c>
    </row>
    <row r="434" spans="1:6" x14ac:dyDescent="0.25">
      <c r="A434" s="30">
        <v>44169.7890625</v>
      </c>
      <c r="B434" s="3" t="s">
        <v>19</v>
      </c>
      <c r="C434" s="47" t="s">
        <v>2368</v>
      </c>
      <c r="D434" s="47">
        <v>0</v>
      </c>
      <c r="E434" s="47" t="s">
        <v>2368</v>
      </c>
      <c r="F434" s="3" t="s">
        <v>2336</v>
      </c>
    </row>
    <row r="435" spans="1:6" x14ac:dyDescent="0.25">
      <c r="A435" s="30">
        <v>44169.789074074077</v>
      </c>
      <c r="B435" s="3" t="s">
        <v>164</v>
      </c>
      <c r="C435" s="47" t="s">
        <v>2370</v>
      </c>
      <c r="D435" s="47">
        <v>0</v>
      </c>
      <c r="E435" s="47" t="s">
        <v>2370</v>
      </c>
      <c r="F435" s="3" t="s">
        <v>2336</v>
      </c>
    </row>
    <row r="436" spans="1:6" x14ac:dyDescent="0.25">
      <c r="A436" s="30">
        <v>44169.789074074077</v>
      </c>
      <c r="B436" s="3" t="s">
        <v>464</v>
      </c>
      <c r="C436" s="47" t="s">
        <v>2372</v>
      </c>
      <c r="D436" s="47">
        <v>0</v>
      </c>
      <c r="E436" s="47" t="s">
        <v>2372</v>
      </c>
      <c r="F436" s="3" t="s">
        <v>2336</v>
      </c>
    </row>
    <row r="437" spans="1:6" x14ac:dyDescent="0.25">
      <c r="A437" s="30">
        <v>44169.789085648146</v>
      </c>
      <c r="B437" s="3" t="s">
        <v>468</v>
      </c>
      <c r="C437" s="47" t="s">
        <v>2372</v>
      </c>
      <c r="D437" s="47">
        <v>0</v>
      </c>
      <c r="E437" s="47" t="s">
        <v>2372</v>
      </c>
      <c r="F437" s="3" t="s">
        <v>2336</v>
      </c>
    </row>
    <row r="438" spans="1:6" x14ac:dyDescent="0.25">
      <c r="A438" s="30">
        <v>44169.789085648146</v>
      </c>
      <c r="B438" s="3" t="s">
        <v>165</v>
      </c>
      <c r="C438" s="47" t="s">
        <v>2373</v>
      </c>
      <c r="D438" s="47">
        <v>0</v>
      </c>
      <c r="E438" s="47" t="s">
        <v>2373</v>
      </c>
      <c r="F438" s="3" t="s">
        <v>2336</v>
      </c>
    </row>
    <row r="439" spans="1:6" x14ac:dyDescent="0.25">
      <c r="A439" s="30">
        <v>44169.789085648146</v>
      </c>
      <c r="B439" s="3" t="s">
        <v>2374</v>
      </c>
      <c r="C439" s="47" t="s">
        <v>2375</v>
      </c>
      <c r="D439" s="47">
        <v>0</v>
      </c>
      <c r="E439" s="47" t="s">
        <v>2375</v>
      </c>
      <c r="F439" s="3" t="s">
        <v>2336</v>
      </c>
    </row>
    <row r="440" spans="1:6" x14ac:dyDescent="0.25">
      <c r="A440" s="30">
        <v>44169.789097222223</v>
      </c>
      <c r="B440" s="3" t="s">
        <v>487</v>
      </c>
      <c r="C440" s="47" t="s">
        <v>2348</v>
      </c>
      <c r="D440" s="47">
        <v>0</v>
      </c>
      <c r="E440" s="47" t="s">
        <v>2348</v>
      </c>
      <c r="F440" s="3" t="s">
        <v>2336</v>
      </c>
    </row>
    <row r="441" spans="1:6" x14ac:dyDescent="0.25">
      <c r="A441" s="30">
        <v>44169.789097222223</v>
      </c>
      <c r="B441" s="3" t="s">
        <v>491</v>
      </c>
      <c r="C441" s="47" t="s">
        <v>2348</v>
      </c>
      <c r="D441" s="47">
        <v>0</v>
      </c>
      <c r="E441" s="47" t="s">
        <v>2348</v>
      </c>
      <c r="F441" s="3" t="s">
        <v>2336</v>
      </c>
    </row>
    <row r="442" spans="1:6" x14ac:dyDescent="0.25">
      <c r="A442" s="30">
        <v>44169.7891087963</v>
      </c>
      <c r="B442" s="3" t="s">
        <v>494</v>
      </c>
      <c r="C442" s="47" t="s">
        <v>2348</v>
      </c>
      <c r="D442" s="47">
        <v>0</v>
      </c>
      <c r="E442" s="47" t="s">
        <v>2348</v>
      </c>
      <c r="F442" s="3" t="s">
        <v>2336</v>
      </c>
    </row>
    <row r="443" spans="1:6" x14ac:dyDescent="0.25">
      <c r="A443" s="30">
        <v>44169.7891087963</v>
      </c>
      <c r="B443" s="3" t="s">
        <v>497</v>
      </c>
      <c r="C443" s="47" t="s">
        <v>2348</v>
      </c>
      <c r="D443" s="47">
        <v>0</v>
      </c>
      <c r="E443" s="47" t="s">
        <v>2348</v>
      </c>
      <c r="F443" s="3" t="s">
        <v>2336</v>
      </c>
    </row>
    <row r="444" spans="1:6" x14ac:dyDescent="0.25">
      <c r="A444" s="30">
        <v>44169.7891087963</v>
      </c>
      <c r="B444" s="3" t="s">
        <v>502</v>
      </c>
      <c r="C444" s="47" t="s">
        <v>2369</v>
      </c>
      <c r="D444" s="47">
        <v>0</v>
      </c>
      <c r="E444" s="47" t="s">
        <v>2369</v>
      </c>
      <c r="F444" s="3" t="s">
        <v>2336</v>
      </c>
    </row>
    <row r="445" spans="1:6" x14ac:dyDescent="0.25">
      <c r="A445" s="30">
        <v>44169.789120370369</v>
      </c>
      <c r="B445" s="3" t="s">
        <v>41</v>
      </c>
      <c r="C445" s="47" t="s">
        <v>2361</v>
      </c>
      <c r="D445" s="47">
        <v>0</v>
      </c>
      <c r="E445" s="47" t="s">
        <v>2361</v>
      </c>
      <c r="F445" s="3" t="s">
        <v>2336</v>
      </c>
    </row>
    <row r="446" spans="1:6" x14ac:dyDescent="0.25">
      <c r="A446" s="30">
        <v>44169.789120370369</v>
      </c>
      <c r="B446" s="3" t="s">
        <v>713</v>
      </c>
      <c r="C446" s="47" t="s">
        <v>2398</v>
      </c>
      <c r="D446" s="47">
        <v>0</v>
      </c>
      <c r="E446" s="47" t="s">
        <v>2398</v>
      </c>
      <c r="F446" s="3" t="s">
        <v>2336</v>
      </c>
    </row>
    <row r="447" spans="1:6" x14ac:dyDescent="0.25">
      <c r="A447" s="30">
        <v>44169.789131944446</v>
      </c>
      <c r="B447" s="3" t="s">
        <v>115</v>
      </c>
      <c r="C447" s="47" t="s">
        <v>2399</v>
      </c>
      <c r="D447" s="47">
        <v>0</v>
      </c>
      <c r="E447" s="47" t="s">
        <v>2399</v>
      </c>
      <c r="F447" s="3" t="s">
        <v>2336</v>
      </c>
    </row>
    <row r="448" spans="1:6" x14ac:dyDescent="0.25">
      <c r="A448" s="30">
        <v>44169.789131944446</v>
      </c>
      <c r="B448" s="3" t="s">
        <v>749</v>
      </c>
      <c r="C448" s="47" t="s">
        <v>2401</v>
      </c>
      <c r="D448" s="47">
        <v>0</v>
      </c>
      <c r="E448" s="47" t="s">
        <v>2401</v>
      </c>
      <c r="F448" s="3" t="s">
        <v>2336</v>
      </c>
    </row>
    <row r="449" spans="1:6" x14ac:dyDescent="0.25">
      <c r="A449" s="30">
        <v>44169.789143518516</v>
      </c>
      <c r="B449" s="3" t="s">
        <v>2376</v>
      </c>
      <c r="C449" s="47" t="s">
        <v>2348</v>
      </c>
      <c r="D449" s="47">
        <v>0</v>
      </c>
      <c r="E449" s="47" t="s">
        <v>2348</v>
      </c>
      <c r="F449" s="3" t="s">
        <v>2336</v>
      </c>
    </row>
    <row r="450" spans="1:6" x14ac:dyDescent="0.25">
      <c r="A450" s="30">
        <v>44169.789143518516</v>
      </c>
      <c r="B450" s="3" t="s">
        <v>513</v>
      </c>
      <c r="C450" s="47" t="s">
        <v>2358</v>
      </c>
      <c r="D450" s="47">
        <v>0</v>
      </c>
      <c r="E450" s="47" t="s">
        <v>2358</v>
      </c>
      <c r="F450" s="3" t="s">
        <v>2336</v>
      </c>
    </row>
    <row r="451" spans="1:6" x14ac:dyDescent="0.25">
      <c r="A451" s="30">
        <v>44169.789143518516</v>
      </c>
      <c r="B451" s="3" t="s">
        <v>519</v>
      </c>
      <c r="C451" s="47" t="s">
        <v>2369</v>
      </c>
      <c r="D451" s="47">
        <v>0</v>
      </c>
      <c r="E451" s="47" t="s">
        <v>2369</v>
      </c>
      <c r="F451" s="3" t="s">
        <v>2336</v>
      </c>
    </row>
    <row r="452" spans="1:6" x14ac:dyDescent="0.25">
      <c r="A452" s="30">
        <v>44169.789155092592</v>
      </c>
      <c r="B452" s="3" t="s">
        <v>524</v>
      </c>
      <c r="C452" s="47" t="s">
        <v>2348</v>
      </c>
      <c r="D452" s="47">
        <v>0</v>
      </c>
      <c r="E452" s="47" t="s">
        <v>2348</v>
      </c>
      <c r="F452" s="3" t="s">
        <v>2336</v>
      </c>
    </row>
    <row r="453" spans="1:6" x14ac:dyDescent="0.25">
      <c r="A453" s="30">
        <v>44169.789155092592</v>
      </c>
      <c r="B453" s="3" t="s">
        <v>528</v>
      </c>
      <c r="C453" s="47" t="s">
        <v>2348</v>
      </c>
      <c r="D453" s="47">
        <v>0</v>
      </c>
      <c r="E453" s="47" t="s">
        <v>2348</v>
      </c>
      <c r="F453" s="3" t="s">
        <v>2336</v>
      </c>
    </row>
    <row r="454" spans="1:6" x14ac:dyDescent="0.25">
      <c r="A454" s="30">
        <v>44169.789155092592</v>
      </c>
      <c r="B454" s="3" t="s">
        <v>532</v>
      </c>
      <c r="C454" s="47" t="s">
        <v>2348</v>
      </c>
      <c r="D454" s="47">
        <v>0</v>
      </c>
      <c r="E454" s="47" t="s">
        <v>2348</v>
      </c>
      <c r="F454" s="3" t="s">
        <v>2336</v>
      </c>
    </row>
    <row r="455" spans="1:6" x14ac:dyDescent="0.25">
      <c r="A455" s="30">
        <v>44169.789166666669</v>
      </c>
      <c r="B455" s="3" t="s">
        <v>536</v>
      </c>
      <c r="C455" s="47" t="s">
        <v>2348</v>
      </c>
      <c r="D455" s="47">
        <v>0</v>
      </c>
      <c r="E455" s="47" t="s">
        <v>2348</v>
      </c>
      <c r="F455" s="3" t="s">
        <v>2336</v>
      </c>
    </row>
    <row r="456" spans="1:6" x14ac:dyDescent="0.25">
      <c r="A456" s="30">
        <v>44169.789166666669</v>
      </c>
      <c r="B456" s="3" t="s">
        <v>540</v>
      </c>
      <c r="C456" s="47" t="s">
        <v>2348</v>
      </c>
      <c r="D456" s="47">
        <v>0</v>
      </c>
      <c r="E456" s="47" t="s">
        <v>2348</v>
      </c>
      <c r="F456" s="3" t="s">
        <v>2336</v>
      </c>
    </row>
    <row r="457" spans="1:6" x14ac:dyDescent="0.25">
      <c r="A457" s="30">
        <v>44169.789178240739</v>
      </c>
      <c r="B457" s="3" t="s">
        <v>544</v>
      </c>
      <c r="C457" s="47" t="s">
        <v>2348</v>
      </c>
      <c r="D457" s="47">
        <v>0</v>
      </c>
      <c r="E457" s="47" t="s">
        <v>2348</v>
      </c>
      <c r="F457" s="3" t="s">
        <v>2336</v>
      </c>
    </row>
    <row r="458" spans="1:6" x14ac:dyDescent="0.25">
      <c r="A458" s="30">
        <v>44169.789178240739</v>
      </c>
      <c r="B458" s="3" t="s">
        <v>548</v>
      </c>
      <c r="C458" s="47" t="s">
        <v>2348</v>
      </c>
      <c r="D458" s="47">
        <v>0</v>
      </c>
      <c r="E458" s="47" t="s">
        <v>2348</v>
      </c>
      <c r="F458" s="3" t="s">
        <v>2336</v>
      </c>
    </row>
    <row r="459" spans="1:6" x14ac:dyDescent="0.25">
      <c r="A459" s="30">
        <v>44169.789178240739</v>
      </c>
      <c r="B459" s="3" t="s">
        <v>2377</v>
      </c>
      <c r="C459" s="47" t="s">
        <v>2348</v>
      </c>
      <c r="D459" s="47">
        <v>0</v>
      </c>
      <c r="E459" s="47" t="s">
        <v>2348</v>
      </c>
      <c r="F459" s="3" t="s">
        <v>2336</v>
      </c>
    </row>
    <row r="460" spans="1:6" x14ac:dyDescent="0.25">
      <c r="A460" s="30">
        <v>44169.789189814815</v>
      </c>
      <c r="B460" s="3" t="s">
        <v>2378</v>
      </c>
      <c r="C460" s="47" t="s">
        <v>2348</v>
      </c>
      <c r="D460" s="47">
        <v>0</v>
      </c>
      <c r="E460" s="47" t="s">
        <v>2348</v>
      </c>
      <c r="F460" s="3" t="s">
        <v>2336</v>
      </c>
    </row>
    <row r="461" spans="1:6" x14ac:dyDescent="0.25">
      <c r="A461" s="30">
        <v>44169.789189814815</v>
      </c>
      <c r="B461" s="3" t="s">
        <v>2379</v>
      </c>
      <c r="C461" s="47" t="s">
        <v>2348</v>
      </c>
      <c r="D461" s="47">
        <v>0</v>
      </c>
      <c r="E461" s="47" t="s">
        <v>2348</v>
      </c>
      <c r="F461" s="3" t="s">
        <v>2336</v>
      </c>
    </row>
    <row r="462" spans="1:6" x14ac:dyDescent="0.25">
      <c r="A462" s="30">
        <v>44169.789189814815</v>
      </c>
      <c r="B462" s="3" t="s">
        <v>2380</v>
      </c>
      <c r="C462" s="47" t="s">
        <v>2348</v>
      </c>
      <c r="D462" s="47">
        <v>0</v>
      </c>
      <c r="E462" s="47" t="s">
        <v>2348</v>
      </c>
      <c r="F462" s="3" t="s">
        <v>2336</v>
      </c>
    </row>
    <row r="463" spans="1:6" x14ac:dyDescent="0.25">
      <c r="A463" s="30">
        <v>44169.789201388892</v>
      </c>
      <c r="B463" s="3" t="s">
        <v>2381</v>
      </c>
      <c r="C463" s="47" t="s">
        <v>2348</v>
      </c>
      <c r="D463" s="47">
        <v>0</v>
      </c>
      <c r="E463" s="47" t="s">
        <v>2348</v>
      </c>
      <c r="F463" s="3" t="s">
        <v>2336</v>
      </c>
    </row>
    <row r="464" spans="1:6" x14ac:dyDescent="0.25">
      <c r="A464" s="30">
        <v>44169.789201388892</v>
      </c>
      <c r="B464" s="3" t="s">
        <v>2382</v>
      </c>
      <c r="C464" s="47" t="s">
        <v>2348</v>
      </c>
      <c r="D464" s="47">
        <v>0</v>
      </c>
      <c r="E464" s="47" t="s">
        <v>2348</v>
      </c>
      <c r="F464" s="3" t="s">
        <v>2336</v>
      </c>
    </row>
    <row r="465" spans="1:6" x14ac:dyDescent="0.25">
      <c r="A465" s="30">
        <v>44169.789212962962</v>
      </c>
      <c r="B465" s="3" t="s">
        <v>2383</v>
      </c>
      <c r="C465" s="47" t="s">
        <v>2348</v>
      </c>
      <c r="D465" s="47">
        <v>0</v>
      </c>
      <c r="E465" s="47" t="s">
        <v>2348</v>
      </c>
      <c r="F465" s="3" t="s">
        <v>2336</v>
      </c>
    </row>
    <row r="466" spans="1:6" x14ac:dyDescent="0.25">
      <c r="A466" s="30">
        <v>44169.789212962962</v>
      </c>
      <c r="B466" s="3" t="s">
        <v>2384</v>
      </c>
      <c r="C466" s="47" t="s">
        <v>2348</v>
      </c>
      <c r="D466" s="47">
        <v>0</v>
      </c>
      <c r="E466" s="47" t="s">
        <v>2348</v>
      </c>
      <c r="F466" s="3" t="s">
        <v>2336</v>
      </c>
    </row>
    <row r="467" spans="1:6" x14ac:dyDescent="0.25">
      <c r="A467" s="30">
        <v>44169.789212962962</v>
      </c>
      <c r="B467" s="3" t="s">
        <v>2338</v>
      </c>
      <c r="C467" s="47" t="s">
        <v>2348</v>
      </c>
      <c r="D467" s="47">
        <v>0</v>
      </c>
      <c r="E467" s="47" t="s">
        <v>2348</v>
      </c>
      <c r="F467" s="3" t="s">
        <v>2336</v>
      </c>
    </row>
    <row r="468" spans="1:6" x14ac:dyDescent="0.25">
      <c r="A468" s="30">
        <v>44169.789224537039</v>
      </c>
      <c r="B468" s="3" t="s">
        <v>2339</v>
      </c>
      <c r="C468" s="47" t="s">
        <v>2348</v>
      </c>
      <c r="D468" s="47">
        <v>0</v>
      </c>
      <c r="E468" s="47" t="s">
        <v>2348</v>
      </c>
      <c r="F468" s="3" t="s">
        <v>2336</v>
      </c>
    </row>
    <row r="469" spans="1:6" x14ac:dyDescent="0.25">
      <c r="A469" s="30">
        <v>44169.789224537039</v>
      </c>
      <c r="B469" s="3" t="s">
        <v>583</v>
      </c>
      <c r="C469" s="47" t="s">
        <v>2348</v>
      </c>
      <c r="D469" s="47">
        <v>0</v>
      </c>
      <c r="E469" s="47" t="s">
        <v>2348</v>
      </c>
      <c r="F469" s="3" t="s">
        <v>2336</v>
      </c>
    </row>
    <row r="470" spans="1:6" x14ac:dyDescent="0.25">
      <c r="A470" s="30">
        <v>44169.789224537039</v>
      </c>
      <c r="B470" s="3" t="s">
        <v>587</v>
      </c>
      <c r="C470" s="47" t="s">
        <v>2348</v>
      </c>
      <c r="D470" s="47">
        <v>0</v>
      </c>
      <c r="E470" s="47" t="s">
        <v>2348</v>
      </c>
      <c r="F470" s="3" t="s">
        <v>2336</v>
      </c>
    </row>
    <row r="471" spans="1:6" x14ac:dyDescent="0.25">
      <c r="A471" s="30">
        <v>44169.789236111108</v>
      </c>
      <c r="B471" s="3" t="s">
        <v>591</v>
      </c>
      <c r="C471" s="47" t="s">
        <v>2348</v>
      </c>
      <c r="D471" s="47">
        <v>0</v>
      </c>
      <c r="E471" s="47" t="s">
        <v>2348</v>
      </c>
      <c r="F471" s="3" t="s">
        <v>2336</v>
      </c>
    </row>
    <row r="472" spans="1:6" x14ac:dyDescent="0.25">
      <c r="A472" s="30">
        <v>44169.789236111108</v>
      </c>
      <c r="B472" s="3" t="s">
        <v>595</v>
      </c>
      <c r="C472" s="47" t="s">
        <v>2348</v>
      </c>
      <c r="D472" s="47">
        <v>0</v>
      </c>
      <c r="E472" s="47" t="s">
        <v>2348</v>
      </c>
      <c r="F472" s="3" t="s">
        <v>2336</v>
      </c>
    </row>
    <row r="473" spans="1:6" x14ac:dyDescent="0.25">
      <c r="A473" s="30">
        <v>44169.789247685185</v>
      </c>
      <c r="B473" s="3" t="s">
        <v>599</v>
      </c>
      <c r="C473" s="47" t="s">
        <v>2348</v>
      </c>
      <c r="D473" s="47">
        <v>0</v>
      </c>
      <c r="E473" s="47" t="s">
        <v>2348</v>
      </c>
      <c r="F473" s="3" t="s">
        <v>2336</v>
      </c>
    </row>
    <row r="474" spans="1:6" x14ac:dyDescent="0.25">
      <c r="A474" s="30">
        <v>44169.789247685185</v>
      </c>
      <c r="B474" s="3" t="s">
        <v>603</v>
      </c>
      <c r="C474" s="47" t="s">
        <v>2348</v>
      </c>
      <c r="D474" s="47">
        <v>0</v>
      </c>
      <c r="E474" s="47" t="s">
        <v>2348</v>
      </c>
      <c r="F474" s="3" t="s">
        <v>2336</v>
      </c>
    </row>
    <row r="475" spans="1:6" x14ac:dyDescent="0.25">
      <c r="A475" s="30">
        <v>44169.789247685185</v>
      </c>
      <c r="B475" s="3" t="s">
        <v>608</v>
      </c>
      <c r="C475" s="47" t="s">
        <v>2348</v>
      </c>
      <c r="D475" s="47">
        <v>0</v>
      </c>
      <c r="E475" s="47" t="s">
        <v>2348</v>
      </c>
      <c r="F475" s="3" t="s">
        <v>2336</v>
      </c>
    </row>
    <row r="476" spans="1:6" x14ac:dyDescent="0.25">
      <c r="A476" s="30">
        <v>44169.789259259262</v>
      </c>
      <c r="B476" s="3" t="s">
        <v>612</v>
      </c>
      <c r="C476" s="47" t="s">
        <v>2348</v>
      </c>
      <c r="D476" s="47">
        <v>0</v>
      </c>
      <c r="E476" s="47" t="s">
        <v>2348</v>
      </c>
      <c r="F476" s="3" t="s">
        <v>2336</v>
      </c>
    </row>
    <row r="477" spans="1:6" x14ac:dyDescent="0.25">
      <c r="A477" s="30">
        <v>44169.789259259262</v>
      </c>
      <c r="B477" s="3" t="s">
        <v>616</v>
      </c>
      <c r="C477" s="47" t="s">
        <v>2348</v>
      </c>
      <c r="D477" s="47">
        <v>0</v>
      </c>
      <c r="E477" s="47" t="s">
        <v>2348</v>
      </c>
      <c r="F477" s="3" t="s">
        <v>2336</v>
      </c>
    </row>
    <row r="478" spans="1:6" x14ac:dyDescent="0.25">
      <c r="A478" s="30">
        <v>44169.789259259262</v>
      </c>
      <c r="B478" s="3" t="s">
        <v>2385</v>
      </c>
      <c r="C478" s="47" t="s">
        <v>2348</v>
      </c>
      <c r="D478" s="47">
        <v>0</v>
      </c>
      <c r="E478" s="47" t="s">
        <v>2348</v>
      </c>
      <c r="F478" s="3" t="s">
        <v>2336</v>
      </c>
    </row>
    <row r="479" spans="1:6" x14ac:dyDescent="0.25">
      <c r="A479" s="30">
        <v>44169.789270833331</v>
      </c>
      <c r="B479" s="3" t="s">
        <v>2386</v>
      </c>
      <c r="C479" s="47" t="s">
        <v>2348</v>
      </c>
      <c r="D479" s="47">
        <v>0</v>
      </c>
      <c r="E479" s="47" t="s">
        <v>2348</v>
      </c>
      <c r="F479" s="3" t="s">
        <v>2336</v>
      </c>
    </row>
    <row r="480" spans="1:6" x14ac:dyDescent="0.25">
      <c r="A480" s="30">
        <v>44169.789270833331</v>
      </c>
      <c r="B480" s="3" t="s">
        <v>2387</v>
      </c>
      <c r="C480" s="47" t="s">
        <v>2348</v>
      </c>
      <c r="D480" s="47">
        <v>0</v>
      </c>
      <c r="E480" s="47" t="s">
        <v>2348</v>
      </c>
      <c r="F480" s="3" t="s">
        <v>2336</v>
      </c>
    </row>
    <row r="481" spans="1:6" x14ac:dyDescent="0.25">
      <c r="A481" s="30">
        <v>44169.789282407408</v>
      </c>
      <c r="B481" s="3" t="s">
        <v>2388</v>
      </c>
      <c r="C481" s="47" t="s">
        <v>2348</v>
      </c>
      <c r="D481" s="47">
        <v>0</v>
      </c>
      <c r="E481" s="47" t="s">
        <v>2348</v>
      </c>
      <c r="F481" s="3" t="s">
        <v>2336</v>
      </c>
    </row>
    <row r="482" spans="1:6" x14ac:dyDescent="0.25">
      <c r="A482" s="30">
        <v>44169.789282407408</v>
      </c>
      <c r="B482" s="3" t="s">
        <v>2389</v>
      </c>
      <c r="C482" s="47" t="s">
        <v>2348</v>
      </c>
      <c r="D482" s="47">
        <v>0</v>
      </c>
      <c r="E482" s="47" t="s">
        <v>2348</v>
      </c>
      <c r="F482" s="3" t="s">
        <v>2336</v>
      </c>
    </row>
    <row r="483" spans="1:6" x14ac:dyDescent="0.25">
      <c r="A483" s="30">
        <v>44169.789282407408</v>
      </c>
      <c r="B483" s="3" t="s">
        <v>2390</v>
      </c>
      <c r="C483" s="47" t="s">
        <v>2348</v>
      </c>
      <c r="D483" s="47">
        <v>0</v>
      </c>
      <c r="E483" s="47" t="s">
        <v>2348</v>
      </c>
      <c r="F483" s="3" t="s">
        <v>2336</v>
      </c>
    </row>
    <row r="484" spans="1:6" x14ac:dyDescent="0.25">
      <c r="A484" s="30">
        <v>44169.789293981485</v>
      </c>
      <c r="B484" s="3" t="s">
        <v>2391</v>
      </c>
      <c r="C484" s="47" t="s">
        <v>2348</v>
      </c>
      <c r="D484" s="47">
        <v>0</v>
      </c>
      <c r="E484" s="47" t="s">
        <v>2348</v>
      </c>
      <c r="F484" s="3" t="s">
        <v>2336</v>
      </c>
    </row>
    <row r="485" spans="1:6" x14ac:dyDescent="0.25">
      <c r="A485" s="30">
        <v>44169.789293981485</v>
      </c>
      <c r="B485" s="3" t="s">
        <v>2392</v>
      </c>
      <c r="C485" s="47" t="s">
        <v>2348</v>
      </c>
      <c r="D485" s="47">
        <v>0</v>
      </c>
      <c r="E485" s="47" t="s">
        <v>2348</v>
      </c>
      <c r="F485" s="3" t="s">
        <v>2336</v>
      </c>
    </row>
    <row r="486" spans="1:6" x14ac:dyDescent="0.25">
      <c r="A486" s="30">
        <v>44169.789305555554</v>
      </c>
      <c r="B486" s="3" t="s">
        <v>2393</v>
      </c>
      <c r="C486" s="47" t="s">
        <v>2348</v>
      </c>
      <c r="D486" s="47">
        <v>0</v>
      </c>
      <c r="E486" s="47" t="s">
        <v>2348</v>
      </c>
      <c r="F486" s="3" t="s">
        <v>2336</v>
      </c>
    </row>
    <row r="487" spans="1:6" x14ac:dyDescent="0.25">
      <c r="A487" s="30">
        <v>44169.789305555554</v>
      </c>
      <c r="B487" s="3" t="s">
        <v>648</v>
      </c>
      <c r="C487" s="47" t="s">
        <v>2348</v>
      </c>
      <c r="D487" s="47">
        <v>0</v>
      </c>
      <c r="E487" s="47" t="s">
        <v>2348</v>
      </c>
      <c r="F487" s="3" t="s">
        <v>2336</v>
      </c>
    </row>
    <row r="488" spans="1:6" x14ac:dyDescent="0.25">
      <c r="A488" s="30">
        <v>44169.789305555554</v>
      </c>
      <c r="B488" s="3" t="s">
        <v>652</v>
      </c>
      <c r="C488" s="47" t="s">
        <v>2369</v>
      </c>
      <c r="D488" s="47">
        <v>0</v>
      </c>
      <c r="E488" s="47" t="s">
        <v>2369</v>
      </c>
      <c r="F488" s="3" t="s">
        <v>2336</v>
      </c>
    </row>
    <row r="489" spans="1:6" x14ac:dyDescent="0.25">
      <c r="A489" s="30">
        <v>44169.789317129631</v>
      </c>
      <c r="B489" s="3" t="s">
        <v>656</v>
      </c>
      <c r="C489" s="47" t="s">
        <v>2369</v>
      </c>
      <c r="D489" s="47">
        <v>0</v>
      </c>
      <c r="E489" s="47" t="s">
        <v>2369</v>
      </c>
      <c r="F489" s="3" t="s">
        <v>2336</v>
      </c>
    </row>
    <row r="490" spans="1:6" x14ac:dyDescent="0.25">
      <c r="A490" s="30">
        <v>44169.789317129631</v>
      </c>
      <c r="B490" s="3" t="s">
        <v>660</v>
      </c>
      <c r="C490" s="47" t="s">
        <v>2348</v>
      </c>
      <c r="D490" s="47">
        <v>0</v>
      </c>
      <c r="E490" s="47" t="s">
        <v>2348</v>
      </c>
      <c r="F490" s="3" t="s">
        <v>2336</v>
      </c>
    </row>
    <row r="491" spans="1:6" x14ac:dyDescent="0.25">
      <c r="A491" s="30">
        <v>44169.7893287037</v>
      </c>
      <c r="B491" s="3" t="s">
        <v>664</v>
      </c>
      <c r="C491" s="47" t="s">
        <v>2369</v>
      </c>
      <c r="D491" s="47">
        <v>0</v>
      </c>
      <c r="E491" s="47" t="s">
        <v>2369</v>
      </c>
      <c r="F491" s="3" t="s">
        <v>2336</v>
      </c>
    </row>
    <row r="492" spans="1:6" x14ac:dyDescent="0.25">
      <c r="A492" s="30">
        <v>44169.7893287037</v>
      </c>
      <c r="B492" s="3" t="s">
        <v>668</v>
      </c>
      <c r="C492" s="47" t="s">
        <v>2348</v>
      </c>
      <c r="D492" s="47">
        <v>0</v>
      </c>
      <c r="E492" s="47" t="s">
        <v>2348</v>
      </c>
      <c r="F492" s="3" t="s">
        <v>2336</v>
      </c>
    </row>
    <row r="493" spans="1:6" x14ac:dyDescent="0.25">
      <c r="A493" s="30">
        <v>44169.7893287037</v>
      </c>
      <c r="B493" s="3" t="s">
        <v>672</v>
      </c>
      <c r="C493" s="47" t="s">
        <v>2348</v>
      </c>
      <c r="D493" s="47">
        <v>0</v>
      </c>
      <c r="E493" s="47" t="s">
        <v>2348</v>
      </c>
      <c r="F493" s="3" t="s">
        <v>2336</v>
      </c>
    </row>
    <row r="494" spans="1:6" x14ac:dyDescent="0.25">
      <c r="A494" s="30">
        <v>44169.789340277777</v>
      </c>
      <c r="B494" s="3" t="s">
        <v>676</v>
      </c>
      <c r="C494" s="47" t="s">
        <v>2348</v>
      </c>
      <c r="D494" s="47">
        <v>0</v>
      </c>
      <c r="E494" s="47" t="s">
        <v>2348</v>
      </c>
      <c r="F494" s="3" t="s">
        <v>2336</v>
      </c>
    </row>
    <row r="495" spans="1:6" x14ac:dyDescent="0.25">
      <c r="A495" s="30">
        <v>44169.789340277777</v>
      </c>
      <c r="B495" s="3" t="s">
        <v>680</v>
      </c>
      <c r="C495" s="47" t="s">
        <v>2348</v>
      </c>
      <c r="D495" s="47">
        <v>0</v>
      </c>
      <c r="E495" s="47" t="s">
        <v>2348</v>
      </c>
      <c r="F495" s="3" t="s">
        <v>2336</v>
      </c>
    </row>
    <row r="496" spans="1:6" x14ac:dyDescent="0.25">
      <c r="A496" s="30">
        <v>44169.789351851854</v>
      </c>
      <c r="B496" s="3" t="s">
        <v>684</v>
      </c>
      <c r="C496" s="47" t="s">
        <v>2348</v>
      </c>
      <c r="D496" s="47">
        <v>0</v>
      </c>
      <c r="E496" s="47" t="s">
        <v>2348</v>
      </c>
      <c r="F496" s="3" t="s">
        <v>2336</v>
      </c>
    </row>
    <row r="497" spans="1:6" x14ac:dyDescent="0.25">
      <c r="A497" s="30">
        <v>44169.789351851854</v>
      </c>
      <c r="B497" s="3" t="s">
        <v>688</v>
      </c>
      <c r="C497" s="47" t="s">
        <v>2347</v>
      </c>
      <c r="D497" s="47">
        <v>0</v>
      </c>
      <c r="E497" s="47" t="s">
        <v>2347</v>
      </c>
      <c r="F497" s="3" t="s">
        <v>2336</v>
      </c>
    </row>
    <row r="498" spans="1:6" x14ac:dyDescent="0.25">
      <c r="A498" s="30">
        <v>44169.789363425924</v>
      </c>
      <c r="B498" s="3" t="s">
        <v>694</v>
      </c>
      <c r="C498" s="47" t="s">
        <v>2395</v>
      </c>
      <c r="D498" s="47">
        <v>0</v>
      </c>
      <c r="E498" s="47" t="s">
        <v>2395</v>
      </c>
      <c r="F498" s="3" t="s">
        <v>2336</v>
      </c>
    </row>
    <row r="499" spans="1:6" x14ac:dyDescent="0.25">
      <c r="A499" s="30">
        <v>44169.789363425924</v>
      </c>
      <c r="B499" s="3" t="s">
        <v>699</v>
      </c>
      <c r="C499" s="47" t="s">
        <v>2348</v>
      </c>
      <c r="D499" s="47">
        <v>0</v>
      </c>
      <c r="E499" s="47" t="s">
        <v>2348</v>
      </c>
      <c r="F499" s="3" t="s">
        <v>2336</v>
      </c>
    </row>
    <row r="500" spans="1:6" x14ac:dyDescent="0.25">
      <c r="A500" s="30">
        <v>44169.789363425924</v>
      </c>
      <c r="B500" s="3" t="s">
        <v>36</v>
      </c>
      <c r="C500" s="47" t="s">
        <v>2352</v>
      </c>
      <c r="D500" s="47">
        <v>0</v>
      </c>
      <c r="E500" s="47" t="s">
        <v>2352</v>
      </c>
      <c r="F500" s="3" t="s">
        <v>2336</v>
      </c>
    </row>
    <row r="501" spans="1:6" x14ac:dyDescent="0.25">
      <c r="A501" s="30">
        <v>44169.789375</v>
      </c>
      <c r="B501" s="3" t="s">
        <v>821</v>
      </c>
      <c r="C501" s="47" t="s">
        <v>2372</v>
      </c>
      <c r="D501" s="47">
        <v>0</v>
      </c>
      <c r="E501" s="47" t="s">
        <v>2372</v>
      </c>
      <c r="F501" s="3" t="s">
        <v>2336</v>
      </c>
    </row>
    <row r="502" spans="1:6" x14ac:dyDescent="0.25">
      <c r="A502" s="30">
        <v>44169.789375</v>
      </c>
      <c r="B502" s="3" t="s">
        <v>2196</v>
      </c>
      <c r="C502" s="47" t="s">
        <v>2369</v>
      </c>
      <c r="D502" s="47">
        <v>0</v>
      </c>
      <c r="E502" s="47" t="s">
        <v>2369</v>
      </c>
      <c r="F502" s="3" t="s">
        <v>2336</v>
      </c>
    </row>
    <row r="503" spans="1:6" x14ac:dyDescent="0.25">
      <c r="A503" s="30">
        <v>44169.789386574077</v>
      </c>
      <c r="B503" s="3" t="s">
        <v>2236</v>
      </c>
      <c r="C503" s="47" t="s">
        <v>2369</v>
      </c>
      <c r="D503" s="47">
        <v>0</v>
      </c>
      <c r="E503" s="47" t="s">
        <v>2369</v>
      </c>
      <c r="F503" s="3" t="s">
        <v>2336</v>
      </c>
    </row>
    <row r="504" spans="1:6" x14ac:dyDescent="0.25">
      <c r="A504" s="30">
        <v>44169.789386574077</v>
      </c>
      <c r="B504" s="3" t="s">
        <v>722</v>
      </c>
      <c r="C504" s="47" t="s">
        <v>2347</v>
      </c>
      <c r="D504" s="47">
        <v>0</v>
      </c>
      <c r="E504" s="47" t="s">
        <v>2347</v>
      </c>
      <c r="F504" s="3" t="s">
        <v>2336</v>
      </c>
    </row>
    <row r="505" spans="1:6" x14ac:dyDescent="0.25">
      <c r="A505" s="30">
        <v>44169.789386574077</v>
      </c>
      <c r="B505" s="3" t="s">
        <v>253</v>
      </c>
      <c r="C505" s="47" t="s">
        <v>2372</v>
      </c>
      <c r="D505" s="47">
        <v>0</v>
      </c>
      <c r="E505" s="47" t="s">
        <v>2372</v>
      </c>
      <c r="F505" s="3" t="s">
        <v>2336</v>
      </c>
    </row>
    <row r="506" spans="1:6" x14ac:dyDescent="0.25">
      <c r="A506" s="30">
        <v>44169.789398148147</v>
      </c>
      <c r="B506" s="3" t="s">
        <v>136</v>
      </c>
      <c r="C506" s="47" t="s">
        <v>2362</v>
      </c>
      <c r="D506" s="47">
        <v>0</v>
      </c>
      <c r="E506" s="47" t="s">
        <v>2362</v>
      </c>
      <c r="F506" s="3" t="s">
        <v>2336</v>
      </c>
    </row>
    <row r="507" spans="1:6" x14ac:dyDescent="0.25">
      <c r="A507" s="30">
        <v>44169.789398148147</v>
      </c>
      <c r="B507" s="3" t="s">
        <v>740</v>
      </c>
      <c r="C507" s="47" t="s">
        <v>2367</v>
      </c>
      <c r="D507" s="47">
        <v>0</v>
      </c>
      <c r="E507" s="47" t="s">
        <v>2367</v>
      </c>
      <c r="F507" s="3" t="s">
        <v>2336</v>
      </c>
    </row>
    <row r="508" spans="1:6" x14ac:dyDescent="0.25">
      <c r="A508" s="30">
        <v>44169.789409722223</v>
      </c>
      <c r="B508" s="3" t="s">
        <v>2400</v>
      </c>
      <c r="C508" s="47" t="s">
        <v>2348</v>
      </c>
      <c r="D508" s="47">
        <v>0</v>
      </c>
      <c r="E508" s="47" t="s">
        <v>2348</v>
      </c>
      <c r="F508" s="3" t="s">
        <v>2336</v>
      </c>
    </row>
    <row r="509" spans="1:6" x14ac:dyDescent="0.25">
      <c r="A509" s="30">
        <v>44169.789409722223</v>
      </c>
      <c r="B509" s="3" t="s">
        <v>760</v>
      </c>
      <c r="C509" s="47" t="s">
        <v>2348</v>
      </c>
      <c r="D509" s="47">
        <v>0</v>
      </c>
      <c r="E509" s="47" t="s">
        <v>2348</v>
      </c>
      <c r="F509" s="3" t="s">
        <v>2336</v>
      </c>
    </row>
    <row r="510" spans="1:6" x14ac:dyDescent="0.25">
      <c r="A510" s="30">
        <v>44169.789421296293</v>
      </c>
      <c r="B510" s="3" t="s">
        <v>64</v>
      </c>
      <c r="C510" s="47" t="s">
        <v>2359</v>
      </c>
      <c r="D510" s="47">
        <v>0</v>
      </c>
      <c r="E510" s="47" t="s">
        <v>2359</v>
      </c>
      <c r="F510" s="3" t="s">
        <v>2336</v>
      </c>
    </row>
    <row r="511" spans="1:6" x14ac:dyDescent="0.25">
      <c r="A511" s="30">
        <v>44169.789421296293</v>
      </c>
      <c r="B511" s="3" t="s">
        <v>11</v>
      </c>
      <c r="C511" s="47" t="s">
        <v>2407</v>
      </c>
      <c r="D511" s="47">
        <v>0</v>
      </c>
      <c r="E511" s="47" t="s">
        <v>2407</v>
      </c>
      <c r="F511" s="3" t="s">
        <v>2336</v>
      </c>
    </row>
    <row r="512" spans="1:6" x14ac:dyDescent="0.25">
      <c r="A512" s="30">
        <v>44169.78943287037</v>
      </c>
      <c r="B512" s="3" t="s">
        <v>2307</v>
      </c>
      <c r="C512" s="47" t="s">
        <v>2438</v>
      </c>
      <c r="D512" s="47">
        <v>0</v>
      </c>
      <c r="E512" s="47" t="s">
        <v>2438</v>
      </c>
      <c r="F512" s="3" t="s">
        <v>2336</v>
      </c>
    </row>
    <row r="513" spans="1:6" x14ac:dyDescent="0.25">
      <c r="A513" s="30">
        <v>44169.78943287037</v>
      </c>
      <c r="B513" s="3" t="s">
        <v>771</v>
      </c>
      <c r="C513" s="47" t="s">
        <v>2369</v>
      </c>
      <c r="D513" s="47">
        <v>0</v>
      </c>
      <c r="E513" s="47" t="s">
        <v>2369</v>
      </c>
      <c r="F513" s="3" t="s">
        <v>2336</v>
      </c>
    </row>
    <row r="514" spans="1:6" x14ac:dyDescent="0.25">
      <c r="A514" s="30">
        <v>44169.78943287037</v>
      </c>
      <c r="B514" s="3" t="s">
        <v>15</v>
      </c>
      <c r="C514" s="47" t="s">
        <v>2359</v>
      </c>
      <c r="D514" s="47">
        <v>0</v>
      </c>
      <c r="E514" s="47" t="s">
        <v>2359</v>
      </c>
      <c r="F514" s="3" t="s">
        <v>2336</v>
      </c>
    </row>
    <row r="515" spans="1:6" x14ac:dyDescent="0.25">
      <c r="A515" s="30">
        <v>44169.789444444446</v>
      </c>
      <c r="B515" s="3" t="s">
        <v>241</v>
      </c>
      <c r="C515" s="47" t="s">
        <v>2369</v>
      </c>
      <c r="D515" s="47">
        <v>0</v>
      </c>
      <c r="E515" s="47" t="s">
        <v>2369</v>
      </c>
      <c r="F515" s="3" t="s">
        <v>2336</v>
      </c>
    </row>
    <row r="516" spans="1:6" x14ac:dyDescent="0.25">
      <c r="A516" s="30">
        <v>44169.789444444446</v>
      </c>
      <c r="B516" s="3" t="s">
        <v>14</v>
      </c>
      <c r="C516" s="47" t="s">
        <v>2359</v>
      </c>
      <c r="D516" s="47">
        <v>0</v>
      </c>
      <c r="E516" s="47" t="s">
        <v>2359</v>
      </c>
      <c r="F516" s="3" t="s">
        <v>2336</v>
      </c>
    </row>
    <row r="517" spans="1:6" x14ac:dyDescent="0.25">
      <c r="A517" s="30">
        <v>44169.789456018516</v>
      </c>
      <c r="B517" s="3" t="s">
        <v>226</v>
      </c>
      <c r="C517" s="47" t="s">
        <v>2369</v>
      </c>
      <c r="D517" s="47">
        <v>0</v>
      </c>
      <c r="E517" s="47" t="s">
        <v>2369</v>
      </c>
      <c r="F517" s="3" t="s">
        <v>2336</v>
      </c>
    </row>
    <row r="518" spans="1:6" x14ac:dyDescent="0.25">
      <c r="A518" s="30">
        <v>44169.789456018516</v>
      </c>
      <c r="B518" s="3" t="s">
        <v>795</v>
      </c>
      <c r="C518" s="47" t="s">
        <v>2358</v>
      </c>
      <c r="D518" s="47">
        <v>0</v>
      </c>
      <c r="E518" s="47" t="s">
        <v>2358</v>
      </c>
      <c r="F518" s="3" t="s">
        <v>2336</v>
      </c>
    </row>
    <row r="519" spans="1:6" x14ac:dyDescent="0.25">
      <c r="A519" s="30">
        <v>44169.789467592593</v>
      </c>
      <c r="B519" s="3" t="s">
        <v>801</v>
      </c>
      <c r="C519" s="47" t="s">
        <v>2347</v>
      </c>
      <c r="D519" s="47">
        <v>0</v>
      </c>
      <c r="E519" s="47" t="s">
        <v>2347</v>
      </c>
      <c r="F519" s="3" t="s">
        <v>2336</v>
      </c>
    </row>
    <row r="520" spans="1:6" x14ac:dyDescent="0.25">
      <c r="A520" s="30">
        <v>44169.789467592593</v>
      </c>
      <c r="B520" s="3" t="s">
        <v>807</v>
      </c>
      <c r="C520" s="47" t="s">
        <v>2347</v>
      </c>
      <c r="D520" s="47">
        <v>0</v>
      </c>
      <c r="E520" s="47" t="s">
        <v>2347</v>
      </c>
      <c r="F520" s="3" t="s">
        <v>2336</v>
      </c>
    </row>
    <row r="521" spans="1:6" x14ac:dyDescent="0.25">
      <c r="A521" s="30">
        <v>44169.789467592593</v>
      </c>
      <c r="B521" s="3" t="s">
        <v>224</v>
      </c>
      <c r="C521" s="47" t="s">
        <v>2355</v>
      </c>
      <c r="D521" s="47">
        <v>0</v>
      </c>
      <c r="E521" s="47" t="s">
        <v>2355</v>
      </c>
      <c r="F521" s="3" t="s">
        <v>2336</v>
      </c>
    </row>
    <row r="522" spans="1:6" x14ac:dyDescent="0.25">
      <c r="A522" s="30">
        <v>44169.789479166669</v>
      </c>
      <c r="B522" s="3" t="s">
        <v>347</v>
      </c>
      <c r="C522" s="47" t="s">
        <v>2356</v>
      </c>
      <c r="D522" s="47">
        <v>0</v>
      </c>
      <c r="E522" s="47" t="s">
        <v>2356</v>
      </c>
      <c r="F522" s="3" t="s">
        <v>2336</v>
      </c>
    </row>
    <row r="523" spans="1:6" x14ac:dyDescent="0.25">
      <c r="A523" s="30">
        <v>44169.789479166669</v>
      </c>
      <c r="B523" s="3" t="s">
        <v>35</v>
      </c>
      <c r="C523" s="47" t="s">
        <v>2395</v>
      </c>
      <c r="D523" s="47">
        <v>0</v>
      </c>
      <c r="E523" s="47" t="s">
        <v>2395</v>
      </c>
      <c r="F523" s="3" t="s">
        <v>2336</v>
      </c>
    </row>
    <row r="524" spans="1:6" x14ac:dyDescent="0.25">
      <c r="A524" s="30">
        <v>44169.789490740739</v>
      </c>
      <c r="B524" s="3" t="s">
        <v>825</v>
      </c>
      <c r="C524" s="47" t="s">
        <v>2348</v>
      </c>
      <c r="D524" s="47">
        <v>0</v>
      </c>
      <c r="E524" s="47" t="s">
        <v>2348</v>
      </c>
      <c r="F524" s="3" t="s">
        <v>2336</v>
      </c>
    </row>
    <row r="525" spans="1:6" x14ac:dyDescent="0.25">
      <c r="A525" s="30">
        <v>44169.789490740739</v>
      </c>
      <c r="B525" s="3" t="s">
        <v>225</v>
      </c>
      <c r="C525" s="47" t="s">
        <v>2369</v>
      </c>
      <c r="D525" s="47">
        <v>0</v>
      </c>
      <c r="E525" s="47" t="s">
        <v>2369</v>
      </c>
      <c r="F525" s="3" t="s">
        <v>2336</v>
      </c>
    </row>
    <row r="526" spans="1:6" x14ac:dyDescent="0.25">
      <c r="A526" s="30">
        <v>44169.789502314816</v>
      </c>
      <c r="B526" s="3" t="s">
        <v>836</v>
      </c>
      <c r="C526" s="47" t="s">
        <v>2347</v>
      </c>
      <c r="D526" s="47">
        <v>0</v>
      </c>
      <c r="E526" s="47" t="s">
        <v>2347</v>
      </c>
      <c r="F526" s="3" t="s">
        <v>2336</v>
      </c>
    </row>
    <row r="527" spans="1:6" x14ac:dyDescent="0.25">
      <c r="A527" s="30">
        <v>44169.789502314816</v>
      </c>
      <c r="B527" s="3" t="s">
        <v>841</v>
      </c>
      <c r="C527" s="47" t="s">
        <v>2406</v>
      </c>
      <c r="D527" s="47">
        <v>0</v>
      </c>
      <c r="E527" s="47" t="s">
        <v>2406</v>
      </c>
      <c r="F527" s="3" t="s">
        <v>2336</v>
      </c>
    </row>
    <row r="528" spans="1:6" x14ac:dyDescent="0.25">
      <c r="A528" s="30">
        <v>44169.789513888885</v>
      </c>
      <c r="B528" s="3" t="s">
        <v>16</v>
      </c>
      <c r="C528" s="47" t="s">
        <v>2407</v>
      </c>
      <c r="D528" s="47">
        <v>0</v>
      </c>
      <c r="E528" s="47" t="s">
        <v>2407</v>
      </c>
      <c r="F528" s="3" t="s">
        <v>2336</v>
      </c>
    </row>
    <row r="529" spans="1:6" x14ac:dyDescent="0.25">
      <c r="A529" s="30">
        <v>44169.789513888885</v>
      </c>
      <c r="B529" s="3" t="s">
        <v>18</v>
      </c>
      <c r="C529" s="47" t="s">
        <v>2367</v>
      </c>
      <c r="D529" s="47">
        <v>0</v>
      </c>
      <c r="E529" s="47" t="s">
        <v>2367</v>
      </c>
      <c r="F529" s="3" t="s">
        <v>2336</v>
      </c>
    </row>
    <row r="530" spans="1:6" x14ac:dyDescent="0.25">
      <c r="A530" s="30">
        <v>44169.789513888885</v>
      </c>
      <c r="B530" s="3" t="s">
        <v>853</v>
      </c>
      <c r="C530" s="47" t="s">
        <v>2352</v>
      </c>
      <c r="D530" s="47">
        <v>0</v>
      </c>
      <c r="E530" s="47" t="s">
        <v>2352</v>
      </c>
      <c r="F530" s="3" t="s">
        <v>2336</v>
      </c>
    </row>
    <row r="531" spans="1:6" x14ac:dyDescent="0.25">
      <c r="A531" s="30">
        <v>44169.789525462962</v>
      </c>
      <c r="B531" s="3" t="s">
        <v>860</v>
      </c>
      <c r="C531" s="47" t="s">
        <v>2352</v>
      </c>
      <c r="D531" s="47">
        <v>0</v>
      </c>
      <c r="E531" s="47" t="s">
        <v>2352</v>
      </c>
      <c r="F531" s="3" t="s">
        <v>2336</v>
      </c>
    </row>
    <row r="532" spans="1:6" x14ac:dyDescent="0.25">
      <c r="A532" s="30">
        <v>44169.789525462962</v>
      </c>
      <c r="B532" s="3" t="s">
        <v>57</v>
      </c>
      <c r="C532" s="47" t="s">
        <v>2352</v>
      </c>
      <c r="D532" s="47">
        <v>0</v>
      </c>
      <c r="E532" s="47" t="s">
        <v>2352</v>
      </c>
      <c r="F532" s="3" t="s">
        <v>2336</v>
      </c>
    </row>
    <row r="533" spans="1:6" x14ac:dyDescent="0.25">
      <c r="A533" s="30">
        <v>44169.789537037039</v>
      </c>
      <c r="B533" s="3" t="s">
        <v>873</v>
      </c>
      <c r="C533" s="47" t="s">
        <v>2352</v>
      </c>
      <c r="D533" s="47">
        <v>0</v>
      </c>
      <c r="E533" s="47" t="s">
        <v>2352</v>
      </c>
      <c r="F533" s="3" t="s">
        <v>2336</v>
      </c>
    </row>
    <row r="534" spans="1:6" x14ac:dyDescent="0.25">
      <c r="A534" s="30">
        <v>44169.789537037039</v>
      </c>
      <c r="B534" s="3" t="s">
        <v>240</v>
      </c>
      <c r="C534" s="47" t="s">
        <v>2361</v>
      </c>
      <c r="D534" s="47">
        <v>0</v>
      </c>
      <c r="E534" s="47" t="s">
        <v>2361</v>
      </c>
      <c r="F534" s="3" t="s">
        <v>2336</v>
      </c>
    </row>
    <row r="535" spans="1:6" x14ac:dyDescent="0.25">
      <c r="A535" s="30">
        <v>44169.789548611108</v>
      </c>
      <c r="B535" s="3" t="s">
        <v>39</v>
      </c>
      <c r="C535" s="47" t="s">
        <v>2359</v>
      </c>
      <c r="D535" s="47">
        <v>0</v>
      </c>
      <c r="E535" s="47" t="s">
        <v>2359</v>
      </c>
      <c r="F535" s="3" t="s">
        <v>2336</v>
      </c>
    </row>
    <row r="536" spans="1:6" x14ac:dyDescent="0.25">
      <c r="A536" s="30">
        <v>44169.789548611108</v>
      </c>
      <c r="B536" s="3" t="s">
        <v>58</v>
      </c>
      <c r="C536" s="47" t="s">
        <v>2348</v>
      </c>
      <c r="D536" s="47">
        <v>0</v>
      </c>
      <c r="E536" s="47" t="s">
        <v>2348</v>
      </c>
      <c r="F536" s="3" t="s">
        <v>2336</v>
      </c>
    </row>
    <row r="537" spans="1:6" x14ac:dyDescent="0.25">
      <c r="A537" s="30">
        <v>44169.789560185185</v>
      </c>
      <c r="B537" s="3" t="s">
        <v>900</v>
      </c>
      <c r="C537" s="47" t="s">
        <v>2369</v>
      </c>
      <c r="D537" s="47">
        <v>0</v>
      </c>
      <c r="E537" s="47" t="s">
        <v>2369</v>
      </c>
      <c r="F537" s="3" t="s">
        <v>2336</v>
      </c>
    </row>
    <row r="538" spans="1:6" x14ac:dyDescent="0.25">
      <c r="A538" s="30">
        <v>44169.789560185185</v>
      </c>
      <c r="B538" s="3" t="s">
        <v>905</v>
      </c>
      <c r="C538" s="47" t="s">
        <v>2372</v>
      </c>
      <c r="D538" s="47">
        <v>0</v>
      </c>
      <c r="E538" s="47" t="s">
        <v>2372</v>
      </c>
      <c r="F538" s="3" t="s">
        <v>2336</v>
      </c>
    </row>
    <row r="539" spans="1:6" x14ac:dyDescent="0.25">
      <c r="A539" s="30">
        <v>44169.789560185185</v>
      </c>
      <c r="B539" s="3" t="s">
        <v>8</v>
      </c>
      <c r="C539" s="47" t="s">
        <v>2358</v>
      </c>
      <c r="D539" s="47">
        <v>0</v>
      </c>
      <c r="E539" s="47" t="s">
        <v>2358</v>
      </c>
      <c r="F539" s="3" t="s">
        <v>2336</v>
      </c>
    </row>
    <row r="540" spans="1:6" x14ac:dyDescent="0.25">
      <c r="A540" s="30">
        <v>44169.789571759262</v>
      </c>
      <c r="B540" s="3" t="s">
        <v>31</v>
      </c>
      <c r="C540" s="47" t="s">
        <v>2369</v>
      </c>
      <c r="D540" s="47">
        <v>0</v>
      </c>
      <c r="E540" s="47" t="s">
        <v>2369</v>
      </c>
      <c r="F540" s="3" t="s">
        <v>2336</v>
      </c>
    </row>
    <row r="541" spans="1:6" x14ac:dyDescent="0.25">
      <c r="A541" s="30">
        <v>44169.789571759262</v>
      </c>
      <c r="B541" s="3" t="s">
        <v>816</v>
      </c>
      <c r="C541" s="47" t="s">
        <v>2367</v>
      </c>
      <c r="D541" s="47">
        <v>0</v>
      </c>
      <c r="E541" s="47" t="s">
        <v>2367</v>
      </c>
      <c r="F541" s="3" t="s">
        <v>2336</v>
      </c>
    </row>
    <row r="542" spans="1:6" x14ac:dyDescent="0.25">
      <c r="A542" s="30">
        <v>44169.789583333331</v>
      </c>
      <c r="B542" s="3" t="s">
        <v>913</v>
      </c>
      <c r="C542" s="47" t="s">
        <v>2347</v>
      </c>
      <c r="D542" s="47">
        <v>0</v>
      </c>
      <c r="E542" s="47" t="s">
        <v>2347</v>
      </c>
      <c r="F542" s="3" t="s">
        <v>2336</v>
      </c>
    </row>
    <row r="543" spans="1:6" x14ac:dyDescent="0.25">
      <c r="A543" s="30">
        <v>44169.789583333331</v>
      </c>
      <c r="B543" s="3" t="s">
        <v>918</v>
      </c>
      <c r="C543" s="47" t="s">
        <v>2348</v>
      </c>
      <c r="D543" s="47">
        <v>0</v>
      </c>
      <c r="E543" s="47" t="s">
        <v>2348</v>
      </c>
      <c r="F543" s="3" t="s">
        <v>2336</v>
      </c>
    </row>
    <row r="544" spans="1:6" x14ac:dyDescent="0.25">
      <c r="A544" s="30">
        <v>44169.789594907408</v>
      </c>
      <c r="B544" s="3" t="s">
        <v>40</v>
      </c>
      <c r="C544" s="47" t="s">
        <v>2360</v>
      </c>
      <c r="D544" s="47">
        <v>0</v>
      </c>
      <c r="E544" s="47" t="s">
        <v>2360</v>
      </c>
      <c r="F544" s="3" t="s">
        <v>2336</v>
      </c>
    </row>
    <row r="545" spans="1:6" x14ac:dyDescent="0.25">
      <c r="A545" s="30">
        <v>44169.789594907408</v>
      </c>
      <c r="B545" s="3" t="s">
        <v>937</v>
      </c>
      <c r="C545" s="47" t="s">
        <v>2358</v>
      </c>
      <c r="D545" s="47">
        <v>0</v>
      </c>
      <c r="E545" s="47" t="s">
        <v>2358</v>
      </c>
      <c r="F545" s="3" t="s">
        <v>2336</v>
      </c>
    </row>
    <row r="546" spans="1:6" x14ac:dyDescent="0.25">
      <c r="A546" s="30">
        <v>44169.789594907408</v>
      </c>
      <c r="B546" s="3" t="s">
        <v>942</v>
      </c>
      <c r="C546" s="47" t="s">
        <v>2367</v>
      </c>
      <c r="D546" s="47">
        <v>0</v>
      </c>
      <c r="E546" s="47" t="s">
        <v>2367</v>
      </c>
      <c r="F546" s="3" t="s">
        <v>2336</v>
      </c>
    </row>
    <row r="547" spans="1:6" x14ac:dyDescent="0.25">
      <c r="A547" s="30">
        <v>44169.789606481485</v>
      </c>
      <c r="B547" s="3" t="s">
        <v>135</v>
      </c>
      <c r="C547" s="47" t="s">
        <v>2347</v>
      </c>
      <c r="D547" s="47">
        <v>0</v>
      </c>
      <c r="E547" s="47" t="s">
        <v>2347</v>
      </c>
      <c r="F547" s="3" t="s">
        <v>2336</v>
      </c>
    </row>
    <row r="548" spans="1:6" x14ac:dyDescent="0.25">
      <c r="A548" s="30">
        <v>44169.789606481485</v>
      </c>
      <c r="B548" s="3" t="s">
        <v>261</v>
      </c>
      <c r="C548" s="47" t="s">
        <v>2348</v>
      </c>
      <c r="D548" s="47">
        <v>0</v>
      </c>
      <c r="E548" s="47" t="s">
        <v>2348</v>
      </c>
      <c r="F548" s="3" t="s">
        <v>2336</v>
      </c>
    </row>
    <row r="549" spans="1:6" x14ac:dyDescent="0.25">
      <c r="A549" s="30">
        <v>44169.789618055554</v>
      </c>
      <c r="B549" s="3" t="s">
        <v>2411</v>
      </c>
      <c r="C549" s="47" t="s">
        <v>2348</v>
      </c>
      <c r="D549" s="47">
        <v>0</v>
      </c>
      <c r="E549" s="47" t="s">
        <v>2348</v>
      </c>
      <c r="F549" s="3" t="s">
        <v>2336</v>
      </c>
    </row>
    <row r="550" spans="1:6" x14ac:dyDescent="0.25">
      <c r="A550" s="30">
        <v>44169.789618055554</v>
      </c>
      <c r="B550" s="3" t="s">
        <v>2412</v>
      </c>
      <c r="C550" s="47" t="s">
        <v>2362</v>
      </c>
      <c r="D550" s="47">
        <v>0</v>
      </c>
      <c r="E550" s="47" t="s">
        <v>2362</v>
      </c>
      <c r="F550" s="3" t="s">
        <v>2336</v>
      </c>
    </row>
    <row r="551" spans="1:6" x14ac:dyDescent="0.25">
      <c r="A551" s="30">
        <v>44169.789629629631</v>
      </c>
      <c r="B551" s="3" t="s">
        <v>2413</v>
      </c>
      <c r="C551" s="47" t="s">
        <v>2347</v>
      </c>
      <c r="D551" s="47">
        <v>0</v>
      </c>
      <c r="E551" s="47" t="s">
        <v>2347</v>
      </c>
      <c r="F551" s="3" t="s">
        <v>2336</v>
      </c>
    </row>
    <row r="552" spans="1:6" x14ac:dyDescent="0.25">
      <c r="A552" s="30">
        <v>44169.789629629631</v>
      </c>
      <c r="B552" s="3" t="s">
        <v>2414</v>
      </c>
      <c r="C552" s="47" t="s">
        <v>2372</v>
      </c>
      <c r="D552" s="47">
        <v>0</v>
      </c>
      <c r="E552" s="47" t="s">
        <v>2372</v>
      </c>
      <c r="F552" s="3" t="s">
        <v>2336</v>
      </c>
    </row>
    <row r="553" spans="1:6" x14ac:dyDescent="0.25">
      <c r="A553" s="30">
        <v>44169.789629629631</v>
      </c>
      <c r="B553" s="3" t="s">
        <v>2415</v>
      </c>
      <c r="C553" s="47" t="s">
        <v>2347</v>
      </c>
      <c r="D553" s="47">
        <v>0</v>
      </c>
      <c r="E553" s="47" t="s">
        <v>2347</v>
      </c>
      <c r="F553" s="3" t="s">
        <v>2336</v>
      </c>
    </row>
    <row r="554" spans="1:6" x14ac:dyDescent="0.25">
      <c r="A554" s="30">
        <v>44169.789641203701</v>
      </c>
      <c r="B554" s="3" t="s">
        <v>134</v>
      </c>
      <c r="C554" s="47" t="s">
        <v>2369</v>
      </c>
      <c r="D554" s="47">
        <v>0</v>
      </c>
      <c r="E554" s="47" t="s">
        <v>2369</v>
      </c>
      <c r="F554" s="3" t="s">
        <v>2336</v>
      </c>
    </row>
    <row r="555" spans="1:6" x14ac:dyDescent="0.25">
      <c r="A555" s="30">
        <v>44169.789641203701</v>
      </c>
      <c r="B555" s="3" t="s">
        <v>969</v>
      </c>
      <c r="C555" s="47" t="s">
        <v>2348</v>
      </c>
      <c r="D555" s="47">
        <v>0</v>
      </c>
      <c r="E555" s="47" t="s">
        <v>2348</v>
      </c>
      <c r="F555" s="3" t="s">
        <v>2336</v>
      </c>
    </row>
    <row r="556" spans="1:6" x14ac:dyDescent="0.25">
      <c r="A556" s="30">
        <v>44169.789652777778</v>
      </c>
      <c r="B556" s="3" t="s">
        <v>233</v>
      </c>
      <c r="C556" s="47" t="s">
        <v>2359</v>
      </c>
      <c r="D556" s="47">
        <v>0</v>
      </c>
      <c r="E556" s="47" t="s">
        <v>2359</v>
      </c>
      <c r="F556" s="3" t="s">
        <v>2336</v>
      </c>
    </row>
    <row r="557" spans="1:6" x14ac:dyDescent="0.25">
      <c r="A557" s="30">
        <v>44169.789652777778</v>
      </c>
      <c r="B557" s="3" t="s">
        <v>133</v>
      </c>
      <c r="C557" s="47" t="s">
        <v>2367</v>
      </c>
      <c r="D557" s="47">
        <v>0</v>
      </c>
      <c r="E557" s="47" t="s">
        <v>2367</v>
      </c>
      <c r="F557" s="3" t="s">
        <v>2336</v>
      </c>
    </row>
    <row r="558" spans="1:6" x14ac:dyDescent="0.25">
      <c r="A558" s="30">
        <v>44169.789652777778</v>
      </c>
      <c r="B558" s="3" t="s">
        <v>986</v>
      </c>
      <c r="C558" s="47" t="s">
        <v>2362</v>
      </c>
      <c r="D558" s="47">
        <v>0</v>
      </c>
      <c r="E558" s="47" t="s">
        <v>2362</v>
      </c>
      <c r="F558" s="3" t="s">
        <v>2336</v>
      </c>
    </row>
    <row r="559" spans="1:6" x14ac:dyDescent="0.25">
      <c r="A559" s="30">
        <v>44169.789664351854</v>
      </c>
      <c r="B559" s="3" t="s">
        <v>990</v>
      </c>
      <c r="C559" s="47" t="s">
        <v>2352</v>
      </c>
      <c r="D559" s="47">
        <v>0</v>
      </c>
      <c r="E559" s="47" t="s">
        <v>2352</v>
      </c>
      <c r="F559" s="3" t="s">
        <v>2336</v>
      </c>
    </row>
    <row r="560" spans="1:6" x14ac:dyDescent="0.25">
      <c r="A560" s="30">
        <v>44169.789664351854</v>
      </c>
      <c r="B560" s="3" t="s">
        <v>94</v>
      </c>
      <c r="C560" s="47" t="s">
        <v>2352</v>
      </c>
      <c r="D560" s="47">
        <v>0</v>
      </c>
      <c r="E560" s="47" t="s">
        <v>2352</v>
      </c>
      <c r="F560" s="3" t="s">
        <v>2336</v>
      </c>
    </row>
    <row r="561" spans="1:6" x14ac:dyDescent="0.25">
      <c r="A561" s="30">
        <v>44169.789675925924</v>
      </c>
      <c r="B561" s="3" t="s">
        <v>227</v>
      </c>
      <c r="C561" s="47" t="s">
        <v>2372</v>
      </c>
      <c r="D561" s="47">
        <v>0</v>
      </c>
      <c r="E561" s="47" t="s">
        <v>2372</v>
      </c>
      <c r="F561" s="3" t="s">
        <v>2336</v>
      </c>
    </row>
    <row r="562" spans="1:6" x14ac:dyDescent="0.25">
      <c r="A562" s="30">
        <v>44169.789675925924</v>
      </c>
      <c r="B562" s="3" t="s">
        <v>994</v>
      </c>
      <c r="C562" s="47" t="s">
        <v>2372</v>
      </c>
      <c r="D562" s="47">
        <v>0</v>
      </c>
      <c r="E562" s="47" t="s">
        <v>2372</v>
      </c>
      <c r="F562" s="3" t="s">
        <v>2336</v>
      </c>
    </row>
    <row r="563" spans="1:6" x14ac:dyDescent="0.25">
      <c r="A563" s="30">
        <v>44169.789687500001</v>
      </c>
      <c r="B563" s="3" t="s">
        <v>263</v>
      </c>
      <c r="C563" s="47" t="s">
        <v>2358</v>
      </c>
      <c r="D563" s="47">
        <v>0</v>
      </c>
      <c r="E563" s="47" t="s">
        <v>2358</v>
      </c>
      <c r="F563" s="3" t="s">
        <v>2336</v>
      </c>
    </row>
    <row r="564" spans="1:6" x14ac:dyDescent="0.25">
      <c r="A564" s="30">
        <v>44169.789687500001</v>
      </c>
      <c r="B564" s="3" t="s">
        <v>997</v>
      </c>
      <c r="C564" s="47" t="s">
        <v>2367</v>
      </c>
      <c r="D564" s="47">
        <v>0</v>
      </c>
      <c r="E564" s="47" t="s">
        <v>2367</v>
      </c>
      <c r="F564" s="3" t="s">
        <v>2336</v>
      </c>
    </row>
    <row r="565" spans="1:6" x14ac:dyDescent="0.25">
      <c r="A565" s="30">
        <v>44169.789699074077</v>
      </c>
      <c r="B565" s="3" t="s">
        <v>93</v>
      </c>
      <c r="C565" s="47" t="s">
        <v>2358</v>
      </c>
      <c r="D565" s="47">
        <v>0</v>
      </c>
      <c r="E565" s="47" t="s">
        <v>2358</v>
      </c>
      <c r="F565" s="3" t="s">
        <v>2336</v>
      </c>
    </row>
    <row r="566" spans="1:6" x14ac:dyDescent="0.25">
      <c r="A566" s="30">
        <v>44169.789699074077</v>
      </c>
      <c r="B566" s="3" t="s">
        <v>1000</v>
      </c>
      <c r="C566" s="47" t="s">
        <v>2372</v>
      </c>
      <c r="D566" s="47">
        <v>0</v>
      </c>
      <c r="E566" s="47" t="s">
        <v>2372</v>
      </c>
      <c r="F566" s="3" t="s">
        <v>2336</v>
      </c>
    </row>
    <row r="567" spans="1:6" x14ac:dyDescent="0.25">
      <c r="A567" s="30">
        <v>44169.789699074077</v>
      </c>
      <c r="B567" s="3" t="s">
        <v>1002</v>
      </c>
      <c r="C567" s="47" t="s">
        <v>2362</v>
      </c>
      <c r="D567" s="47">
        <v>0</v>
      </c>
      <c r="E567" s="47" t="s">
        <v>2362</v>
      </c>
      <c r="F567" s="3" t="s">
        <v>2336</v>
      </c>
    </row>
    <row r="568" spans="1:6" x14ac:dyDescent="0.25">
      <c r="A568" s="30">
        <v>44169.789710648147</v>
      </c>
      <c r="B568" s="3" t="s">
        <v>202</v>
      </c>
      <c r="C568" s="47" t="s">
        <v>2372</v>
      </c>
      <c r="D568" s="47">
        <v>0</v>
      </c>
      <c r="E568" s="47" t="s">
        <v>2372</v>
      </c>
      <c r="F568" s="3" t="s">
        <v>2336</v>
      </c>
    </row>
    <row r="569" spans="1:6" x14ac:dyDescent="0.25">
      <c r="A569" s="30">
        <v>44169.789710648147</v>
      </c>
      <c r="B569" s="3" t="s">
        <v>262</v>
      </c>
      <c r="C569" s="47" t="s">
        <v>2358</v>
      </c>
      <c r="D569" s="47">
        <v>0</v>
      </c>
      <c r="E569" s="47" t="s">
        <v>2358</v>
      </c>
      <c r="F569" s="3" t="s">
        <v>2336</v>
      </c>
    </row>
    <row r="570" spans="1:6" x14ac:dyDescent="0.25">
      <c r="A570" s="30">
        <v>44169.789722222224</v>
      </c>
      <c r="B570" s="3" t="s">
        <v>437</v>
      </c>
      <c r="C570" s="47" t="s">
        <v>2367</v>
      </c>
      <c r="D570" s="47">
        <v>0</v>
      </c>
      <c r="E570" s="47" t="s">
        <v>2367</v>
      </c>
      <c r="F570" s="3" t="s">
        <v>2336</v>
      </c>
    </row>
    <row r="571" spans="1:6" x14ac:dyDescent="0.25">
      <c r="A571" s="30">
        <v>44169.789722222224</v>
      </c>
      <c r="B571" s="3" t="s">
        <v>1011</v>
      </c>
      <c r="C571" s="47" t="s">
        <v>2348</v>
      </c>
      <c r="D571" s="47">
        <v>0</v>
      </c>
      <c r="E571" s="47" t="s">
        <v>2348</v>
      </c>
      <c r="F571" s="3" t="s">
        <v>2336</v>
      </c>
    </row>
    <row r="572" spans="1:6" x14ac:dyDescent="0.25">
      <c r="A572" s="30">
        <v>44169.789733796293</v>
      </c>
      <c r="B572" s="3" t="s">
        <v>2416</v>
      </c>
      <c r="C572" s="47" t="s">
        <v>2348</v>
      </c>
      <c r="D572" s="47">
        <v>0</v>
      </c>
      <c r="E572" s="47" t="s">
        <v>2348</v>
      </c>
      <c r="F572" s="3" t="s">
        <v>2336</v>
      </c>
    </row>
    <row r="573" spans="1:6" x14ac:dyDescent="0.25">
      <c r="A573" s="30">
        <v>44169.789733796293</v>
      </c>
      <c r="B573" s="3" t="s">
        <v>1020</v>
      </c>
      <c r="C573" s="47" t="s">
        <v>2348</v>
      </c>
      <c r="D573" s="47">
        <v>0</v>
      </c>
      <c r="E573" s="47" t="s">
        <v>2348</v>
      </c>
      <c r="F573" s="3" t="s">
        <v>2336</v>
      </c>
    </row>
    <row r="574" spans="1:6" x14ac:dyDescent="0.25">
      <c r="A574" s="30">
        <v>44169.78974537037</v>
      </c>
      <c r="B574" s="3" t="s">
        <v>13</v>
      </c>
      <c r="C574" s="47" t="s">
        <v>2348</v>
      </c>
      <c r="D574" s="47">
        <v>0</v>
      </c>
      <c r="E574" s="47" t="s">
        <v>2348</v>
      </c>
      <c r="F574" s="3" t="s">
        <v>2336</v>
      </c>
    </row>
    <row r="575" spans="1:6" x14ac:dyDescent="0.25">
      <c r="A575" s="30">
        <v>44169.78974537037</v>
      </c>
      <c r="B575" s="3" t="s">
        <v>1029</v>
      </c>
      <c r="C575" s="47" t="s">
        <v>2347</v>
      </c>
      <c r="D575" s="47">
        <v>0</v>
      </c>
      <c r="E575" s="47" t="s">
        <v>2347</v>
      </c>
      <c r="F575" s="3" t="s">
        <v>2336</v>
      </c>
    </row>
    <row r="576" spans="1:6" x14ac:dyDescent="0.25">
      <c r="A576" s="30">
        <v>44169.78974537037</v>
      </c>
      <c r="B576" s="3" t="s">
        <v>1034</v>
      </c>
      <c r="C576" s="47" t="s">
        <v>2348</v>
      </c>
      <c r="D576" s="47">
        <v>0</v>
      </c>
      <c r="E576" s="47" t="s">
        <v>2348</v>
      </c>
      <c r="F576" s="3" t="s">
        <v>2336</v>
      </c>
    </row>
    <row r="577" spans="1:6" x14ac:dyDescent="0.25">
      <c r="A577" s="30">
        <v>44169.789756944447</v>
      </c>
      <c r="B577" s="3" t="s">
        <v>1038</v>
      </c>
      <c r="C577" s="47" t="s">
        <v>2358</v>
      </c>
      <c r="D577" s="47">
        <v>0</v>
      </c>
      <c r="E577" s="47" t="s">
        <v>2358</v>
      </c>
      <c r="F577" s="3" t="s">
        <v>2336</v>
      </c>
    </row>
    <row r="578" spans="1:6" x14ac:dyDescent="0.25">
      <c r="A578" s="30">
        <v>44169.789756944447</v>
      </c>
      <c r="B578" s="3" t="s">
        <v>755</v>
      </c>
      <c r="C578" s="47" t="s">
        <v>2358</v>
      </c>
      <c r="D578" s="47">
        <v>0</v>
      </c>
      <c r="E578" s="47" t="s">
        <v>2358</v>
      </c>
      <c r="F578" s="3" t="s">
        <v>2336</v>
      </c>
    </row>
    <row r="579" spans="1:6" x14ac:dyDescent="0.25">
      <c r="A579" s="30">
        <v>44169.789768518516</v>
      </c>
      <c r="B579" s="3" t="s">
        <v>219</v>
      </c>
      <c r="C579" s="47" t="s">
        <v>2347</v>
      </c>
      <c r="D579" s="47">
        <v>0</v>
      </c>
      <c r="E579" s="47" t="s">
        <v>2347</v>
      </c>
      <c r="F579" s="3" t="s">
        <v>2336</v>
      </c>
    </row>
    <row r="580" spans="1:6" x14ac:dyDescent="0.25">
      <c r="A580" s="30">
        <v>44169.789768518516</v>
      </c>
      <c r="B580" s="3" t="s">
        <v>38</v>
      </c>
      <c r="C580" s="47" t="s">
        <v>2347</v>
      </c>
      <c r="D580" s="47">
        <v>0</v>
      </c>
      <c r="E580" s="47" t="s">
        <v>2347</v>
      </c>
      <c r="F580" s="3" t="s">
        <v>2336</v>
      </c>
    </row>
    <row r="581" spans="1:6" x14ac:dyDescent="0.25">
      <c r="A581" s="30">
        <v>44169.789780092593</v>
      </c>
      <c r="B581" s="3" t="s">
        <v>220</v>
      </c>
      <c r="C581" s="47" t="s">
        <v>2347</v>
      </c>
      <c r="D581" s="47">
        <v>0</v>
      </c>
      <c r="E581" s="47" t="s">
        <v>2347</v>
      </c>
      <c r="F581" s="3" t="s">
        <v>2336</v>
      </c>
    </row>
    <row r="582" spans="1:6" x14ac:dyDescent="0.25">
      <c r="A582" s="30">
        <v>44169.789780092593</v>
      </c>
      <c r="B582" s="3" t="s">
        <v>1063</v>
      </c>
      <c r="C582" s="47" t="s">
        <v>2419</v>
      </c>
      <c r="D582" s="47">
        <v>0</v>
      </c>
      <c r="E582" s="47" t="s">
        <v>2419</v>
      </c>
      <c r="F582" s="3" t="s">
        <v>2336</v>
      </c>
    </row>
    <row r="583" spans="1:6" x14ac:dyDescent="0.25">
      <c r="A583" s="30">
        <v>44169.78979166667</v>
      </c>
      <c r="B583" s="3" t="s">
        <v>53</v>
      </c>
      <c r="C583" s="47" t="s">
        <v>2420</v>
      </c>
      <c r="D583" s="47">
        <v>0</v>
      </c>
      <c r="E583" s="47" t="s">
        <v>2420</v>
      </c>
      <c r="F583" s="3" t="s">
        <v>2336</v>
      </c>
    </row>
    <row r="584" spans="1:6" x14ac:dyDescent="0.25">
      <c r="A584" s="30">
        <v>44169.78979166667</v>
      </c>
      <c r="B584" s="3" t="s">
        <v>1073</v>
      </c>
      <c r="C584" s="47" t="s">
        <v>2348</v>
      </c>
      <c r="D584" s="47">
        <v>0</v>
      </c>
      <c r="E584" s="47" t="s">
        <v>2348</v>
      </c>
      <c r="F584" s="3" t="s">
        <v>2336</v>
      </c>
    </row>
    <row r="585" spans="1:6" x14ac:dyDescent="0.25">
      <c r="A585" s="30">
        <v>44169.78979166667</v>
      </c>
      <c r="B585" s="3" t="s">
        <v>1077</v>
      </c>
      <c r="C585" s="47" t="s">
        <v>2348</v>
      </c>
      <c r="D585" s="47">
        <v>0</v>
      </c>
      <c r="E585" s="47" t="s">
        <v>2348</v>
      </c>
      <c r="F585" s="3" t="s">
        <v>2336</v>
      </c>
    </row>
    <row r="586" spans="1:6" x14ac:dyDescent="0.25">
      <c r="A586" s="30">
        <v>44169.789803240739</v>
      </c>
      <c r="B586" s="3" t="s">
        <v>218</v>
      </c>
      <c r="C586" s="47" t="s">
        <v>2352</v>
      </c>
      <c r="D586" s="47">
        <v>0</v>
      </c>
      <c r="E586" s="47" t="s">
        <v>2352</v>
      </c>
      <c r="F586" s="3" t="s">
        <v>2336</v>
      </c>
    </row>
    <row r="587" spans="1:6" x14ac:dyDescent="0.25">
      <c r="A587" s="30">
        <v>44169.789803240739</v>
      </c>
      <c r="B587" s="3" t="s">
        <v>1085</v>
      </c>
      <c r="C587" s="47" t="s">
        <v>2367</v>
      </c>
      <c r="D587" s="47">
        <v>0</v>
      </c>
      <c r="E587" s="47" t="s">
        <v>2367</v>
      </c>
      <c r="F587" s="3" t="s">
        <v>2336</v>
      </c>
    </row>
    <row r="588" spans="1:6" x14ac:dyDescent="0.25">
      <c r="A588" s="30">
        <v>44169.789814814816</v>
      </c>
      <c r="B588" s="3" t="s">
        <v>1090</v>
      </c>
      <c r="C588" s="47" t="s">
        <v>2419</v>
      </c>
      <c r="D588" s="47">
        <v>0</v>
      </c>
      <c r="E588" s="47" t="s">
        <v>2419</v>
      </c>
      <c r="F588" s="3" t="s">
        <v>2336</v>
      </c>
    </row>
    <row r="589" spans="1:6" x14ac:dyDescent="0.25">
      <c r="A589" s="30">
        <v>44169.789814814816</v>
      </c>
      <c r="B589" s="3" t="s">
        <v>26</v>
      </c>
      <c r="C589" s="47" t="s">
        <v>2350</v>
      </c>
      <c r="D589" s="47">
        <v>0</v>
      </c>
      <c r="E589" s="47" t="s">
        <v>2350</v>
      </c>
      <c r="F589" s="3" t="s">
        <v>2336</v>
      </c>
    </row>
    <row r="590" spans="1:6" x14ac:dyDescent="0.25">
      <c r="A590" s="30">
        <v>44169.789814814816</v>
      </c>
      <c r="B590" s="3" t="s">
        <v>178</v>
      </c>
      <c r="C590" s="47" t="s">
        <v>2348</v>
      </c>
      <c r="D590" s="47">
        <v>0</v>
      </c>
      <c r="E590" s="47">
        <v>0</v>
      </c>
      <c r="F590" s="3" t="s">
        <v>2336</v>
      </c>
    </row>
    <row r="591" spans="1:6" x14ac:dyDescent="0.25">
      <c r="A591" s="30">
        <v>44169.789826388886</v>
      </c>
      <c r="B591" s="3" t="s">
        <v>1103</v>
      </c>
      <c r="C591" s="47" t="s">
        <v>2352</v>
      </c>
      <c r="D591" s="47">
        <v>0</v>
      </c>
      <c r="E591" s="47" t="s">
        <v>2352</v>
      </c>
      <c r="F591" s="3" t="s">
        <v>2336</v>
      </c>
    </row>
    <row r="592" spans="1:6" x14ac:dyDescent="0.25">
      <c r="A592" s="30">
        <v>44169.789826388886</v>
      </c>
      <c r="B592" s="3" t="s">
        <v>1110</v>
      </c>
      <c r="C592" s="47" t="s">
        <v>2352</v>
      </c>
      <c r="D592" s="47">
        <v>0</v>
      </c>
      <c r="E592" s="47" t="s">
        <v>2352</v>
      </c>
      <c r="F592" s="3" t="s">
        <v>2336</v>
      </c>
    </row>
    <row r="593" spans="1:6" x14ac:dyDescent="0.25">
      <c r="A593" s="30">
        <v>44169.789837962962</v>
      </c>
      <c r="B593" s="3" t="s">
        <v>1117</v>
      </c>
      <c r="C593" s="47" t="s">
        <v>2348</v>
      </c>
      <c r="D593" s="47">
        <v>0</v>
      </c>
      <c r="E593" s="47" t="s">
        <v>2348</v>
      </c>
      <c r="F593" s="3" t="s">
        <v>2336</v>
      </c>
    </row>
    <row r="594" spans="1:6" x14ac:dyDescent="0.25">
      <c r="A594" s="30">
        <v>44169.789837962962</v>
      </c>
      <c r="B594" s="3" t="s">
        <v>1123</v>
      </c>
      <c r="C594" s="47" t="s">
        <v>2348</v>
      </c>
      <c r="D594" s="47">
        <v>0</v>
      </c>
      <c r="E594" s="47" t="s">
        <v>2348</v>
      </c>
      <c r="F594" s="3" t="s">
        <v>2336</v>
      </c>
    </row>
    <row r="595" spans="1:6" x14ac:dyDescent="0.25">
      <c r="A595" s="30">
        <v>44169.789849537039</v>
      </c>
      <c r="B595" s="3" t="s">
        <v>176</v>
      </c>
      <c r="C595" s="47" t="s">
        <v>2422</v>
      </c>
      <c r="D595" s="47">
        <v>0</v>
      </c>
      <c r="E595" s="47" t="s">
        <v>2422</v>
      </c>
      <c r="F595" s="3" t="s">
        <v>2336</v>
      </c>
    </row>
    <row r="596" spans="1:6" x14ac:dyDescent="0.25">
      <c r="A596" s="30">
        <v>44169.789849537039</v>
      </c>
      <c r="B596" s="3" t="s">
        <v>180</v>
      </c>
      <c r="C596" s="47" t="s">
        <v>2362</v>
      </c>
      <c r="D596" s="47">
        <v>0</v>
      </c>
      <c r="E596" s="47" t="s">
        <v>2362</v>
      </c>
      <c r="F596" s="3" t="s">
        <v>2336</v>
      </c>
    </row>
    <row r="597" spans="1:6" x14ac:dyDescent="0.25">
      <c r="A597" s="30">
        <v>44169.789861111109</v>
      </c>
      <c r="B597" s="3" t="s">
        <v>1141</v>
      </c>
      <c r="C597" s="47" t="s">
        <v>2348</v>
      </c>
      <c r="D597" s="47">
        <v>0</v>
      </c>
      <c r="E597" s="47" t="s">
        <v>2348</v>
      </c>
      <c r="F597" s="3" t="s">
        <v>2336</v>
      </c>
    </row>
    <row r="598" spans="1:6" x14ac:dyDescent="0.25">
      <c r="A598" s="30">
        <v>44169.789861111109</v>
      </c>
      <c r="B598" s="3" t="s">
        <v>189</v>
      </c>
      <c r="C598" s="47" t="s">
        <v>2361</v>
      </c>
      <c r="D598" s="47">
        <v>0</v>
      </c>
      <c r="E598" s="47" t="s">
        <v>2361</v>
      </c>
      <c r="F598" s="3" t="s">
        <v>2336</v>
      </c>
    </row>
    <row r="599" spans="1:6" x14ac:dyDescent="0.25">
      <c r="A599" s="30">
        <v>44169.789872685185</v>
      </c>
      <c r="B599" s="3" t="s">
        <v>1153</v>
      </c>
      <c r="C599" s="47" t="s">
        <v>2348</v>
      </c>
      <c r="D599" s="47">
        <v>0</v>
      </c>
      <c r="E599" s="47" t="s">
        <v>2348</v>
      </c>
      <c r="F599" s="3" t="s">
        <v>2336</v>
      </c>
    </row>
    <row r="600" spans="1:6" x14ac:dyDescent="0.25">
      <c r="A600" s="30">
        <v>44169.789872685185</v>
      </c>
      <c r="B600" s="3" t="s">
        <v>1159</v>
      </c>
      <c r="C600" s="47" t="s">
        <v>2348</v>
      </c>
      <c r="D600" s="47">
        <v>0</v>
      </c>
      <c r="E600" s="47" t="s">
        <v>2348</v>
      </c>
      <c r="F600" s="3" t="s">
        <v>2336</v>
      </c>
    </row>
    <row r="601" spans="1:6" x14ac:dyDescent="0.25">
      <c r="A601" s="30">
        <v>44169.789884259262</v>
      </c>
      <c r="B601" s="3" t="s">
        <v>1165</v>
      </c>
      <c r="C601" s="47" t="s">
        <v>2348</v>
      </c>
      <c r="D601" s="47">
        <v>0</v>
      </c>
      <c r="E601" s="47" t="s">
        <v>2348</v>
      </c>
      <c r="F601" s="3" t="s">
        <v>2336</v>
      </c>
    </row>
    <row r="602" spans="1:6" x14ac:dyDescent="0.25">
      <c r="A602" s="30">
        <v>44169.789884259262</v>
      </c>
      <c r="B602" s="3" t="s">
        <v>1171</v>
      </c>
      <c r="C602" s="47" t="s">
        <v>2348</v>
      </c>
      <c r="D602" s="47">
        <v>0</v>
      </c>
      <c r="E602" s="47" t="s">
        <v>2348</v>
      </c>
      <c r="F602" s="3" t="s">
        <v>2336</v>
      </c>
    </row>
    <row r="603" spans="1:6" x14ac:dyDescent="0.25">
      <c r="A603" s="30">
        <v>44169.789884259262</v>
      </c>
      <c r="B603" s="3" t="s">
        <v>1177</v>
      </c>
      <c r="C603" s="47" t="s">
        <v>2348</v>
      </c>
      <c r="D603" s="47">
        <v>0</v>
      </c>
      <c r="E603" s="47" t="s">
        <v>2348</v>
      </c>
      <c r="F603" s="3" t="s">
        <v>2336</v>
      </c>
    </row>
    <row r="604" spans="1:6" x14ac:dyDescent="0.25">
      <c r="A604" s="30">
        <v>44169.789895833332</v>
      </c>
      <c r="B604" s="3" t="s">
        <v>1183</v>
      </c>
      <c r="C604" s="47" t="s">
        <v>2348</v>
      </c>
      <c r="D604" s="47">
        <v>0</v>
      </c>
      <c r="E604" s="47" t="s">
        <v>2348</v>
      </c>
      <c r="F604" s="3" t="s">
        <v>2336</v>
      </c>
    </row>
    <row r="605" spans="1:6" x14ac:dyDescent="0.25">
      <c r="A605" s="30">
        <v>44169.789895833332</v>
      </c>
      <c r="B605" s="3" t="s">
        <v>1189</v>
      </c>
      <c r="C605" s="47" t="s">
        <v>2348</v>
      </c>
      <c r="D605" s="47">
        <v>0</v>
      </c>
      <c r="E605" s="47" t="s">
        <v>2348</v>
      </c>
      <c r="F605" s="3" t="s">
        <v>2336</v>
      </c>
    </row>
    <row r="606" spans="1:6" x14ac:dyDescent="0.25">
      <c r="A606" s="30">
        <v>44169.789907407408</v>
      </c>
      <c r="B606" s="3" t="s">
        <v>1195</v>
      </c>
      <c r="C606" s="47" t="s">
        <v>2348</v>
      </c>
      <c r="D606" s="47">
        <v>0</v>
      </c>
      <c r="E606" s="47" t="s">
        <v>2348</v>
      </c>
      <c r="F606" s="3" t="s">
        <v>2336</v>
      </c>
    </row>
    <row r="607" spans="1:6" x14ac:dyDescent="0.25">
      <c r="A607" s="30">
        <v>44169.789907407408</v>
      </c>
      <c r="B607" s="3" t="s">
        <v>182</v>
      </c>
      <c r="C607" s="47" t="s">
        <v>2361</v>
      </c>
      <c r="D607" s="47">
        <v>0</v>
      </c>
      <c r="E607" s="47" t="s">
        <v>2361</v>
      </c>
      <c r="F607" s="3" t="s">
        <v>2336</v>
      </c>
    </row>
    <row r="608" spans="1:6" x14ac:dyDescent="0.25">
      <c r="A608" s="30">
        <v>44169.789918981478</v>
      </c>
      <c r="B608" s="3" t="s">
        <v>1207</v>
      </c>
      <c r="C608" s="47" t="s">
        <v>2352</v>
      </c>
      <c r="D608" s="47">
        <v>0</v>
      </c>
      <c r="E608" s="47" t="s">
        <v>2352</v>
      </c>
      <c r="F608" s="3" t="s">
        <v>2336</v>
      </c>
    </row>
    <row r="609" spans="1:6" x14ac:dyDescent="0.25">
      <c r="A609" s="30">
        <v>44169.789918981478</v>
      </c>
      <c r="B609" s="3" t="s">
        <v>1214</v>
      </c>
      <c r="C609" s="47" t="s">
        <v>2348</v>
      </c>
      <c r="D609" s="47">
        <v>0</v>
      </c>
      <c r="E609" s="47" t="s">
        <v>2348</v>
      </c>
      <c r="F609" s="3" t="s">
        <v>2336</v>
      </c>
    </row>
    <row r="610" spans="1:6" x14ac:dyDescent="0.25">
      <c r="A610" s="30">
        <v>44169.789930555555</v>
      </c>
      <c r="B610" s="3" t="s">
        <v>1220</v>
      </c>
      <c r="C610" s="47" t="s">
        <v>2348</v>
      </c>
      <c r="D610" s="47">
        <v>0</v>
      </c>
      <c r="E610" s="47" t="s">
        <v>2348</v>
      </c>
      <c r="F610" s="3" t="s">
        <v>2336</v>
      </c>
    </row>
    <row r="611" spans="1:6" x14ac:dyDescent="0.25">
      <c r="A611" s="30">
        <v>44169.789930555555</v>
      </c>
      <c r="B611" s="3" t="s">
        <v>1226</v>
      </c>
      <c r="C611" s="47" t="s">
        <v>2348</v>
      </c>
      <c r="D611" s="47">
        <v>0</v>
      </c>
      <c r="E611" s="47" t="s">
        <v>2348</v>
      </c>
      <c r="F611" s="3" t="s">
        <v>2336</v>
      </c>
    </row>
    <row r="612" spans="1:6" x14ac:dyDescent="0.25">
      <c r="A612" s="30">
        <v>44169.789930555555</v>
      </c>
      <c r="B612" s="3" t="s">
        <v>1232</v>
      </c>
      <c r="C612" s="47" t="s">
        <v>2348</v>
      </c>
      <c r="D612" s="47">
        <v>0</v>
      </c>
      <c r="E612" s="47" t="s">
        <v>2348</v>
      </c>
      <c r="F612" s="3" t="s">
        <v>2336</v>
      </c>
    </row>
    <row r="613" spans="1:6" x14ac:dyDescent="0.25">
      <c r="A613" s="30">
        <v>44169.789942129632</v>
      </c>
      <c r="B613" s="3" t="s">
        <v>1238</v>
      </c>
      <c r="C613" s="47" t="s">
        <v>2348</v>
      </c>
      <c r="D613" s="47">
        <v>0</v>
      </c>
      <c r="E613" s="47" t="s">
        <v>2348</v>
      </c>
      <c r="F613" s="3" t="s">
        <v>2336</v>
      </c>
    </row>
    <row r="614" spans="1:6" x14ac:dyDescent="0.25">
      <c r="A614" s="30">
        <v>44169.789942129632</v>
      </c>
      <c r="B614" s="3" t="s">
        <v>1244</v>
      </c>
      <c r="C614" s="47" t="s">
        <v>2348</v>
      </c>
      <c r="D614" s="47">
        <v>0</v>
      </c>
      <c r="E614" s="47" t="s">
        <v>2348</v>
      </c>
      <c r="F614" s="3" t="s">
        <v>2336</v>
      </c>
    </row>
    <row r="615" spans="1:6" x14ac:dyDescent="0.25">
      <c r="A615" s="30">
        <v>44169.789953703701</v>
      </c>
      <c r="B615" s="3" t="s">
        <v>1250</v>
      </c>
      <c r="C615" s="47" t="s">
        <v>2348</v>
      </c>
      <c r="D615" s="47">
        <v>0</v>
      </c>
      <c r="E615" s="47" t="s">
        <v>2348</v>
      </c>
      <c r="F615" s="3" t="s">
        <v>2336</v>
      </c>
    </row>
    <row r="616" spans="1:6" x14ac:dyDescent="0.25">
      <c r="A616" s="30">
        <v>44169.789953703701</v>
      </c>
      <c r="B616" s="3" t="s">
        <v>1256</v>
      </c>
      <c r="C616" s="47" t="s">
        <v>2348</v>
      </c>
      <c r="D616" s="47">
        <v>0</v>
      </c>
      <c r="E616" s="47" t="s">
        <v>2348</v>
      </c>
      <c r="F616" s="3" t="s">
        <v>2336</v>
      </c>
    </row>
    <row r="617" spans="1:6" x14ac:dyDescent="0.25">
      <c r="A617" s="30">
        <v>44169.789965277778</v>
      </c>
      <c r="B617" s="3" t="s">
        <v>1262</v>
      </c>
      <c r="C617" s="47" t="s">
        <v>2348</v>
      </c>
      <c r="D617" s="47">
        <v>0</v>
      </c>
      <c r="E617" s="47" t="s">
        <v>2348</v>
      </c>
      <c r="F617" s="3" t="s">
        <v>2336</v>
      </c>
    </row>
    <row r="618" spans="1:6" x14ac:dyDescent="0.25">
      <c r="A618" s="30">
        <v>44169.789965277778</v>
      </c>
      <c r="B618" s="3" t="s">
        <v>1268</v>
      </c>
      <c r="C618" s="47" t="s">
        <v>2348</v>
      </c>
      <c r="D618" s="47">
        <v>0</v>
      </c>
      <c r="E618" s="47" t="s">
        <v>2348</v>
      </c>
      <c r="F618" s="3" t="s">
        <v>2336</v>
      </c>
    </row>
    <row r="619" spans="1:6" x14ac:dyDescent="0.25">
      <c r="A619" s="30">
        <v>44169.789976851855</v>
      </c>
      <c r="B619" s="3" t="s">
        <v>183</v>
      </c>
      <c r="C619" s="47" t="s">
        <v>2365</v>
      </c>
      <c r="D619" s="47">
        <v>0</v>
      </c>
      <c r="E619" s="47" t="s">
        <v>2365</v>
      </c>
      <c r="F619" s="3" t="s">
        <v>2336</v>
      </c>
    </row>
    <row r="620" spans="1:6" x14ac:dyDescent="0.25">
      <c r="A620" s="30">
        <v>44169.789976851855</v>
      </c>
      <c r="B620" s="3" t="s">
        <v>1280</v>
      </c>
      <c r="C620" s="47" t="s">
        <v>2352</v>
      </c>
      <c r="D620" s="47">
        <v>0</v>
      </c>
      <c r="E620" s="47" t="s">
        <v>2352</v>
      </c>
      <c r="F620" s="3" t="s">
        <v>2336</v>
      </c>
    </row>
    <row r="621" spans="1:6" x14ac:dyDescent="0.25">
      <c r="A621" s="30">
        <v>44169.789976851855</v>
      </c>
      <c r="B621" s="3" t="s">
        <v>1287</v>
      </c>
      <c r="C621" s="47" t="s">
        <v>2348</v>
      </c>
      <c r="D621" s="47">
        <v>0</v>
      </c>
      <c r="E621" s="47" t="s">
        <v>2348</v>
      </c>
      <c r="F621" s="3" t="s">
        <v>2336</v>
      </c>
    </row>
    <row r="622" spans="1:6" x14ac:dyDescent="0.25">
      <c r="A622" s="30">
        <v>44169.789988425924</v>
      </c>
      <c r="B622" s="3" t="s">
        <v>1293</v>
      </c>
      <c r="C622" s="47" t="s">
        <v>2348</v>
      </c>
      <c r="D622" s="47">
        <v>0</v>
      </c>
      <c r="E622" s="47" t="s">
        <v>2348</v>
      </c>
      <c r="F622" s="3" t="s">
        <v>2336</v>
      </c>
    </row>
    <row r="623" spans="1:6" x14ac:dyDescent="0.25">
      <c r="A623" s="30">
        <v>44169.789988425924</v>
      </c>
      <c r="B623" s="3" t="s">
        <v>1299</v>
      </c>
      <c r="C623" s="47" t="s">
        <v>2348</v>
      </c>
      <c r="D623" s="47">
        <v>0</v>
      </c>
      <c r="E623" s="47" t="s">
        <v>2348</v>
      </c>
      <c r="F623" s="3" t="s">
        <v>2336</v>
      </c>
    </row>
    <row r="624" spans="1:6" x14ac:dyDescent="0.25">
      <c r="A624" s="30">
        <v>44169.79</v>
      </c>
      <c r="B624" s="3" t="s">
        <v>1305</v>
      </c>
      <c r="C624" s="47" t="s">
        <v>2348</v>
      </c>
      <c r="D624" s="47">
        <v>0</v>
      </c>
      <c r="E624" s="47" t="s">
        <v>2348</v>
      </c>
      <c r="F624" s="3" t="s">
        <v>2336</v>
      </c>
    </row>
    <row r="625" spans="1:6" x14ac:dyDescent="0.25">
      <c r="A625" s="30">
        <v>44169.79</v>
      </c>
      <c r="B625" s="3" t="s">
        <v>1311</v>
      </c>
      <c r="C625" s="47" t="s">
        <v>2348</v>
      </c>
      <c r="D625" s="47">
        <v>0</v>
      </c>
      <c r="E625" s="47" t="s">
        <v>2348</v>
      </c>
      <c r="F625" s="3" t="s">
        <v>2336</v>
      </c>
    </row>
    <row r="626" spans="1:6" x14ac:dyDescent="0.25">
      <c r="A626" s="30">
        <v>44169.790011574078</v>
      </c>
      <c r="B626" s="3" t="s">
        <v>1317</v>
      </c>
      <c r="C626" s="47" t="s">
        <v>2348</v>
      </c>
      <c r="D626" s="47">
        <v>0</v>
      </c>
      <c r="E626" s="47" t="s">
        <v>2348</v>
      </c>
      <c r="F626" s="3" t="s">
        <v>2336</v>
      </c>
    </row>
    <row r="627" spans="1:6" x14ac:dyDescent="0.25">
      <c r="A627" s="30">
        <v>44169.790011574078</v>
      </c>
      <c r="B627" s="3" t="s">
        <v>1323</v>
      </c>
      <c r="C627" s="47" t="s">
        <v>2348</v>
      </c>
      <c r="D627" s="47">
        <v>0</v>
      </c>
      <c r="E627" s="47" t="s">
        <v>2348</v>
      </c>
      <c r="F627" s="3" t="s">
        <v>2336</v>
      </c>
    </row>
    <row r="628" spans="1:6" x14ac:dyDescent="0.25">
      <c r="A628" s="30">
        <v>44169.790023148147</v>
      </c>
      <c r="B628" s="3" t="s">
        <v>1329</v>
      </c>
      <c r="C628" s="47" t="s">
        <v>2348</v>
      </c>
      <c r="D628" s="47">
        <v>0</v>
      </c>
      <c r="E628" s="47" t="s">
        <v>2348</v>
      </c>
      <c r="F628" s="3" t="s">
        <v>2336</v>
      </c>
    </row>
    <row r="629" spans="1:6" x14ac:dyDescent="0.25">
      <c r="A629" s="30">
        <v>44169.790023148147</v>
      </c>
      <c r="B629" s="3" t="s">
        <v>1335</v>
      </c>
      <c r="C629" s="47" t="s">
        <v>2348</v>
      </c>
      <c r="D629" s="47">
        <v>0</v>
      </c>
      <c r="E629" s="47" t="s">
        <v>2348</v>
      </c>
      <c r="F629" s="3" t="s">
        <v>2336</v>
      </c>
    </row>
    <row r="630" spans="1:6" x14ac:dyDescent="0.25">
      <c r="A630" s="30">
        <v>44169.790034722224</v>
      </c>
      <c r="B630" s="3" t="s">
        <v>188</v>
      </c>
      <c r="C630" s="47" t="s">
        <v>2423</v>
      </c>
      <c r="D630" s="47">
        <v>0</v>
      </c>
      <c r="E630" s="47" t="s">
        <v>2423</v>
      </c>
      <c r="F630" s="3" t="s">
        <v>2336</v>
      </c>
    </row>
    <row r="631" spans="1:6" x14ac:dyDescent="0.25">
      <c r="A631" s="30">
        <v>44169.790034722224</v>
      </c>
      <c r="B631" s="3" t="s">
        <v>1347</v>
      </c>
      <c r="C631" s="47" t="s">
        <v>2352</v>
      </c>
      <c r="D631" s="47">
        <v>0</v>
      </c>
      <c r="E631" s="47" t="s">
        <v>2352</v>
      </c>
      <c r="F631" s="3" t="s">
        <v>2336</v>
      </c>
    </row>
    <row r="632" spans="1:6" x14ac:dyDescent="0.25">
      <c r="A632" s="30">
        <v>44169.790046296293</v>
      </c>
      <c r="B632" s="3" t="s">
        <v>1354</v>
      </c>
      <c r="C632" s="47" t="s">
        <v>2348</v>
      </c>
      <c r="D632" s="47">
        <v>0</v>
      </c>
      <c r="E632" s="47" t="s">
        <v>2348</v>
      </c>
      <c r="F632" s="3" t="s">
        <v>2336</v>
      </c>
    </row>
    <row r="633" spans="1:6" x14ac:dyDescent="0.25">
      <c r="A633" s="30">
        <v>44169.790046296293</v>
      </c>
      <c r="B633" s="3" t="s">
        <v>1360</v>
      </c>
      <c r="C633" s="47" t="s">
        <v>2348</v>
      </c>
      <c r="D633" s="47">
        <v>0</v>
      </c>
      <c r="E633" s="47" t="s">
        <v>2348</v>
      </c>
      <c r="F633" s="3" t="s">
        <v>2336</v>
      </c>
    </row>
    <row r="634" spans="1:6" x14ac:dyDescent="0.25">
      <c r="A634" s="30">
        <v>44169.790046296293</v>
      </c>
      <c r="B634" s="3" t="s">
        <v>1366</v>
      </c>
      <c r="C634" s="47" t="s">
        <v>2348</v>
      </c>
      <c r="D634" s="47">
        <v>0</v>
      </c>
      <c r="E634" s="47" t="s">
        <v>2348</v>
      </c>
      <c r="F634" s="3" t="s">
        <v>2336</v>
      </c>
    </row>
    <row r="635" spans="1:6" x14ac:dyDescent="0.25">
      <c r="A635" s="30">
        <v>44169.79005787037</v>
      </c>
      <c r="B635" s="3" t="s">
        <v>1372</v>
      </c>
      <c r="C635" s="47" t="s">
        <v>2348</v>
      </c>
      <c r="D635" s="47">
        <v>0</v>
      </c>
      <c r="E635" s="47" t="s">
        <v>2348</v>
      </c>
      <c r="F635" s="3" t="s">
        <v>2336</v>
      </c>
    </row>
    <row r="636" spans="1:6" x14ac:dyDescent="0.25">
      <c r="A636" s="30">
        <v>44169.79005787037</v>
      </c>
      <c r="B636" s="3" t="s">
        <v>1378</v>
      </c>
      <c r="C636" s="47" t="s">
        <v>2348</v>
      </c>
      <c r="D636" s="47">
        <v>0</v>
      </c>
      <c r="E636" s="47" t="s">
        <v>2348</v>
      </c>
      <c r="F636" s="3" t="s">
        <v>2336</v>
      </c>
    </row>
    <row r="637" spans="1:6" x14ac:dyDescent="0.25">
      <c r="A637" s="30">
        <v>44169.790069444447</v>
      </c>
      <c r="B637" s="3" t="s">
        <v>1384</v>
      </c>
      <c r="C637" s="47" t="s">
        <v>2348</v>
      </c>
      <c r="D637" s="47">
        <v>0</v>
      </c>
      <c r="E637" s="47" t="s">
        <v>2348</v>
      </c>
      <c r="F637" s="3" t="s">
        <v>2336</v>
      </c>
    </row>
    <row r="638" spans="1:6" x14ac:dyDescent="0.25">
      <c r="A638" s="30">
        <v>44169.790069444447</v>
      </c>
      <c r="B638" s="3" t="s">
        <v>1390</v>
      </c>
      <c r="C638" s="47" t="s">
        <v>2348</v>
      </c>
      <c r="D638" s="47">
        <v>0</v>
      </c>
      <c r="E638" s="47" t="s">
        <v>2348</v>
      </c>
      <c r="F638" s="3" t="s">
        <v>2336</v>
      </c>
    </row>
    <row r="639" spans="1:6" x14ac:dyDescent="0.25">
      <c r="A639" s="30">
        <v>44169.790081018517</v>
      </c>
      <c r="B639" s="3" t="s">
        <v>1396</v>
      </c>
      <c r="C639" s="47" t="s">
        <v>2348</v>
      </c>
      <c r="D639" s="47">
        <v>0</v>
      </c>
      <c r="E639" s="47" t="s">
        <v>2348</v>
      </c>
      <c r="F639" s="3" t="s">
        <v>2336</v>
      </c>
    </row>
    <row r="640" spans="1:6" x14ac:dyDescent="0.25">
      <c r="A640" s="30">
        <v>44169.790081018517</v>
      </c>
      <c r="B640" s="3" t="s">
        <v>1402</v>
      </c>
      <c r="C640" s="47" t="s">
        <v>2348</v>
      </c>
      <c r="D640" s="47">
        <v>0</v>
      </c>
      <c r="E640" s="47" t="s">
        <v>2348</v>
      </c>
      <c r="F640" s="3" t="s">
        <v>2336</v>
      </c>
    </row>
    <row r="641" spans="1:6" x14ac:dyDescent="0.25">
      <c r="A641" s="30">
        <v>44169.790092592593</v>
      </c>
      <c r="B641" s="3" t="s">
        <v>1408</v>
      </c>
      <c r="C641" s="47" t="s">
        <v>2348</v>
      </c>
      <c r="D641" s="47">
        <v>0</v>
      </c>
      <c r="E641" s="47" t="s">
        <v>2348</v>
      </c>
      <c r="F641" s="3" t="s">
        <v>2336</v>
      </c>
    </row>
    <row r="642" spans="1:6" x14ac:dyDescent="0.25">
      <c r="A642" s="30">
        <v>44169.790092592593</v>
      </c>
      <c r="B642" s="3" t="s">
        <v>1414</v>
      </c>
      <c r="C642" s="47" t="s">
        <v>2348</v>
      </c>
      <c r="D642" s="47">
        <v>0</v>
      </c>
      <c r="E642" s="47" t="s">
        <v>2348</v>
      </c>
      <c r="F642" s="3" t="s">
        <v>2336</v>
      </c>
    </row>
    <row r="643" spans="1:6" x14ac:dyDescent="0.25">
      <c r="A643" s="30">
        <v>44169.79010416667</v>
      </c>
      <c r="B643" s="3" t="s">
        <v>1420</v>
      </c>
      <c r="C643" s="47" t="s">
        <v>2348</v>
      </c>
      <c r="D643" s="47">
        <v>0</v>
      </c>
      <c r="E643" s="47" t="s">
        <v>2348</v>
      </c>
      <c r="F643" s="3" t="s">
        <v>2336</v>
      </c>
    </row>
    <row r="644" spans="1:6" x14ac:dyDescent="0.25">
      <c r="A644" s="30">
        <v>44169.79010416667</v>
      </c>
      <c r="B644" s="3" t="s">
        <v>1426</v>
      </c>
      <c r="C644" s="47" t="s">
        <v>2348</v>
      </c>
      <c r="D644" s="47">
        <v>0</v>
      </c>
      <c r="E644" s="47" t="s">
        <v>2348</v>
      </c>
      <c r="F644" s="3" t="s">
        <v>2336</v>
      </c>
    </row>
    <row r="645" spans="1:6" x14ac:dyDescent="0.25">
      <c r="A645" s="30">
        <v>44169.79011574074</v>
      </c>
      <c r="B645" s="3" t="s">
        <v>1432</v>
      </c>
      <c r="C645" s="47" t="s">
        <v>2348</v>
      </c>
      <c r="D645" s="47">
        <v>0</v>
      </c>
      <c r="E645" s="47" t="s">
        <v>2348</v>
      </c>
      <c r="F645" s="3" t="s">
        <v>2336</v>
      </c>
    </row>
    <row r="646" spans="1:6" x14ac:dyDescent="0.25">
      <c r="A646" s="30">
        <v>44169.79011574074</v>
      </c>
      <c r="B646" s="3" t="s">
        <v>1438</v>
      </c>
      <c r="C646" s="47" t="s">
        <v>2348</v>
      </c>
      <c r="D646" s="47">
        <v>0</v>
      </c>
      <c r="E646" s="47" t="s">
        <v>2348</v>
      </c>
      <c r="F646" s="3" t="s">
        <v>2336</v>
      </c>
    </row>
    <row r="647" spans="1:6" x14ac:dyDescent="0.25">
      <c r="A647" s="30">
        <v>44169.790127314816</v>
      </c>
      <c r="B647" s="3" t="s">
        <v>1444</v>
      </c>
      <c r="C647" s="47" t="s">
        <v>2348</v>
      </c>
      <c r="D647" s="47">
        <v>0</v>
      </c>
      <c r="E647" s="47" t="s">
        <v>2348</v>
      </c>
      <c r="F647" s="3" t="s">
        <v>2336</v>
      </c>
    </row>
    <row r="648" spans="1:6" x14ac:dyDescent="0.25">
      <c r="A648" s="30">
        <v>44169.790127314816</v>
      </c>
      <c r="B648" s="3" t="s">
        <v>1450</v>
      </c>
      <c r="C648" s="47" t="s">
        <v>2348</v>
      </c>
      <c r="D648" s="47">
        <v>0</v>
      </c>
      <c r="E648" s="47" t="s">
        <v>2348</v>
      </c>
      <c r="F648" s="3" t="s">
        <v>2336</v>
      </c>
    </row>
    <row r="649" spans="1:6" x14ac:dyDescent="0.25">
      <c r="A649" s="30">
        <v>44169.790127314816</v>
      </c>
      <c r="B649" s="3" t="s">
        <v>1456</v>
      </c>
      <c r="C649" s="47" t="s">
        <v>2348</v>
      </c>
      <c r="D649" s="47">
        <v>0</v>
      </c>
      <c r="E649" s="47" t="s">
        <v>2348</v>
      </c>
      <c r="F649" s="3" t="s">
        <v>2336</v>
      </c>
    </row>
    <row r="650" spans="1:6" x14ac:dyDescent="0.25">
      <c r="A650" s="30">
        <v>44169.790138888886</v>
      </c>
      <c r="B650" s="3" t="s">
        <v>1462</v>
      </c>
      <c r="C650" s="47" t="s">
        <v>2352</v>
      </c>
      <c r="D650" s="47">
        <v>0</v>
      </c>
      <c r="E650" s="47" t="s">
        <v>2352</v>
      </c>
      <c r="F650" s="3" t="s">
        <v>2336</v>
      </c>
    </row>
    <row r="651" spans="1:6" x14ac:dyDescent="0.25">
      <c r="A651" s="30">
        <v>44169.790138888886</v>
      </c>
      <c r="B651" s="3" t="s">
        <v>1469</v>
      </c>
      <c r="C651" s="47" t="s">
        <v>2348</v>
      </c>
      <c r="D651" s="47">
        <v>0</v>
      </c>
      <c r="E651" s="47" t="s">
        <v>2348</v>
      </c>
      <c r="F651" s="3" t="s">
        <v>2336</v>
      </c>
    </row>
    <row r="652" spans="1:6" x14ac:dyDescent="0.25">
      <c r="A652" s="30">
        <v>44169.790150462963</v>
      </c>
      <c r="B652" s="3" t="s">
        <v>1475</v>
      </c>
      <c r="C652" s="47" t="s">
        <v>2348</v>
      </c>
      <c r="D652" s="47">
        <v>0</v>
      </c>
      <c r="E652" s="47" t="s">
        <v>2348</v>
      </c>
      <c r="F652" s="3" t="s">
        <v>2336</v>
      </c>
    </row>
    <row r="653" spans="1:6" x14ac:dyDescent="0.25">
      <c r="A653" s="30">
        <v>44169.790150462963</v>
      </c>
      <c r="B653" s="3" t="s">
        <v>1481</v>
      </c>
      <c r="C653" s="47" t="s">
        <v>2348</v>
      </c>
      <c r="D653" s="47">
        <v>0</v>
      </c>
      <c r="E653" s="47" t="s">
        <v>2348</v>
      </c>
      <c r="F653" s="3" t="s">
        <v>2336</v>
      </c>
    </row>
    <row r="654" spans="1:6" x14ac:dyDescent="0.25">
      <c r="A654" s="30">
        <v>44169.790162037039</v>
      </c>
      <c r="B654" s="3" t="s">
        <v>1487</v>
      </c>
      <c r="C654" s="47" t="s">
        <v>2348</v>
      </c>
      <c r="D654" s="47">
        <v>0</v>
      </c>
      <c r="E654" s="47" t="s">
        <v>2348</v>
      </c>
      <c r="F654" s="3" t="s">
        <v>2336</v>
      </c>
    </row>
    <row r="655" spans="1:6" x14ac:dyDescent="0.25">
      <c r="A655" s="30">
        <v>44169.790162037039</v>
      </c>
      <c r="B655" s="3" t="s">
        <v>1493</v>
      </c>
      <c r="C655" s="47" t="s">
        <v>2348</v>
      </c>
      <c r="D655" s="47">
        <v>0</v>
      </c>
      <c r="E655" s="47" t="s">
        <v>2348</v>
      </c>
      <c r="F655" s="3" t="s">
        <v>2336</v>
      </c>
    </row>
    <row r="656" spans="1:6" x14ac:dyDescent="0.25">
      <c r="A656" s="30">
        <v>44169.790173611109</v>
      </c>
      <c r="B656" s="3" t="s">
        <v>1499</v>
      </c>
      <c r="C656" s="47" t="s">
        <v>2348</v>
      </c>
      <c r="D656" s="47">
        <v>0</v>
      </c>
      <c r="E656" s="47" t="s">
        <v>2348</v>
      </c>
      <c r="F656" s="3" t="s">
        <v>2336</v>
      </c>
    </row>
    <row r="657" spans="1:6" x14ac:dyDescent="0.25">
      <c r="A657" s="30">
        <v>44169.790173611109</v>
      </c>
      <c r="B657" s="3" t="s">
        <v>1505</v>
      </c>
      <c r="C657" s="47" t="s">
        <v>2348</v>
      </c>
      <c r="D657" s="47">
        <v>0</v>
      </c>
      <c r="E657" s="47" t="s">
        <v>2348</v>
      </c>
      <c r="F657" s="3" t="s">
        <v>2336</v>
      </c>
    </row>
    <row r="658" spans="1:6" x14ac:dyDescent="0.25">
      <c r="A658" s="30">
        <v>44169.790185185186</v>
      </c>
      <c r="B658" s="3" t="s">
        <v>1511</v>
      </c>
      <c r="C658" s="47" t="s">
        <v>2348</v>
      </c>
      <c r="D658" s="47">
        <v>0</v>
      </c>
      <c r="E658" s="47" t="s">
        <v>2348</v>
      </c>
      <c r="F658" s="3" t="s">
        <v>2336</v>
      </c>
    </row>
    <row r="659" spans="1:6" x14ac:dyDescent="0.25">
      <c r="A659" s="30">
        <v>44169.790185185186</v>
      </c>
      <c r="B659" s="3" t="s">
        <v>1517</v>
      </c>
      <c r="C659" s="47" t="s">
        <v>2348</v>
      </c>
      <c r="D659" s="47">
        <v>0</v>
      </c>
      <c r="E659" s="47" t="s">
        <v>2348</v>
      </c>
      <c r="F659" s="3" t="s">
        <v>2336</v>
      </c>
    </row>
    <row r="660" spans="1:6" x14ac:dyDescent="0.25">
      <c r="A660" s="30">
        <v>44169.790185185186</v>
      </c>
      <c r="B660" s="3" t="s">
        <v>1523</v>
      </c>
      <c r="C660" s="47" t="s">
        <v>2348</v>
      </c>
      <c r="D660" s="47">
        <v>0</v>
      </c>
      <c r="E660" s="47" t="s">
        <v>2348</v>
      </c>
      <c r="F660" s="3" t="s">
        <v>2336</v>
      </c>
    </row>
    <row r="661" spans="1:6" x14ac:dyDescent="0.25">
      <c r="A661" s="30">
        <v>44169.790196759262</v>
      </c>
      <c r="B661" s="3" t="s">
        <v>187</v>
      </c>
      <c r="C661" s="47" t="s">
        <v>2360</v>
      </c>
      <c r="D661" s="47">
        <v>0</v>
      </c>
      <c r="E661" s="47" t="s">
        <v>2360</v>
      </c>
      <c r="F661" s="3" t="s">
        <v>2336</v>
      </c>
    </row>
    <row r="662" spans="1:6" x14ac:dyDescent="0.25">
      <c r="A662" s="30">
        <v>44169.790196759262</v>
      </c>
      <c r="B662" s="3" t="s">
        <v>1535</v>
      </c>
      <c r="C662" s="47" t="s">
        <v>2352</v>
      </c>
      <c r="D662" s="47">
        <v>0</v>
      </c>
      <c r="E662" s="47" t="s">
        <v>2352</v>
      </c>
      <c r="F662" s="3" t="s">
        <v>2336</v>
      </c>
    </row>
    <row r="663" spans="1:6" x14ac:dyDescent="0.25">
      <c r="A663" s="30">
        <v>44169.790208333332</v>
      </c>
      <c r="B663" s="3" t="s">
        <v>186</v>
      </c>
      <c r="C663" s="47" t="s">
        <v>2360</v>
      </c>
      <c r="D663" s="47">
        <v>0</v>
      </c>
      <c r="E663" s="47" t="s">
        <v>2360</v>
      </c>
      <c r="F663" s="3" t="s">
        <v>2336</v>
      </c>
    </row>
    <row r="664" spans="1:6" x14ac:dyDescent="0.25">
      <c r="A664" s="30">
        <v>44169.790208333332</v>
      </c>
      <c r="B664" s="3" t="s">
        <v>1548</v>
      </c>
      <c r="C664" s="47" t="s">
        <v>2348</v>
      </c>
      <c r="D664" s="47">
        <v>0</v>
      </c>
      <c r="E664" s="47" t="s">
        <v>2348</v>
      </c>
      <c r="F664" s="3" t="s">
        <v>2336</v>
      </c>
    </row>
    <row r="665" spans="1:6" x14ac:dyDescent="0.25">
      <c r="A665" s="30">
        <v>44169.790219907409</v>
      </c>
      <c r="B665" s="3" t="s">
        <v>1554</v>
      </c>
      <c r="C665" s="47" t="s">
        <v>2348</v>
      </c>
      <c r="D665" s="47">
        <v>0</v>
      </c>
      <c r="E665" s="47" t="s">
        <v>2348</v>
      </c>
      <c r="F665" s="3" t="s">
        <v>2336</v>
      </c>
    </row>
    <row r="666" spans="1:6" x14ac:dyDescent="0.25">
      <c r="A666" s="30">
        <v>44169.790219907409</v>
      </c>
      <c r="B666" s="3" t="s">
        <v>1560</v>
      </c>
      <c r="C666" s="47" t="s">
        <v>2348</v>
      </c>
      <c r="D666" s="47">
        <v>0</v>
      </c>
      <c r="E666" s="47" t="s">
        <v>2348</v>
      </c>
      <c r="F666" s="3" t="s">
        <v>2336</v>
      </c>
    </row>
    <row r="667" spans="1:6" x14ac:dyDescent="0.25">
      <c r="A667" s="30">
        <v>44169.790231481478</v>
      </c>
      <c r="B667" s="3" t="s">
        <v>1566</v>
      </c>
      <c r="C667" s="47" t="s">
        <v>2348</v>
      </c>
      <c r="D667" s="47">
        <v>0</v>
      </c>
      <c r="E667" s="47" t="s">
        <v>2348</v>
      </c>
      <c r="F667" s="3" t="s">
        <v>2336</v>
      </c>
    </row>
    <row r="668" spans="1:6" x14ac:dyDescent="0.25">
      <c r="A668" s="30">
        <v>44169.790231481478</v>
      </c>
      <c r="B668" s="3" t="s">
        <v>1572</v>
      </c>
      <c r="C668" s="47" t="s">
        <v>2348</v>
      </c>
      <c r="D668" s="47">
        <v>0</v>
      </c>
      <c r="E668" s="47" t="s">
        <v>2348</v>
      </c>
      <c r="F668" s="3" t="s">
        <v>2336</v>
      </c>
    </row>
    <row r="669" spans="1:6" x14ac:dyDescent="0.25">
      <c r="A669" s="30">
        <v>44169.790243055555</v>
      </c>
      <c r="B669" s="3" t="s">
        <v>1578</v>
      </c>
      <c r="C669" s="47" t="s">
        <v>2348</v>
      </c>
      <c r="D669" s="47">
        <v>0</v>
      </c>
      <c r="E669" s="47" t="s">
        <v>2348</v>
      </c>
      <c r="F669" s="3" t="s">
        <v>2336</v>
      </c>
    </row>
    <row r="670" spans="1:6" x14ac:dyDescent="0.25">
      <c r="A670" s="30">
        <v>44169.790243055555</v>
      </c>
      <c r="B670" s="3" t="s">
        <v>1584</v>
      </c>
      <c r="C670" s="47" t="s">
        <v>2348</v>
      </c>
      <c r="D670" s="47">
        <v>0</v>
      </c>
      <c r="E670" s="47" t="s">
        <v>2348</v>
      </c>
      <c r="F670" s="3" t="s">
        <v>2336</v>
      </c>
    </row>
    <row r="671" spans="1:6" x14ac:dyDescent="0.25">
      <c r="A671" s="30">
        <v>44169.790254629632</v>
      </c>
      <c r="B671" s="3" t="s">
        <v>1590</v>
      </c>
      <c r="C671" s="47" t="s">
        <v>2348</v>
      </c>
      <c r="D671" s="47">
        <v>0</v>
      </c>
      <c r="E671" s="47" t="s">
        <v>2348</v>
      </c>
      <c r="F671" s="3" t="s">
        <v>2336</v>
      </c>
    </row>
    <row r="672" spans="1:6" x14ac:dyDescent="0.25">
      <c r="A672" s="30">
        <v>44169.790254629632</v>
      </c>
      <c r="B672" s="3" t="s">
        <v>1596</v>
      </c>
      <c r="C672" s="47" t="s">
        <v>2348</v>
      </c>
      <c r="D672" s="47">
        <v>0</v>
      </c>
      <c r="E672" s="47" t="s">
        <v>2348</v>
      </c>
      <c r="F672" s="3" t="s">
        <v>2336</v>
      </c>
    </row>
    <row r="673" spans="1:6" x14ac:dyDescent="0.25">
      <c r="A673" s="30">
        <v>44169.790266203701</v>
      </c>
      <c r="B673" s="3" t="s">
        <v>1602</v>
      </c>
      <c r="C673" s="47" t="s">
        <v>2348</v>
      </c>
      <c r="D673" s="47">
        <v>0</v>
      </c>
      <c r="E673" s="47" t="s">
        <v>2348</v>
      </c>
      <c r="F673" s="3" t="s">
        <v>2336</v>
      </c>
    </row>
    <row r="674" spans="1:6" x14ac:dyDescent="0.25">
      <c r="A674" s="30">
        <v>44169.790266203701</v>
      </c>
      <c r="B674" s="3" t="s">
        <v>1608</v>
      </c>
      <c r="C674" s="47" t="s">
        <v>2348</v>
      </c>
      <c r="D674" s="47">
        <v>0</v>
      </c>
      <c r="E674" s="47" t="s">
        <v>2348</v>
      </c>
      <c r="F674" s="3" t="s">
        <v>2336</v>
      </c>
    </row>
    <row r="675" spans="1:6" x14ac:dyDescent="0.25">
      <c r="A675" s="30">
        <v>44169.790266203701</v>
      </c>
      <c r="B675" s="3" t="s">
        <v>1614</v>
      </c>
      <c r="C675" s="47" t="s">
        <v>2348</v>
      </c>
      <c r="D675" s="47">
        <v>0</v>
      </c>
      <c r="E675" s="47" t="s">
        <v>2348</v>
      </c>
      <c r="F675" s="3" t="s">
        <v>2336</v>
      </c>
    </row>
    <row r="676" spans="1:6" x14ac:dyDescent="0.25">
      <c r="A676" s="30">
        <v>44169.790277777778</v>
      </c>
      <c r="B676" s="3" t="s">
        <v>181</v>
      </c>
      <c r="C676" s="47" t="s">
        <v>2361</v>
      </c>
      <c r="D676" s="47">
        <v>0</v>
      </c>
      <c r="E676" s="47" t="s">
        <v>2361</v>
      </c>
      <c r="F676" s="3" t="s">
        <v>2336</v>
      </c>
    </row>
    <row r="677" spans="1:6" x14ac:dyDescent="0.25">
      <c r="A677" s="30">
        <v>44169.790277777778</v>
      </c>
      <c r="B677" s="3" t="s">
        <v>1626</v>
      </c>
      <c r="C677" s="47" t="s">
        <v>2352</v>
      </c>
      <c r="D677" s="47">
        <v>0</v>
      </c>
      <c r="E677" s="47" t="s">
        <v>2352</v>
      </c>
      <c r="F677" s="3" t="s">
        <v>2336</v>
      </c>
    </row>
    <row r="678" spans="1:6" x14ac:dyDescent="0.25">
      <c r="A678" s="30">
        <v>44169.790289351855</v>
      </c>
      <c r="B678" s="3" t="s">
        <v>1633</v>
      </c>
      <c r="C678" s="47" t="s">
        <v>2348</v>
      </c>
      <c r="D678" s="47">
        <v>0</v>
      </c>
      <c r="E678" s="47" t="s">
        <v>2348</v>
      </c>
      <c r="F678" s="3" t="s">
        <v>2336</v>
      </c>
    </row>
    <row r="679" spans="1:6" x14ac:dyDescent="0.25">
      <c r="A679" s="30">
        <v>44169.790289351855</v>
      </c>
      <c r="B679" s="3" t="s">
        <v>1639</v>
      </c>
      <c r="C679" s="47" t="s">
        <v>2348</v>
      </c>
      <c r="D679" s="47">
        <v>0</v>
      </c>
      <c r="E679" s="47" t="s">
        <v>2348</v>
      </c>
      <c r="F679" s="3" t="s">
        <v>2336</v>
      </c>
    </row>
    <row r="680" spans="1:6" x14ac:dyDescent="0.25">
      <c r="A680" s="30">
        <v>44169.790300925924</v>
      </c>
      <c r="B680" s="3" t="s">
        <v>1645</v>
      </c>
      <c r="C680" s="47" t="s">
        <v>2348</v>
      </c>
      <c r="D680" s="47">
        <v>0</v>
      </c>
      <c r="E680" s="47" t="s">
        <v>2348</v>
      </c>
      <c r="F680" s="3" t="s">
        <v>2336</v>
      </c>
    </row>
    <row r="681" spans="1:6" x14ac:dyDescent="0.25">
      <c r="A681" s="30">
        <v>44169.790300925924</v>
      </c>
      <c r="B681" s="3" t="s">
        <v>1651</v>
      </c>
      <c r="C681" s="47" t="s">
        <v>2348</v>
      </c>
      <c r="D681" s="47">
        <v>0</v>
      </c>
      <c r="E681" s="47" t="s">
        <v>2348</v>
      </c>
      <c r="F681" s="3" t="s">
        <v>2336</v>
      </c>
    </row>
    <row r="682" spans="1:6" x14ac:dyDescent="0.25">
      <c r="A682" s="30">
        <v>44169.790312500001</v>
      </c>
      <c r="B682" s="3" t="s">
        <v>1657</v>
      </c>
      <c r="C682" s="47" t="s">
        <v>2348</v>
      </c>
      <c r="D682" s="47">
        <v>0</v>
      </c>
      <c r="E682" s="47" t="s">
        <v>2348</v>
      </c>
      <c r="F682" s="3" t="s">
        <v>2336</v>
      </c>
    </row>
    <row r="683" spans="1:6" x14ac:dyDescent="0.25">
      <c r="A683" s="30">
        <v>44169.790312500001</v>
      </c>
      <c r="B683" s="3" t="s">
        <v>1663</v>
      </c>
      <c r="C683" s="47" t="s">
        <v>2348</v>
      </c>
      <c r="D683" s="47">
        <v>0</v>
      </c>
      <c r="E683" s="47" t="s">
        <v>2348</v>
      </c>
      <c r="F683" s="3" t="s">
        <v>2336</v>
      </c>
    </row>
    <row r="684" spans="1:6" x14ac:dyDescent="0.25">
      <c r="A684" s="30">
        <v>44169.790324074071</v>
      </c>
      <c r="B684" s="3" t="s">
        <v>1669</v>
      </c>
      <c r="C684" s="47" t="s">
        <v>2348</v>
      </c>
      <c r="D684" s="47">
        <v>0</v>
      </c>
      <c r="E684" s="47" t="s">
        <v>2348</v>
      </c>
      <c r="F684" s="3" t="s">
        <v>2336</v>
      </c>
    </row>
    <row r="685" spans="1:6" x14ac:dyDescent="0.25">
      <c r="A685" s="30">
        <v>44169.790324074071</v>
      </c>
      <c r="B685" s="3" t="s">
        <v>1675</v>
      </c>
      <c r="C685" s="47" t="s">
        <v>2348</v>
      </c>
      <c r="D685" s="47">
        <v>0</v>
      </c>
      <c r="E685" s="47" t="s">
        <v>2348</v>
      </c>
      <c r="F685" s="3" t="s">
        <v>2336</v>
      </c>
    </row>
    <row r="686" spans="1:6" x14ac:dyDescent="0.25">
      <c r="A686" s="30">
        <v>44169.790335648147</v>
      </c>
      <c r="B686" s="3" t="s">
        <v>1681</v>
      </c>
      <c r="C686" s="47" t="s">
        <v>2348</v>
      </c>
      <c r="D686" s="47">
        <v>0</v>
      </c>
      <c r="E686" s="47" t="s">
        <v>2348</v>
      </c>
      <c r="F686" s="3" t="s">
        <v>2336</v>
      </c>
    </row>
    <row r="687" spans="1:6" x14ac:dyDescent="0.25">
      <c r="A687" s="30">
        <v>44169.790335648147</v>
      </c>
      <c r="B687" s="3" t="s">
        <v>1687</v>
      </c>
      <c r="C687" s="47" t="s">
        <v>2348</v>
      </c>
      <c r="D687" s="47">
        <v>0</v>
      </c>
      <c r="E687" s="47" t="s">
        <v>2348</v>
      </c>
      <c r="F687" s="3" t="s">
        <v>2336</v>
      </c>
    </row>
    <row r="688" spans="1:6" x14ac:dyDescent="0.25">
      <c r="A688" s="30">
        <v>44169.790335648147</v>
      </c>
      <c r="B688" s="3" t="s">
        <v>1693</v>
      </c>
      <c r="C688" s="47" t="s">
        <v>2352</v>
      </c>
      <c r="D688" s="47">
        <v>0</v>
      </c>
      <c r="E688" s="47" t="s">
        <v>2352</v>
      </c>
      <c r="F688" s="3" t="s">
        <v>2336</v>
      </c>
    </row>
    <row r="689" spans="1:6" x14ac:dyDescent="0.25">
      <c r="A689" s="30">
        <v>44169.790347222224</v>
      </c>
      <c r="B689" s="3" t="s">
        <v>1700</v>
      </c>
      <c r="C689" s="47" t="s">
        <v>2348</v>
      </c>
      <c r="D689" s="47">
        <v>0</v>
      </c>
      <c r="E689" s="47" t="s">
        <v>2348</v>
      </c>
      <c r="F689" s="3" t="s">
        <v>2336</v>
      </c>
    </row>
    <row r="690" spans="1:6" x14ac:dyDescent="0.25">
      <c r="A690" s="30">
        <v>44169.790347222224</v>
      </c>
      <c r="B690" s="3" t="s">
        <v>1706</v>
      </c>
      <c r="C690" s="47" t="s">
        <v>2348</v>
      </c>
      <c r="D690" s="47">
        <v>0</v>
      </c>
      <c r="E690" s="47" t="s">
        <v>2348</v>
      </c>
      <c r="F690" s="3" t="s">
        <v>2336</v>
      </c>
    </row>
    <row r="691" spans="1:6" x14ac:dyDescent="0.25">
      <c r="A691" s="30">
        <v>44169.790358796294</v>
      </c>
      <c r="B691" s="3" t="s">
        <v>1712</v>
      </c>
      <c r="C691" s="47" t="s">
        <v>2348</v>
      </c>
      <c r="D691" s="47">
        <v>0</v>
      </c>
      <c r="E691" s="47" t="s">
        <v>2348</v>
      </c>
      <c r="F691" s="3" t="s">
        <v>2336</v>
      </c>
    </row>
    <row r="692" spans="1:6" x14ac:dyDescent="0.25">
      <c r="A692" s="30">
        <v>44169.790358796294</v>
      </c>
      <c r="B692" s="3" t="s">
        <v>1718</v>
      </c>
      <c r="C692" s="47" t="s">
        <v>2348</v>
      </c>
      <c r="D692" s="47">
        <v>0</v>
      </c>
      <c r="E692" s="47" t="s">
        <v>2348</v>
      </c>
      <c r="F692" s="3" t="s">
        <v>2336</v>
      </c>
    </row>
    <row r="693" spans="1:6" x14ac:dyDescent="0.25">
      <c r="A693" s="30">
        <v>44169.790370370371</v>
      </c>
      <c r="B693" s="3" t="s">
        <v>1724</v>
      </c>
      <c r="C693" s="47" t="s">
        <v>2348</v>
      </c>
      <c r="D693" s="47">
        <v>0</v>
      </c>
      <c r="E693" s="47" t="s">
        <v>2348</v>
      </c>
      <c r="F693" s="3" t="s">
        <v>2336</v>
      </c>
    </row>
    <row r="694" spans="1:6" x14ac:dyDescent="0.25">
      <c r="A694" s="30">
        <v>44169.790370370371</v>
      </c>
      <c r="B694" s="3" t="s">
        <v>1730</v>
      </c>
      <c r="C694" s="47" t="s">
        <v>2348</v>
      </c>
      <c r="D694" s="47">
        <v>0</v>
      </c>
      <c r="E694" s="47" t="s">
        <v>2348</v>
      </c>
      <c r="F694" s="3" t="s">
        <v>2336</v>
      </c>
    </row>
    <row r="695" spans="1:6" x14ac:dyDescent="0.25">
      <c r="A695" s="30">
        <v>44169.790381944447</v>
      </c>
      <c r="B695" s="3" t="s">
        <v>1736</v>
      </c>
      <c r="C695" s="47" t="s">
        <v>2348</v>
      </c>
      <c r="D695" s="47">
        <v>0</v>
      </c>
      <c r="E695" s="47" t="s">
        <v>2348</v>
      </c>
      <c r="F695" s="3" t="s">
        <v>2336</v>
      </c>
    </row>
    <row r="696" spans="1:6" x14ac:dyDescent="0.25">
      <c r="A696" s="30">
        <v>44169.790381944447</v>
      </c>
      <c r="B696" s="3" t="s">
        <v>1742</v>
      </c>
      <c r="C696" s="47" t="s">
        <v>2348</v>
      </c>
      <c r="D696" s="47">
        <v>0</v>
      </c>
      <c r="E696" s="47" t="s">
        <v>2348</v>
      </c>
      <c r="F696" s="3" t="s">
        <v>2336</v>
      </c>
    </row>
    <row r="697" spans="1:6" x14ac:dyDescent="0.25">
      <c r="A697" s="30">
        <v>44169.790393518517</v>
      </c>
      <c r="B697" s="3" t="s">
        <v>1748</v>
      </c>
      <c r="C697" s="47" t="s">
        <v>2348</v>
      </c>
      <c r="D697" s="47">
        <v>0</v>
      </c>
      <c r="E697" s="47" t="s">
        <v>2348</v>
      </c>
      <c r="F697" s="3" t="s">
        <v>2336</v>
      </c>
    </row>
    <row r="698" spans="1:6" x14ac:dyDescent="0.25">
      <c r="A698" s="30">
        <v>44169.790393518517</v>
      </c>
      <c r="B698" s="3" t="s">
        <v>1754</v>
      </c>
      <c r="C698" s="47" t="s">
        <v>2348</v>
      </c>
      <c r="D698" s="47">
        <v>0</v>
      </c>
      <c r="E698" s="47" t="s">
        <v>2348</v>
      </c>
      <c r="F698" s="3" t="s">
        <v>2336</v>
      </c>
    </row>
    <row r="699" spans="1:6" x14ac:dyDescent="0.25">
      <c r="A699" s="30">
        <v>44169.790405092594</v>
      </c>
      <c r="B699" s="3" t="s">
        <v>1760</v>
      </c>
      <c r="C699" s="47" t="s">
        <v>2348</v>
      </c>
      <c r="D699" s="47">
        <v>0</v>
      </c>
      <c r="E699" s="47" t="s">
        <v>2348</v>
      </c>
      <c r="F699" s="3" t="s">
        <v>2336</v>
      </c>
    </row>
    <row r="700" spans="1:6" x14ac:dyDescent="0.25">
      <c r="A700" s="30">
        <v>44169.790405092594</v>
      </c>
      <c r="B700" s="3" t="s">
        <v>1766</v>
      </c>
      <c r="C700" s="47" t="s">
        <v>2348</v>
      </c>
      <c r="D700" s="47">
        <v>0</v>
      </c>
      <c r="E700" s="47" t="s">
        <v>2348</v>
      </c>
      <c r="F700" s="3" t="s">
        <v>2336</v>
      </c>
    </row>
    <row r="701" spans="1:6" x14ac:dyDescent="0.25">
      <c r="A701" s="30">
        <v>44169.790405092594</v>
      </c>
      <c r="B701" s="3" t="s">
        <v>1772</v>
      </c>
      <c r="C701" s="47" t="s">
        <v>2348</v>
      </c>
      <c r="D701" s="47">
        <v>0</v>
      </c>
      <c r="E701" s="47" t="s">
        <v>2348</v>
      </c>
      <c r="F701" s="3" t="s">
        <v>2336</v>
      </c>
    </row>
    <row r="702" spans="1:6" x14ac:dyDescent="0.25">
      <c r="A702" s="30">
        <v>44169.790416666663</v>
      </c>
      <c r="B702" s="3" t="s">
        <v>1778</v>
      </c>
      <c r="C702" s="47" t="s">
        <v>2348</v>
      </c>
      <c r="D702" s="47">
        <v>0</v>
      </c>
      <c r="E702" s="47" t="s">
        <v>2348</v>
      </c>
      <c r="F702" s="3" t="s">
        <v>2336</v>
      </c>
    </row>
    <row r="703" spans="1:6" x14ac:dyDescent="0.25">
      <c r="A703" s="30">
        <v>44169.790416666663</v>
      </c>
      <c r="B703" s="3" t="s">
        <v>184</v>
      </c>
      <c r="C703" s="47" t="s">
        <v>2352</v>
      </c>
      <c r="D703" s="47">
        <v>0</v>
      </c>
      <c r="E703" s="47" t="s">
        <v>2352</v>
      </c>
      <c r="F703" s="3" t="s">
        <v>2336</v>
      </c>
    </row>
    <row r="704" spans="1:6" x14ac:dyDescent="0.25">
      <c r="A704" s="30">
        <v>44169.79042824074</v>
      </c>
      <c r="B704" s="3" t="s">
        <v>1790</v>
      </c>
      <c r="C704" s="47" t="s">
        <v>2348</v>
      </c>
      <c r="D704" s="47">
        <v>0</v>
      </c>
      <c r="E704" s="47" t="s">
        <v>2348</v>
      </c>
      <c r="F704" s="3" t="s">
        <v>2336</v>
      </c>
    </row>
    <row r="705" spans="1:6" x14ac:dyDescent="0.25">
      <c r="A705" s="30">
        <v>44169.79042824074</v>
      </c>
      <c r="B705" s="3" t="s">
        <v>1796</v>
      </c>
      <c r="C705" s="47" t="s">
        <v>2348</v>
      </c>
      <c r="D705" s="47">
        <v>0</v>
      </c>
      <c r="E705" s="47" t="s">
        <v>2348</v>
      </c>
      <c r="F705" s="3" t="s">
        <v>2336</v>
      </c>
    </row>
    <row r="706" spans="1:6" x14ac:dyDescent="0.25">
      <c r="A706" s="30">
        <v>44169.790439814817</v>
      </c>
      <c r="B706" s="3" t="s">
        <v>1802</v>
      </c>
      <c r="C706" s="47" t="s">
        <v>2348</v>
      </c>
      <c r="D706" s="47">
        <v>0</v>
      </c>
      <c r="E706" s="47" t="s">
        <v>2348</v>
      </c>
      <c r="F706" s="3" t="s">
        <v>2336</v>
      </c>
    </row>
    <row r="707" spans="1:6" x14ac:dyDescent="0.25">
      <c r="A707" s="30">
        <v>44169.790439814817</v>
      </c>
      <c r="B707" s="3" t="s">
        <v>1808</v>
      </c>
      <c r="C707" s="47" t="s">
        <v>2348</v>
      </c>
      <c r="D707" s="47">
        <v>0</v>
      </c>
      <c r="E707" s="47" t="s">
        <v>2348</v>
      </c>
      <c r="F707" s="3" t="s">
        <v>2336</v>
      </c>
    </row>
    <row r="708" spans="1:6" x14ac:dyDescent="0.25">
      <c r="A708" s="30">
        <v>44169.790451388886</v>
      </c>
      <c r="B708" s="3" t="s">
        <v>1814</v>
      </c>
      <c r="C708" s="47" t="s">
        <v>2348</v>
      </c>
      <c r="D708" s="47">
        <v>0</v>
      </c>
      <c r="E708" s="47" t="s">
        <v>2348</v>
      </c>
      <c r="F708" s="3" t="s">
        <v>2336</v>
      </c>
    </row>
    <row r="709" spans="1:6" x14ac:dyDescent="0.25">
      <c r="A709" s="30">
        <v>44169.790451388886</v>
      </c>
      <c r="B709" s="3" t="s">
        <v>1820</v>
      </c>
      <c r="C709" s="47" t="s">
        <v>2348</v>
      </c>
      <c r="D709" s="47">
        <v>0</v>
      </c>
      <c r="E709" s="47" t="s">
        <v>2348</v>
      </c>
      <c r="F709" s="3" t="s">
        <v>2336</v>
      </c>
    </row>
    <row r="710" spans="1:6" x14ac:dyDescent="0.25">
      <c r="A710" s="30">
        <v>44169.790462962963</v>
      </c>
      <c r="B710" s="3" t="s">
        <v>1826</v>
      </c>
      <c r="C710" s="47" t="s">
        <v>2348</v>
      </c>
      <c r="D710" s="47">
        <v>0</v>
      </c>
      <c r="E710" s="47" t="s">
        <v>2348</v>
      </c>
      <c r="F710" s="3" t="s">
        <v>2336</v>
      </c>
    </row>
    <row r="711" spans="1:6" x14ac:dyDescent="0.25">
      <c r="A711" s="30">
        <v>44169.790462962963</v>
      </c>
      <c r="B711" s="3" t="s">
        <v>1832</v>
      </c>
      <c r="C711" s="47" t="s">
        <v>2348</v>
      </c>
      <c r="D711" s="47">
        <v>0</v>
      </c>
      <c r="E711" s="47" t="s">
        <v>2348</v>
      </c>
      <c r="F711" s="3" t="s">
        <v>2336</v>
      </c>
    </row>
    <row r="712" spans="1:6" x14ac:dyDescent="0.25">
      <c r="A712" s="30">
        <v>44169.79047453704</v>
      </c>
      <c r="B712" s="3" t="s">
        <v>1838</v>
      </c>
      <c r="C712" s="47" t="s">
        <v>2348</v>
      </c>
      <c r="D712" s="47">
        <v>0</v>
      </c>
      <c r="E712" s="47" t="s">
        <v>2348</v>
      </c>
      <c r="F712" s="3" t="s">
        <v>2336</v>
      </c>
    </row>
    <row r="713" spans="1:6" x14ac:dyDescent="0.25">
      <c r="A713" s="30">
        <v>44169.79047453704</v>
      </c>
      <c r="B713" s="3" t="s">
        <v>1844</v>
      </c>
      <c r="C713" s="47" t="s">
        <v>2348</v>
      </c>
      <c r="D713" s="47">
        <v>0</v>
      </c>
      <c r="E713" s="47" t="s">
        <v>2348</v>
      </c>
      <c r="F713" s="3" t="s">
        <v>2336</v>
      </c>
    </row>
    <row r="714" spans="1:6" x14ac:dyDescent="0.25">
      <c r="A714" s="30">
        <v>44169.790486111109</v>
      </c>
      <c r="B714" s="3" t="s">
        <v>1850</v>
      </c>
      <c r="C714" s="47" t="s">
        <v>2348</v>
      </c>
      <c r="D714" s="47">
        <v>0</v>
      </c>
      <c r="E714" s="47" t="s">
        <v>2348</v>
      </c>
      <c r="F714" s="3" t="s">
        <v>2336</v>
      </c>
    </row>
    <row r="715" spans="1:6" x14ac:dyDescent="0.25">
      <c r="A715" s="30">
        <v>44169.790486111109</v>
      </c>
      <c r="B715" s="3" t="s">
        <v>1856</v>
      </c>
      <c r="C715" s="47" t="s">
        <v>2348</v>
      </c>
      <c r="D715" s="47">
        <v>0</v>
      </c>
      <c r="E715" s="47" t="s">
        <v>2348</v>
      </c>
      <c r="F715" s="3" t="s">
        <v>2336</v>
      </c>
    </row>
    <row r="716" spans="1:6" x14ac:dyDescent="0.25">
      <c r="A716" s="30">
        <v>44169.790497685186</v>
      </c>
      <c r="B716" s="3" t="s">
        <v>192</v>
      </c>
      <c r="C716" s="47" t="s">
        <v>2362</v>
      </c>
      <c r="D716" s="47">
        <v>0</v>
      </c>
      <c r="E716" s="47" t="s">
        <v>2362</v>
      </c>
      <c r="F716" s="3" t="s">
        <v>2336</v>
      </c>
    </row>
    <row r="717" spans="1:6" x14ac:dyDescent="0.25">
      <c r="A717" s="30">
        <v>44169.790497685186</v>
      </c>
      <c r="B717" s="3" t="s">
        <v>1868</v>
      </c>
      <c r="C717" s="47" t="s">
        <v>2352</v>
      </c>
      <c r="D717" s="47">
        <v>0</v>
      </c>
      <c r="E717" s="47" t="s">
        <v>2352</v>
      </c>
      <c r="F717" s="3" t="s">
        <v>2336</v>
      </c>
    </row>
    <row r="718" spans="1:6" x14ac:dyDescent="0.25">
      <c r="A718" s="30">
        <v>44169.790509259263</v>
      </c>
      <c r="B718" s="3" t="s">
        <v>1875</v>
      </c>
      <c r="C718" s="47" t="s">
        <v>2348</v>
      </c>
      <c r="D718" s="47">
        <v>0</v>
      </c>
      <c r="E718" s="47" t="s">
        <v>2348</v>
      </c>
      <c r="F718" s="3" t="s">
        <v>2336</v>
      </c>
    </row>
    <row r="719" spans="1:6" x14ac:dyDescent="0.25">
      <c r="A719" s="30">
        <v>44169.790509259263</v>
      </c>
      <c r="B719" s="3" t="s">
        <v>1881</v>
      </c>
      <c r="C719" s="47" t="s">
        <v>2348</v>
      </c>
      <c r="D719" s="47">
        <v>0</v>
      </c>
      <c r="E719" s="47" t="s">
        <v>2348</v>
      </c>
      <c r="F719" s="3" t="s">
        <v>2336</v>
      </c>
    </row>
    <row r="720" spans="1:6" x14ac:dyDescent="0.25">
      <c r="A720" s="30">
        <v>44169.790520833332</v>
      </c>
      <c r="B720" s="3" t="s">
        <v>1887</v>
      </c>
      <c r="C720" s="47" t="s">
        <v>2348</v>
      </c>
      <c r="D720" s="47">
        <v>0</v>
      </c>
      <c r="E720" s="47" t="s">
        <v>2348</v>
      </c>
      <c r="F720" s="3" t="s">
        <v>2336</v>
      </c>
    </row>
    <row r="721" spans="1:6" x14ac:dyDescent="0.25">
      <c r="A721" s="30">
        <v>44169.790520833332</v>
      </c>
      <c r="B721" s="3" t="s">
        <v>1893</v>
      </c>
      <c r="C721" s="47" t="s">
        <v>2348</v>
      </c>
      <c r="D721" s="47">
        <v>0</v>
      </c>
      <c r="E721" s="47" t="s">
        <v>2348</v>
      </c>
      <c r="F721" s="3" t="s">
        <v>2336</v>
      </c>
    </row>
    <row r="722" spans="1:6" x14ac:dyDescent="0.25">
      <c r="A722" s="30">
        <v>44169.790532407409</v>
      </c>
      <c r="B722" s="3" t="s">
        <v>1899</v>
      </c>
      <c r="C722" s="47" t="s">
        <v>2348</v>
      </c>
      <c r="D722" s="47">
        <v>0</v>
      </c>
      <c r="E722" s="47" t="s">
        <v>2348</v>
      </c>
      <c r="F722" s="3" t="s">
        <v>2336</v>
      </c>
    </row>
    <row r="723" spans="1:6" x14ac:dyDescent="0.25">
      <c r="A723" s="30">
        <v>44169.790532407409</v>
      </c>
      <c r="B723" s="3" t="s">
        <v>1905</v>
      </c>
      <c r="C723" s="47" t="s">
        <v>2348</v>
      </c>
      <c r="D723" s="47">
        <v>0</v>
      </c>
      <c r="E723" s="47" t="s">
        <v>2348</v>
      </c>
      <c r="F723" s="3" t="s">
        <v>2336</v>
      </c>
    </row>
    <row r="724" spans="1:6" x14ac:dyDescent="0.25">
      <c r="A724" s="30">
        <v>44169.790532407409</v>
      </c>
      <c r="B724" s="3" t="s">
        <v>1911</v>
      </c>
      <c r="C724" s="47" t="s">
        <v>2348</v>
      </c>
      <c r="D724" s="47">
        <v>0</v>
      </c>
      <c r="E724" s="47" t="s">
        <v>2348</v>
      </c>
      <c r="F724" s="3" t="s">
        <v>2336</v>
      </c>
    </row>
    <row r="725" spans="1:6" x14ac:dyDescent="0.25">
      <c r="A725" s="30">
        <v>44169.790543981479</v>
      </c>
      <c r="B725" s="3" t="s">
        <v>1917</v>
      </c>
      <c r="C725" s="47" t="s">
        <v>2348</v>
      </c>
      <c r="D725" s="47">
        <v>0</v>
      </c>
      <c r="E725" s="47" t="s">
        <v>2348</v>
      </c>
      <c r="F725" s="3" t="s">
        <v>2336</v>
      </c>
    </row>
    <row r="726" spans="1:6" x14ac:dyDescent="0.25">
      <c r="A726" s="30">
        <v>44169.790543981479</v>
      </c>
      <c r="B726" s="3" t="s">
        <v>1923</v>
      </c>
      <c r="C726" s="47" t="s">
        <v>2348</v>
      </c>
      <c r="D726" s="47">
        <v>0</v>
      </c>
      <c r="E726" s="47" t="s">
        <v>2348</v>
      </c>
      <c r="F726" s="3" t="s">
        <v>2336</v>
      </c>
    </row>
    <row r="727" spans="1:6" x14ac:dyDescent="0.25">
      <c r="A727" s="30">
        <v>44169.790555555555</v>
      </c>
      <c r="B727" s="3" t="s">
        <v>1929</v>
      </c>
      <c r="C727" s="47" t="s">
        <v>2348</v>
      </c>
      <c r="D727" s="47">
        <v>0</v>
      </c>
      <c r="E727" s="47" t="s">
        <v>2348</v>
      </c>
      <c r="F727" s="3" t="s">
        <v>2336</v>
      </c>
    </row>
    <row r="728" spans="1:6" x14ac:dyDescent="0.25">
      <c r="A728" s="30">
        <v>44169.790555555555</v>
      </c>
      <c r="B728" s="3" t="s">
        <v>1935</v>
      </c>
      <c r="C728" s="47" t="s">
        <v>2352</v>
      </c>
      <c r="D728" s="47">
        <v>0</v>
      </c>
      <c r="E728" s="47" t="s">
        <v>2352</v>
      </c>
      <c r="F728" s="3" t="s">
        <v>2336</v>
      </c>
    </row>
    <row r="729" spans="1:6" x14ac:dyDescent="0.25">
      <c r="A729" s="30">
        <v>44169.790567129632</v>
      </c>
      <c r="B729" s="3" t="s">
        <v>1942</v>
      </c>
      <c r="C729" s="47" t="s">
        <v>2348</v>
      </c>
      <c r="D729" s="47">
        <v>0</v>
      </c>
      <c r="E729" s="47" t="s">
        <v>2348</v>
      </c>
      <c r="F729" s="3" t="s">
        <v>2336</v>
      </c>
    </row>
    <row r="730" spans="1:6" x14ac:dyDescent="0.25">
      <c r="A730" s="30">
        <v>44169.790567129632</v>
      </c>
      <c r="B730" s="3" t="s">
        <v>1948</v>
      </c>
      <c r="C730" s="47" t="s">
        <v>2348</v>
      </c>
      <c r="D730" s="47">
        <v>0</v>
      </c>
      <c r="E730" s="47" t="s">
        <v>2348</v>
      </c>
      <c r="F730" s="3" t="s">
        <v>2336</v>
      </c>
    </row>
    <row r="731" spans="1:6" x14ac:dyDescent="0.25">
      <c r="A731" s="30">
        <v>44169.790578703702</v>
      </c>
      <c r="B731" s="3" t="s">
        <v>1954</v>
      </c>
      <c r="C731" s="47" t="s">
        <v>2348</v>
      </c>
      <c r="D731" s="47">
        <v>0</v>
      </c>
      <c r="E731" s="47" t="s">
        <v>2348</v>
      </c>
      <c r="F731" s="3" t="s">
        <v>2336</v>
      </c>
    </row>
    <row r="732" spans="1:6" x14ac:dyDescent="0.25">
      <c r="A732" s="30">
        <v>44169.790578703702</v>
      </c>
      <c r="B732" s="3" t="s">
        <v>1960</v>
      </c>
      <c r="C732" s="47" t="s">
        <v>2348</v>
      </c>
      <c r="D732" s="47">
        <v>0</v>
      </c>
      <c r="E732" s="47" t="s">
        <v>2348</v>
      </c>
      <c r="F732" s="3" t="s">
        <v>2336</v>
      </c>
    </row>
    <row r="733" spans="1:6" x14ac:dyDescent="0.25">
      <c r="A733" s="30">
        <v>44169.790590277778</v>
      </c>
      <c r="B733" s="3" t="s">
        <v>1966</v>
      </c>
      <c r="C733" s="47" t="s">
        <v>2348</v>
      </c>
      <c r="D733" s="47">
        <v>0</v>
      </c>
      <c r="E733" s="47" t="s">
        <v>2348</v>
      </c>
      <c r="F733" s="3" t="s">
        <v>2336</v>
      </c>
    </row>
    <row r="734" spans="1:6" x14ac:dyDescent="0.25">
      <c r="A734" s="30">
        <v>44169.790590277778</v>
      </c>
      <c r="B734" s="3" t="s">
        <v>1972</v>
      </c>
      <c r="C734" s="47" t="s">
        <v>2348</v>
      </c>
      <c r="D734" s="47">
        <v>0</v>
      </c>
      <c r="E734" s="47" t="s">
        <v>2348</v>
      </c>
      <c r="F734" s="3" t="s">
        <v>2336</v>
      </c>
    </row>
    <row r="735" spans="1:6" x14ac:dyDescent="0.25">
      <c r="A735" s="30">
        <v>44169.790601851855</v>
      </c>
      <c r="B735" s="3" t="s">
        <v>1978</v>
      </c>
      <c r="C735" s="47" t="s">
        <v>2348</v>
      </c>
      <c r="D735" s="47">
        <v>0</v>
      </c>
      <c r="E735" s="47" t="s">
        <v>2348</v>
      </c>
      <c r="F735" s="3" t="s">
        <v>2336</v>
      </c>
    </row>
    <row r="736" spans="1:6" x14ac:dyDescent="0.25">
      <c r="A736" s="30">
        <v>44169.790601851855</v>
      </c>
      <c r="B736" s="3" t="s">
        <v>1984</v>
      </c>
      <c r="C736" s="47" t="s">
        <v>2348</v>
      </c>
      <c r="D736" s="47">
        <v>0</v>
      </c>
      <c r="E736" s="47" t="s">
        <v>2348</v>
      </c>
      <c r="F736" s="3" t="s">
        <v>2336</v>
      </c>
    </row>
    <row r="737" spans="1:6" x14ac:dyDescent="0.25">
      <c r="A737" s="30">
        <v>44169.790613425925</v>
      </c>
      <c r="B737" s="3" t="s">
        <v>1990</v>
      </c>
      <c r="C737" s="47" t="s">
        <v>2348</v>
      </c>
      <c r="D737" s="47">
        <v>0</v>
      </c>
      <c r="E737" s="47" t="s">
        <v>2348</v>
      </c>
      <c r="F737" s="3" t="s">
        <v>2336</v>
      </c>
    </row>
    <row r="738" spans="1:6" x14ac:dyDescent="0.25">
      <c r="A738" s="30">
        <v>44169.790613425925</v>
      </c>
      <c r="B738" s="3" t="s">
        <v>1996</v>
      </c>
      <c r="C738" s="47" t="s">
        <v>2348</v>
      </c>
      <c r="D738" s="47">
        <v>0</v>
      </c>
      <c r="E738" s="47" t="s">
        <v>2348</v>
      </c>
      <c r="F738" s="3" t="s">
        <v>2336</v>
      </c>
    </row>
    <row r="739" spans="1:6" x14ac:dyDescent="0.25">
      <c r="A739" s="30">
        <v>44169.790625000001</v>
      </c>
      <c r="B739" s="3" t="s">
        <v>2002</v>
      </c>
      <c r="C739" s="47" t="s">
        <v>2348</v>
      </c>
      <c r="D739" s="47">
        <v>0</v>
      </c>
      <c r="E739" s="47" t="s">
        <v>2348</v>
      </c>
      <c r="F739" s="3" t="s">
        <v>2336</v>
      </c>
    </row>
    <row r="740" spans="1:6" x14ac:dyDescent="0.25">
      <c r="A740" s="30">
        <v>44169.790625000001</v>
      </c>
      <c r="B740" s="3" t="s">
        <v>2008</v>
      </c>
      <c r="C740" s="47" t="s">
        <v>2348</v>
      </c>
      <c r="D740" s="47">
        <v>0</v>
      </c>
      <c r="E740" s="47" t="s">
        <v>2348</v>
      </c>
      <c r="F740" s="3" t="s">
        <v>2336</v>
      </c>
    </row>
    <row r="741" spans="1:6" x14ac:dyDescent="0.25">
      <c r="A741" s="30">
        <v>44169.790625000001</v>
      </c>
      <c r="B741" s="3" t="s">
        <v>2014</v>
      </c>
      <c r="C741" s="47" t="s">
        <v>2348</v>
      </c>
      <c r="D741" s="47">
        <v>0</v>
      </c>
      <c r="E741" s="47" t="s">
        <v>2348</v>
      </c>
      <c r="F741" s="3" t="s">
        <v>2336</v>
      </c>
    </row>
    <row r="742" spans="1:6" x14ac:dyDescent="0.25">
      <c r="A742" s="30">
        <v>44169.790636574071</v>
      </c>
      <c r="B742" s="3" t="s">
        <v>2020</v>
      </c>
      <c r="C742" s="47" t="s">
        <v>2348</v>
      </c>
      <c r="D742" s="47">
        <v>0</v>
      </c>
      <c r="E742" s="47" t="s">
        <v>2348</v>
      </c>
      <c r="F742" s="3" t="s">
        <v>2336</v>
      </c>
    </row>
    <row r="743" spans="1:6" x14ac:dyDescent="0.25">
      <c r="A743" s="30">
        <v>44169.790636574071</v>
      </c>
      <c r="B743" s="3" t="s">
        <v>2026</v>
      </c>
      <c r="C743" s="47" t="s">
        <v>2352</v>
      </c>
      <c r="D743" s="47">
        <v>0</v>
      </c>
      <c r="E743" s="47" t="s">
        <v>2352</v>
      </c>
      <c r="F743" s="3" t="s">
        <v>2336</v>
      </c>
    </row>
    <row r="744" spans="1:6" x14ac:dyDescent="0.25">
      <c r="A744" s="30">
        <v>44169.790648148148</v>
      </c>
      <c r="B744" s="3" t="s">
        <v>2033</v>
      </c>
      <c r="C744" s="47" t="s">
        <v>2348</v>
      </c>
      <c r="D744" s="47">
        <v>0</v>
      </c>
      <c r="E744" s="47" t="s">
        <v>2348</v>
      </c>
      <c r="F744" s="3" t="s">
        <v>2336</v>
      </c>
    </row>
    <row r="745" spans="1:6" x14ac:dyDescent="0.25">
      <c r="A745" s="30">
        <v>44169.790648148148</v>
      </c>
      <c r="B745" s="3" t="s">
        <v>2039</v>
      </c>
      <c r="C745" s="47" t="s">
        <v>2348</v>
      </c>
      <c r="D745" s="47">
        <v>0</v>
      </c>
      <c r="E745" s="47" t="s">
        <v>2348</v>
      </c>
      <c r="F745" s="3" t="s">
        <v>2336</v>
      </c>
    </row>
    <row r="746" spans="1:6" x14ac:dyDescent="0.25">
      <c r="A746" s="30">
        <v>44169.790659722225</v>
      </c>
      <c r="B746" s="3" t="s">
        <v>2045</v>
      </c>
      <c r="C746" s="47" t="s">
        <v>2348</v>
      </c>
      <c r="D746" s="47">
        <v>0</v>
      </c>
      <c r="E746" s="47" t="s">
        <v>2348</v>
      </c>
      <c r="F746" s="3" t="s">
        <v>2336</v>
      </c>
    </row>
    <row r="747" spans="1:6" x14ac:dyDescent="0.25">
      <c r="A747" s="30">
        <v>44169.790659722225</v>
      </c>
      <c r="B747" s="3" t="s">
        <v>2051</v>
      </c>
      <c r="C747" s="47" t="s">
        <v>2348</v>
      </c>
      <c r="D747" s="47">
        <v>0</v>
      </c>
      <c r="E747" s="47" t="s">
        <v>2348</v>
      </c>
      <c r="F747" s="3" t="s">
        <v>2336</v>
      </c>
    </row>
    <row r="748" spans="1:6" x14ac:dyDescent="0.25">
      <c r="A748" s="30">
        <v>44169.790671296294</v>
      </c>
      <c r="B748" s="3" t="s">
        <v>2057</v>
      </c>
      <c r="C748" s="47" t="s">
        <v>2348</v>
      </c>
      <c r="D748" s="47">
        <v>0</v>
      </c>
      <c r="E748" s="47" t="s">
        <v>2348</v>
      </c>
      <c r="F748" s="3" t="s">
        <v>2336</v>
      </c>
    </row>
    <row r="749" spans="1:6" x14ac:dyDescent="0.25">
      <c r="A749" s="30">
        <v>44169.790671296294</v>
      </c>
      <c r="B749" s="3" t="s">
        <v>2063</v>
      </c>
      <c r="C749" s="47" t="s">
        <v>2348</v>
      </c>
      <c r="D749" s="47">
        <v>0</v>
      </c>
      <c r="E749" s="47" t="s">
        <v>2348</v>
      </c>
      <c r="F749" s="3" t="s">
        <v>2336</v>
      </c>
    </row>
    <row r="750" spans="1:6" x14ac:dyDescent="0.25">
      <c r="A750" s="30">
        <v>44169.790682870371</v>
      </c>
      <c r="B750" s="3" t="s">
        <v>2069</v>
      </c>
      <c r="C750" s="47" t="s">
        <v>2348</v>
      </c>
      <c r="D750" s="47">
        <v>0</v>
      </c>
      <c r="E750" s="47" t="s">
        <v>2348</v>
      </c>
      <c r="F750" s="3" t="s">
        <v>2336</v>
      </c>
    </row>
    <row r="751" spans="1:6" x14ac:dyDescent="0.25">
      <c r="A751" s="30">
        <v>44169.790682870371</v>
      </c>
      <c r="B751" s="3" t="s">
        <v>2075</v>
      </c>
      <c r="C751" s="47" t="s">
        <v>2348</v>
      </c>
      <c r="D751" s="47">
        <v>0</v>
      </c>
      <c r="E751" s="47" t="s">
        <v>2348</v>
      </c>
      <c r="F751" s="3" t="s">
        <v>2336</v>
      </c>
    </row>
    <row r="752" spans="1:6" x14ac:dyDescent="0.25">
      <c r="A752" s="30">
        <v>44169.790694444448</v>
      </c>
      <c r="B752" s="3" t="s">
        <v>2081</v>
      </c>
      <c r="C752" s="47" t="s">
        <v>2348</v>
      </c>
      <c r="D752" s="47">
        <v>0</v>
      </c>
      <c r="E752" s="47" t="s">
        <v>2348</v>
      </c>
      <c r="F752" s="3" t="s">
        <v>2336</v>
      </c>
    </row>
    <row r="753" spans="1:6" x14ac:dyDescent="0.25">
      <c r="A753" s="30">
        <v>44169.790694444448</v>
      </c>
      <c r="B753" s="3" t="s">
        <v>2087</v>
      </c>
      <c r="C753" s="47" t="s">
        <v>2348</v>
      </c>
      <c r="D753" s="47">
        <v>0</v>
      </c>
      <c r="E753" s="47" t="s">
        <v>2348</v>
      </c>
      <c r="F753" s="3" t="s">
        <v>2336</v>
      </c>
    </row>
    <row r="754" spans="1:6" x14ac:dyDescent="0.25">
      <c r="A754" s="30">
        <v>44169.790694444448</v>
      </c>
      <c r="B754" s="3" t="s">
        <v>2093</v>
      </c>
      <c r="C754" s="47" t="s">
        <v>2348</v>
      </c>
      <c r="D754" s="47">
        <v>0</v>
      </c>
      <c r="E754" s="47" t="s">
        <v>2348</v>
      </c>
      <c r="F754" s="3" t="s">
        <v>2336</v>
      </c>
    </row>
    <row r="755" spans="1:6" x14ac:dyDescent="0.25">
      <c r="A755" s="30">
        <v>44169.790706018517</v>
      </c>
      <c r="B755" s="3" t="s">
        <v>2099</v>
      </c>
      <c r="C755" s="47" t="s">
        <v>2359</v>
      </c>
      <c r="D755" s="47">
        <v>0</v>
      </c>
      <c r="E755" s="47" t="s">
        <v>2359</v>
      </c>
      <c r="F755" s="3" t="s">
        <v>2336</v>
      </c>
    </row>
    <row r="756" spans="1:6" x14ac:dyDescent="0.25">
      <c r="A756" s="30">
        <v>44169.790706018517</v>
      </c>
      <c r="B756" s="3" t="s">
        <v>193</v>
      </c>
      <c r="C756" s="47" t="s">
        <v>2359</v>
      </c>
      <c r="D756" s="47">
        <v>0</v>
      </c>
      <c r="E756" s="47" t="s">
        <v>2359</v>
      </c>
      <c r="F756" s="3" t="s">
        <v>2336</v>
      </c>
    </row>
    <row r="757" spans="1:6" x14ac:dyDescent="0.25">
      <c r="A757" s="30">
        <v>44169.790717592594</v>
      </c>
      <c r="B757" s="3" t="s">
        <v>2110</v>
      </c>
      <c r="C757" s="47" t="s">
        <v>2361</v>
      </c>
      <c r="D757" s="47">
        <v>0</v>
      </c>
      <c r="E757" s="47" t="s">
        <v>2361</v>
      </c>
      <c r="F757" s="3" t="s">
        <v>2336</v>
      </c>
    </row>
    <row r="758" spans="1:6" x14ac:dyDescent="0.25">
      <c r="A758" s="30">
        <v>44169.790717592594</v>
      </c>
      <c r="B758" s="3" t="s">
        <v>185</v>
      </c>
      <c r="C758" s="47" t="s">
        <v>2352</v>
      </c>
      <c r="D758" s="47">
        <v>0</v>
      </c>
      <c r="E758" s="47" t="s">
        <v>2352</v>
      </c>
      <c r="F758" s="3" t="s">
        <v>2336</v>
      </c>
    </row>
    <row r="759" spans="1:6" x14ac:dyDescent="0.25">
      <c r="A759" s="30">
        <v>44169.790729166663</v>
      </c>
      <c r="B759" s="3" t="s">
        <v>2121</v>
      </c>
      <c r="C759" s="47" t="s">
        <v>2360</v>
      </c>
      <c r="D759" s="47">
        <v>0</v>
      </c>
      <c r="E759" s="47" t="s">
        <v>2360</v>
      </c>
      <c r="F759" s="3" t="s">
        <v>2336</v>
      </c>
    </row>
    <row r="760" spans="1:6" x14ac:dyDescent="0.25">
      <c r="A760" s="30">
        <v>44169.790729166663</v>
      </c>
      <c r="B760" s="3" t="s">
        <v>163</v>
      </c>
      <c r="C760" s="47" t="s">
        <v>2360</v>
      </c>
      <c r="D760" s="47">
        <v>0</v>
      </c>
      <c r="E760" s="47" t="s">
        <v>2360</v>
      </c>
      <c r="F760" s="3" t="s">
        <v>2336</v>
      </c>
    </row>
    <row r="761" spans="1:6" x14ac:dyDescent="0.25">
      <c r="A761" s="30">
        <v>44169.79074074074</v>
      </c>
      <c r="B761" s="3" t="s">
        <v>191</v>
      </c>
      <c r="C761" s="47" t="s">
        <v>2372</v>
      </c>
      <c r="D761" s="47">
        <v>0</v>
      </c>
      <c r="E761" s="47" t="s">
        <v>2372</v>
      </c>
      <c r="F761" s="3" t="s">
        <v>2336</v>
      </c>
    </row>
    <row r="762" spans="1:6" x14ac:dyDescent="0.25">
      <c r="A762" s="30">
        <v>44169.79074074074</v>
      </c>
      <c r="B762" s="3" t="s">
        <v>264</v>
      </c>
      <c r="C762" s="47" t="s">
        <v>2361</v>
      </c>
      <c r="D762" s="47">
        <v>0</v>
      </c>
      <c r="E762" s="47" t="s">
        <v>2361</v>
      </c>
      <c r="F762" s="3" t="s">
        <v>2336</v>
      </c>
    </row>
    <row r="763" spans="1:6" x14ac:dyDescent="0.25">
      <c r="A763" s="30">
        <v>44169.790752314817</v>
      </c>
      <c r="B763" s="3" t="s">
        <v>190</v>
      </c>
      <c r="C763" s="47" t="s">
        <v>2360</v>
      </c>
      <c r="D763" s="47">
        <v>0</v>
      </c>
      <c r="E763" s="47" t="s">
        <v>2360</v>
      </c>
      <c r="F763" s="3" t="s">
        <v>2336</v>
      </c>
    </row>
    <row r="764" spans="1:6" x14ac:dyDescent="0.25">
      <c r="A764" s="30">
        <v>44169.790752314817</v>
      </c>
      <c r="B764" s="3" t="s">
        <v>170</v>
      </c>
      <c r="C764" s="47" t="s">
        <v>2352</v>
      </c>
      <c r="D764" s="47">
        <v>0</v>
      </c>
      <c r="E764" s="47" t="s">
        <v>2352</v>
      </c>
      <c r="F764" s="3" t="s">
        <v>2336</v>
      </c>
    </row>
    <row r="765" spans="1:6" x14ac:dyDescent="0.25">
      <c r="A765" s="30">
        <v>44169.790763888886</v>
      </c>
      <c r="B765" s="3" t="s">
        <v>171</v>
      </c>
      <c r="C765" s="47" t="s">
        <v>2348</v>
      </c>
      <c r="D765" s="47">
        <v>0</v>
      </c>
      <c r="E765" s="47" t="s">
        <v>2348</v>
      </c>
      <c r="F765" s="3" t="s">
        <v>2336</v>
      </c>
    </row>
    <row r="766" spans="1:6" x14ac:dyDescent="0.25">
      <c r="A766" s="30">
        <v>44169.790763888886</v>
      </c>
      <c r="B766" s="3" t="s">
        <v>27</v>
      </c>
      <c r="C766" s="47" t="s">
        <v>2362</v>
      </c>
      <c r="D766" s="47">
        <v>0</v>
      </c>
      <c r="E766" s="47" t="s">
        <v>2362</v>
      </c>
      <c r="F766" s="3" t="s">
        <v>2336</v>
      </c>
    </row>
    <row r="767" spans="1:6" x14ac:dyDescent="0.25">
      <c r="A767" s="30">
        <v>44169.790775462963</v>
      </c>
      <c r="B767" s="3" t="s">
        <v>25</v>
      </c>
      <c r="C767" s="47" t="s">
        <v>2362</v>
      </c>
      <c r="D767" s="47">
        <v>0</v>
      </c>
      <c r="E767" s="47" t="s">
        <v>2362</v>
      </c>
      <c r="F767" s="3" t="s">
        <v>2336</v>
      </c>
    </row>
    <row r="768" spans="1:6" x14ac:dyDescent="0.25">
      <c r="A768" s="30">
        <v>44169.790775462963</v>
      </c>
      <c r="B768" s="3" t="s">
        <v>2166</v>
      </c>
      <c r="C768" s="47" t="s">
        <v>2348</v>
      </c>
      <c r="D768" s="47">
        <v>0</v>
      </c>
      <c r="E768" s="47" t="s">
        <v>2348</v>
      </c>
      <c r="F768" s="3" t="s">
        <v>2336</v>
      </c>
    </row>
    <row r="769" spans="1:6" x14ac:dyDescent="0.25">
      <c r="A769" s="30">
        <v>44169.79078703704</v>
      </c>
      <c r="B769" s="3" t="s">
        <v>28</v>
      </c>
      <c r="C769" s="47" t="s">
        <v>2360</v>
      </c>
      <c r="D769" s="47">
        <v>0</v>
      </c>
      <c r="E769" s="47" t="s">
        <v>2360</v>
      </c>
      <c r="F769" s="3" t="s">
        <v>2336</v>
      </c>
    </row>
    <row r="770" spans="1:6" x14ac:dyDescent="0.25">
      <c r="A770" s="30">
        <v>44169.79078703704</v>
      </c>
      <c r="B770" s="3" t="s">
        <v>24</v>
      </c>
      <c r="C770" s="47" t="s">
        <v>2362</v>
      </c>
      <c r="D770" s="47">
        <v>0</v>
      </c>
      <c r="E770" s="47" t="s">
        <v>2362</v>
      </c>
      <c r="F770" s="3" t="s">
        <v>2336</v>
      </c>
    </row>
    <row r="771" spans="1:6" x14ac:dyDescent="0.25">
      <c r="A771" s="30">
        <v>44169.790798611109</v>
      </c>
      <c r="B771" s="3" t="s">
        <v>2176</v>
      </c>
      <c r="C771" s="47" t="s">
        <v>2352</v>
      </c>
      <c r="D771" s="47">
        <v>0</v>
      </c>
      <c r="E771" s="47" t="s">
        <v>2352</v>
      </c>
      <c r="F771" s="3" t="s">
        <v>2336</v>
      </c>
    </row>
    <row r="772" spans="1:6" x14ac:dyDescent="0.25">
      <c r="A772" s="30">
        <v>44169.790798611109</v>
      </c>
      <c r="B772" s="3" t="s">
        <v>2183</v>
      </c>
      <c r="C772" s="47" t="s">
        <v>2352</v>
      </c>
      <c r="D772" s="47">
        <v>0</v>
      </c>
      <c r="E772" s="47" t="s">
        <v>2352</v>
      </c>
      <c r="F772" s="3" t="s">
        <v>2336</v>
      </c>
    </row>
    <row r="773" spans="1:6" x14ac:dyDescent="0.25">
      <c r="A773" s="30">
        <v>44169.790810185186</v>
      </c>
      <c r="B773" s="3" t="s">
        <v>2188</v>
      </c>
      <c r="C773" s="47" t="s">
        <v>2352</v>
      </c>
      <c r="D773" s="47">
        <v>0</v>
      </c>
      <c r="E773" s="47" t="s">
        <v>2352</v>
      </c>
      <c r="F773" s="3" t="s">
        <v>2336</v>
      </c>
    </row>
    <row r="774" spans="1:6" x14ac:dyDescent="0.25">
      <c r="A774" s="30">
        <v>44169.790810185186</v>
      </c>
      <c r="B774" s="3" t="s">
        <v>2330</v>
      </c>
      <c r="C774" s="47" t="s">
        <v>2369</v>
      </c>
      <c r="D774" s="47">
        <v>0</v>
      </c>
      <c r="E774" s="47" t="s">
        <v>2369</v>
      </c>
      <c r="F774" s="3" t="s">
        <v>2336</v>
      </c>
    </row>
    <row r="775" spans="1:6" x14ac:dyDescent="0.25">
      <c r="A775" s="30">
        <v>44169.790810185186</v>
      </c>
      <c r="B775" s="3" t="s">
        <v>234</v>
      </c>
      <c r="C775" s="47" t="s">
        <v>2369</v>
      </c>
      <c r="D775" s="47">
        <v>0</v>
      </c>
      <c r="E775" s="47" t="s">
        <v>2369</v>
      </c>
      <c r="F775" s="3" t="s">
        <v>2336</v>
      </c>
    </row>
    <row r="776" spans="1:6" x14ac:dyDescent="0.25">
      <c r="A776" s="30">
        <v>44169.790821759256</v>
      </c>
      <c r="B776" s="3" t="s">
        <v>2429</v>
      </c>
      <c r="C776" s="47" t="s">
        <v>2348</v>
      </c>
      <c r="D776" s="47">
        <v>0</v>
      </c>
      <c r="E776" s="47" t="s">
        <v>2348</v>
      </c>
      <c r="F776" s="3" t="s">
        <v>2336</v>
      </c>
    </row>
    <row r="777" spans="1:6" x14ac:dyDescent="0.25">
      <c r="A777" s="30">
        <v>44169.790821759256</v>
      </c>
      <c r="B777" s="3" t="s">
        <v>2200</v>
      </c>
      <c r="C777" s="47" t="s">
        <v>2348</v>
      </c>
      <c r="D777" s="47">
        <v>0</v>
      </c>
      <c r="E777" s="47" t="s">
        <v>2348</v>
      </c>
      <c r="F777" s="3" t="s">
        <v>2336</v>
      </c>
    </row>
    <row r="778" spans="1:6" x14ac:dyDescent="0.25">
      <c r="A778" s="30">
        <v>44169.790833333333</v>
      </c>
      <c r="B778" s="3" t="s">
        <v>2206</v>
      </c>
      <c r="C778" s="47" t="s">
        <v>2348</v>
      </c>
      <c r="D778" s="47">
        <v>0</v>
      </c>
      <c r="E778" s="47" t="s">
        <v>2348</v>
      </c>
      <c r="F778" s="3" t="s">
        <v>2336</v>
      </c>
    </row>
    <row r="779" spans="1:6" x14ac:dyDescent="0.25">
      <c r="A779" s="30">
        <v>44169.790833333333</v>
      </c>
      <c r="B779" s="3" t="s">
        <v>2210</v>
      </c>
      <c r="C779" s="47" t="s">
        <v>2348</v>
      </c>
      <c r="D779" s="47">
        <v>0</v>
      </c>
      <c r="E779" s="47" t="s">
        <v>2348</v>
      </c>
      <c r="F779" s="3" t="s">
        <v>2336</v>
      </c>
    </row>
    <row r="780" spans="1:6" x14ac:dyDescent="0.25">
      <c r="A780" s="30">
        <v>44169.790844907409</v>
      </c>
      <c r="B780" s="3" t="s">
        <v>2215</v>
      </c>
      <c r="C780" s="47" t="s">
        <v>2348</v>
      </c>
      <c r="D780" s="47">
        <v>0</v>
      </c>
      <c r="E780" s="47" t="s">
        <v>2348</v>
      </c>
      <c r="F780" s="3" t="s">
        <v>2336</v>
      </c>
    </row>
    <row r="781" spans="1:6" x14ac:dyDescent="0.25">
      <c r="A781" s="30">
        <v>44169.790844907409</v>
      </c>
      <c r="B781" s="3" t="s">
        <v>2219</v>
      </c>
      <c r="C781" s="47" t="s">
        <v>2347</v>
      </c>
      <c r="D781" s="47">
        <v>0</v>
      </c>
      <c r="E781" s="47" t="s">
        <v>2347</v>
      </c>
      <c r="F781" s="3" t="s">
        <v>2336</v>
      </c>
    </row>
    <row r="782" spans="1:6" x14ac:dyDescent="0.25">
      <c r="A782" s="30">
        <v>44169.790856481479</v>
      </c>
      <c r="B782" s="3" t="s">
        <v>2223</v>
      </c>
      <c r="C782" s="47" t="s">
        <v>2347</v>
      </c>
      <c r="D782" s="47">
        <v>0</v>
      </c>
      <c r="E782" s="47" t="s">
        <v>2347</v>
      </c>
      <c r="F782" s="3" t="s">
        <v>2336</v>
      </c>
    </row>
    <row r="783" spans="1:6" x14ac:dyDescent="0.25">
      <c r="A783" s="30">
        <v>44169.790856481479</v>
      </c>
      <c r="B783" s="3" t="s">
        <v>2227</v>
      </c>
      <c r="C783" s="47" t="s">
        <v>2347</v>
      </c>
      <c r="D783" s="47">
        <v>0</v>
      </c>
      <c r="E783" s="47" t="s">
        <v>2347</v>
      </c>
      <c r="F783" s="3" t="s">
        <v>2336</v>
      </c>
    </row>
    <row r="784" spans="1:6" x14ac:dyDescent="0.25">
      <c r="A784" s="30">
        <v>44169.790868055556</v>
      </c>
      <c r="B784" s="3" t="s">
        <v>2232</v>
      </c>
      <c r="C784" s="47" t="s">
        <v>2347</v>
      </c>
      <c r="D784" s="47">
        <v>0</v>
      </c>
      <c r="E784" s="47" t="s">
        <v>2347</v>
      </c>
      <c r="F784" s="3" t="s">
        <v>2336</v>
      </c>
    </row>
    <row r="785" spans="1:6" x14ac:dyDescent="0.25">
      <c r="A785" s="30">
        <v>44169.790868055556</v>
      </c>
      <c r="B785" s="3" t="s">
        <v>232</v>
      </c>
      <c r="C785" s="47" t="s">
        <v>2359</v>
      </c>
      <c r="D785" s="47">
        <v>0</v>
      </c>
      <c r="E785" s="47" t="s">
        <v>2359</v>
      </c>
      <c r="F785" s="3" t="s">
        <v>2336</v>
      </c>
    </row>
    <row r="786" spans="1:6" x14ac:dyDescent="0.25">
      <c r="A786" s="30">
        <v>44169.790879629632</v>
      </c>
      <c r="B786" s="3" t="s">
        <v>2238</v>
      </c>
      <c r="C786" s="47" t="s">
        <v>2350</v>
      </c>
      <c r="D786" s="47">
        <v>0</v>
      </c>
      <c r="E786" s="47" t="s">
        <v>2350</v>
      </c>
      <c r="F786" s="3" t="s">
        <v>2336</v>
      </c>
    </row>
    <row r="787" spans="1:6" x14ac:dyDescent="0.25">
      <c r="A787" s="30">
        <v>44169.790879629632</v>
      </c>
      <c r="B787" s="3" t="s">
        <v>2244</v>
      </c>
      <c r="C787" s="47" t="s">
        <v>2352</v>
      </c>
      <c r="D787" s="47">
        <v>0</v>
      </c>
      <c r="E787" s="47" t="s">
        <v>2352</v>
      </c>
      <c r="F787" s="3" t="s">
        <v>2336</v>
      </c>
    </row>
    <row r="788" spans="1:6" x14ac:dyDescent="0.25">
      <c r="A788" s="30">
        <v>44169.790891203702</v>
      </c>
      <c r="B788" s="3" t="s">
        <v>2249</v>
      </c>
      <c r="C788" s="47" t="s">
        <v>2431</v>
      </c>
      <c r="D788" s="47">
        <v>0</v>
      </c>
      <c r="E788" s="47" t="s">
        <v>2431</v>
      </c>
      <c r="F788" s="3" t="s">
        <v>2336</v>
      </c>
    </row>
    <row r="789" spans="1:6" x14ac:dyDescent="0.25">
      <c r="A789" s="30">
        <v>44169.790891203702</v>
      </c>
      <c r="B789" s="3" t="s">
        <v>922</v>
      </c>
      <c r="C789" s="47" t="s">
        <v>2358</v>
      </c>
      <c r="D789" s="47">
        <v>0</v>
      </c>
      <c r="E789" s="47" t="s">
        <v>2358</v>
      </c>
      <c r="F789" s="3" t="s">
        <v>2336</v>
      </c>
    </row>
    <row r="790" spans="1:6" x14ac:dyDescent="0.25">
      <c r="A790" s="30">
        <v>44169.790902777779</v>
      </c>
      <c r="B790" s="3" t="s">
        <v>59</v>
      </c>
      <c r="C790" s="47" t="s">
        <v>2369</v>
      </c>
      <c r="D790" s="47">
        <v>0</v>
      </c>
      <c r="E790" s="47" t="s">
        <v>2369</v>
      </c>
      <c r="F790" s="3" t="s">
        <v>2336</v>
      </c>
    </row>
    <row r="791" spans="1:6" x14ac:dyDescent="0.25">
      <c r="A791" s="30">
        <v>44169.790902777779</v>
      </c>
      <c r="B791" s="3" t="s">
        <v>2262</v>
      </c>
      <c r="C791" s="47" t="s">
        <v>2348</v>
      </c>
      <c r="D791" s="47">
        <v>0</v>
      </c>
      <c r="E791" s="47" t="s">
        <v>2348</v>
      </c>
      <c r="F791" s="3" t="s">
        <v>2336</v>
      </c>
    </row>
    <row r="792" spans="1:6" x14ac:dyDescent="0.25">
      <c r="A792" s="30">
        <v>44169.790914351855</v>
      </c>
      <c r="B792" s="3" t="s">
        <v>2266</v>
      </c>
      <c r="C792" s="47" t="s">
        <v>2347</v>
      </c>
      <c r="D792" s="47">
        <v>0</v>
      </c>
      <c r="E792" s="47" t="s">
        <v>2347</v>
      </c>
      <c r="F792" s="3" t="s">
        <v>2336</v>
      </c>
    </row>
    <row r="793" spans="1:6" x14ac:dyDescent="0.25">
      <c r="A793" s="30">
        <v>44169.790914351855</v>
      </c>
      <c r="B793" s="3" t="s">
        <v>2434</v>
      </c>
      <c r="C793" s="47" t="s">
        <v>2348</v>
      </c>
      <c r="D793" s="47">
        <v>0</v>
      </c>
      <c r="E793" s="47" t="s">
        <v>2348</v>
      </c>
      <c r="F793" s="3" t="s">
        <v>2336</v>
      </c>
    </row>
    <row r="794" spans="1:6" x14ac:dyDescent="0.25">
      <c r="A794" s="30">
        <v>44169.790925925925</v>
      </c>
      <c r="B794" s="3" t="s">
        <v>2275</v>
      </c>
      <c r="C794" s="47" t="s">
        <v>2347</v>
      </c>
      <c r="D794" s="47">
        <v>0</v>
      </c>
      <c r="E794" s="47" t="s">
        <v>2347</v>
      </c>
      <c r="F794" s="3" t="s">
        <v>2336</v>
      </c>
    </row>
    <row r="795" spans="1:6" x14ac:dyDescent="0.25">
      <c r="A795" s="30">
        <v>44169.790925925925</v>
      </c>
      <c r="B795" s="3" t="s">
        <v>2280</v>
      </c>
      <c r="C795" s="47" t="s">
        <v>2348</v>
      </c>
      <c r="D795" s="47">
        <v>0</v>
      </c>
      <c r="E795" s="47" t="s">
        <v>2348</v>
      </c>
      <c r="F795" s="3" t="s">
        <v>2336</v>
      </c>
    </row>
    <row r="796" spans="1:6" x14ac:dyDescent="0.25">
      <c r="A796" s="30">
        <v>44169.790937500002</v>
      </c>
      <c r="B796" s="3" t="s">
        <v>2285</v>
      </c>
      <c r="C796" s="47" t="s">
        <v>2347</v>
      </c>
      <c r="D796" s="47">
        <v>0</v>
      </c>
      <c r="E796" s="47" t="s">
        <v>2347</v>
      </c>
      <c r="F796" s="3" t="s">
        <v>2336</v>
      </c>
    </row>
    <row r="797" spans="1:6" x14ac:dyDescent="0.25">
      <c r="A797" s="30">
        <v>44169.790937500002</v>
      </c>
      <c r="B797" s="3" t="s">
        <v>22</v>
      </c>
      <c r="C797" s="47" t="s">
        <v>2435</v>
      </c>
      <c r="D797" s="47">
        <v>0</v>
      </c>
      <c r="E797" s="47" t="s">
        <v>2435</v>
      </c>
      <c r="F797" s="3" t="s">
        <v>2336</v>
      </c>
    </row>
    <row r="798" spans="1:6" x14ac:dyDescent="0.25">
      <c r="A798" s="30">
        <v>44169.790949074071</v>
      </c>
      <c r="B798" s="3" t="s">
        <v>21</v>
      </c>
      <c r="C798" s="47" t="s">
        <v>2436</v>
      </c>
      <c r="D798" s="47">
        <v>0</v>
      </c>
      <c r="E798" s="47" t="s">
        <v>2436</v>
      </c>
      <c r="F798" s="3" t="s">
        <v>2336</v>
      </c>
    </row>
    <row r="799" spans="1:6" x14ac:dyDescent="0.25">
      <c r="A799" s="30">
        <v>44169.790949074071</v>
      </c>
      <c r="B799" s="3" t="s">
        <v>2299</v>
      </c>
      <c r="C799" s="47" t="s">
        <v>2348</v>
      </c>
      <c r="D799" s="47">
        <v>0</v>
      </c>
      <c r="E799" s="47" t="s">
        <v>2348</v>
      </c>
      <c r="F799" s="3" t="s">
        <v>2336</v>
      </c>
    </row>
    <row r="800" spans="1:6" x14ac:dyDescent="0.25">
      <c r="A800" s="30">
        <v>44169.790960648148</v>
      </c>
      <c r="B800" s="3" t="s">
        <v>20</v>
      </c>
      <c r="C800" s="47" t="s">
        <v>2348</v>
      </c>
      <c r="D800" s="47">
        <v>0</v>
      </c>
      <c r="E800" s="47" t="s">
        <v>2348</v>
      </c>
      <c r="F800" s="3" t="s">
        <v>2336</v>
      </c>
    </row>
    <row r="801" spans="1:6" x14ac:dyDescent="0.25">
      <c r="A801" s="30">
        <v>44169.790960648148</v>
      </c>
      <c r="B801" s="3" t="s">
        <v>23</v>
      </c>
      <c r="C801" s="47" t="s">
        <v>2369</v>
      </c>
      <c r="D801" s="47">
        <v>0</v>
      </c>
      <c r="E801" s="47" t="s">
        <v>2369</v>
      </c>
      <c r="F801" s="3" t="s">
        <v>2336</v>
      </c>
    </row>
    <row r="802" spans="1:6" x14ac:dyDescent="0.25">
      <c r="A802" s="30">
        <v>44169.790972222225</v>
      </c>
      <c r="B802" s="3" t="s">
        <v>2315</v>
      </c>
      <c r="C802" s="47" t="s">
        <v>2367</v>
      </c>
      <c r="D802" s="47">
        <v>0</v>
      </c>
      <c r="E802" s="47" t="s">
        <v>2367</v>
      </c>
      <c r="F802" s="3" t="s">
        <v>2336</v>
      </c>
    </row>
    <row r="803" spans="1:6" x14ac:dyDescent="0.25">
      <c r="A803" s="30">
        <v>44169.790972222225</v>
      </c>
      <c r="B803" s="3" t="s">
        <v>2320</v>
      </c>
      <c r="C803" s="47" t="s">
        <v>2347</v>
      </c>
      <c r="D803" s="47">
        <v>0</v>
      </c>
      <c r="E803" s="47" t="s">
        <v>2347</v>
      </c>
      <c r="F803" s="3" t="s">
        <v>2336</v>
      </c>
    </row>
    <row r="804" spans="1:6" x14ac:dyDescent="0.25">
      <c r="A804" s="30">
        <v>44169.790983796294</v>
      </c>
      <c r="B804" s="3" t="s">
        <v>2326</v>
      </c>
      <c r="C804" s="47" t="s">
        <v>2358</v>
      </c>
      <c r="D804" s="47">
        <v>0</v>
      </c>
      <c r="E804" s="47" t="s">
        <v>2358</v>
      </c>
      <c r="F804" s="3" t="s">
        <v>2336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K24" sqref="K24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70" t="s">
        <v>123</v>
      </c>
      <c r="G2" s="16" t="s">
        <v>131</v>
      </c>
      <c r="J2" s="16" t="s">
        <v>130</v>
      </c>
    </row>
    <row r="3" spans="1:11" x14ac:dyDescent="0.25">
      <c r="B3" s="70"/>
      <c r="G3" s="17" t="s">
        <v>102</v>
      </c>
      <c r="H3" s="17" t="s">
        <v>2</v>
      </c>
      <c r="J3" s="17" t="s">
        <v>102</v>
      </c>
      <c r="K3" s="17" t="s">
        <v>2</v>
      </c>
    </row>
    <row r="4" spans="1:11" x14ac:dyDescent="0.25">
      <c r="G4" t="s">
        <v>259</v>
      </c>
      <c r="J4" t="s">
        <v>103</v>
      </c>
    </row>
    <row r="5" spans="1:11" x14ac:dyDescent="0.25">
      <c r="B5" s="70" t="s">
        <v>124</v>
      </c>
      <c r="G5" t="s">
        <v>260</v>
      </c>
      <c r="J5" t="s">
        <v>104</v>
      </c>
    </row>
    <row r="6" spans="1:11" x14ac:dyDescent="0.25">
      <c r="B6" s="70"/>
      <c r="G6" t="s">
        <v>256</v>
      </c>
      <c r="J6" t="s">
        <v>105</v>
      </c>
    </row>
    <row r="7" spans="1:11" x14ac:dyDescent="0.25">
      <c r="G7" t="s">
        <v>270</v>
      </c>
      <c r="J7" t="s">
        <v>106</v>
      </c>
    </row>
    <row r="8" spans="1:11" x14ac:dyDescent="0.25">
      <c r="B8" s="70" t="s">
        <v>125</v>
      </c>
      <c r="G8" t="s">
        <v>257</v>
      </c>
      <c r="J8" t="s">
        <v>107</v>
      </c>
    </row>
    <row r="9" spans="1:11" x14ac:dyDescent="0.25">
      <c r="B9" s="70"/>
      <c r="G9" t="s">
        <v>258</v>
      </c>
      <c r="J9" t="s">
        <v>109</v>
      </c>
    </row>
    <row r="10" spans="1:11" x14ac:dyDescent="0.25">
      <c r="J10" t="s">
        <v>110</v>
      </c>
    </row>
    <row r="11" spans="1:11" x14ac:dyDescent="0.25">
      <c r="A11" s="28"/>
      <c r="B11" s="70" t="s">
        <v>126</v>
      </c>
      <c r="J11" t="s">
        <v>111</v>
      </c>
    </row>
    <row r="12" spans="1:11" x14ac:dyDescent="0.25">
      <c r="A12" s="28"/>
      <c r="B12" s="70"/>
      <c r="J12" t="s">
        <v>112</v>
      </c>
    </row>
    <row r="13" spans="1:11" x14ac:dyDescent="0.25">
      <c r="J13" t="s">
        <v>113</v>
      </c>
    </row>
    <row r="14" spans="1:11" x14ac:dyDescent="0.25">
      <c r="B14" s="70" t="s">
        <v>152</v>
      </c>
      <c r="J14" t="s">
        <v>114</v>
      </c>
    </row>
    <row r="15" spans="1:11" x14ac:dyDescent="0.25">
      <c r="B15" s="70"/>
    </row>
    <row r="17" spans="2:2" x14ac:dyDescent="0.25">
      <c r="B17" s="70" t="s">
        <v>221</v>
      </c>
    </row>
    <row r="18" spans="2:2" x14ac:dyDescent="0.25">
      <c r="B18" s="70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5" sqref="L13:L15"/>
    </sheetView>
  </sheetViews>
  <sheetFormatPr defaultColWidth="9.140625" defaultRowHeight="15" x14ac:dyDescent="0.25"/>
  <cols>
    <col min="1" max="1" width="26.85546875" style="14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2" bestFit="1" customWidth="1"/>
    <col min="11" max="11" width="12.5703125" style="22" bestFit="1" customWidth="1"/>
    <col min="12" max="12" width="29" style="16" bestFit="1" customWidth="1"/>
    <col min="13" max="13" width="18.85546875" style="20" customWidth="1"/>
    <col min="14" max="14" width="16.5703125" style="20" customWidth="1"/>
  </cols>
  <sheetData>
    <row r="1" spans="1:14" ht="15.75" thickBot="1" x14ac:dyDescent="0.3">
      <c r="A1" s="1" t="s">
        <v>1</v>
      </c>
      <c r="B1" s="2" t="s">
        <v>122</v>
      </c>
      <c r="C1" s="2" t="s">
        <v>6</v>
      </c>
      <c r="D1" s="2" t="s">
        <v>4</v>
      </c>
      <c r="E1" s="2" t="s">
        <v>96</v>
      </c>
      <c r="F1" s="44" t="s">
        <v>2</v>
      </c>
      <c r="G1" s="2" t="s">
        <v>3</v>
      </c>
      <c r="H1" s="27" t="s">
        <v>119</v>
      </c>
      <c r="I1" s="15" t="s">
        <v>7</v>
      </c>
      <c r="J1" s="27" t="s">
        <v>37</v>
      </c>
      <c r="K1" s="24" t="s">
        <v>120</v>
      </c>
      <c r="L1" s="24" t="s">
        <v>204</v>
      </c>
      <c r="M1" s="19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1">
        <f>ROUNDUP(Table8[[#This Row],[Min Stock]]-Table8[[#This Row],[In stock]],0)</f>
        <v>0</v>
      </c>
      <c r="K2" s="23">
        <f>Table8[[#This Row],[Quantity]]*Table8[[#This Row],[Unit price]]</f>
        <v>0</v>
      </c>
      <c r="L2" s="25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1">
        <f>ROUNDUP(Table8[[#This Row],[Min Stock]]-Table8[[#This Row],[In stock]],0)</f>
        <v>0</v>
      </c>
      <c r="K3" s="23">
        <f>Table8[[#This Row],[Quantity]]*Table8[[#This Row],[Unit price]]</f>
        <v>0</v>
      </c>
      <c r="L3" s="25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121</v>
      </c>
      <c r="B4" s="4"/>
      <c r="C4" s="4"/>
      <c r="D4" s="4"/>
      <c r="E4" s="4"/>
      <c r="F4" s="4"/>
      <c r="G4" s="4"/>
      <c r="H4" s="4"/>
      <c r="I4" s="4"/>
      <c r="J4" s="23"/>
      <c r="K4" s="21">
        <f>SUBTOTAL(109,Table8[Total price])</f>
        <v>0</v>
      </c>
      <c r="L4" s="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D402"/>
  <sheetViews>
    <sheetView tabSelected="1" topLeftCell="B1" zoomScale="80" zoomScaleNormal="80" workbookViewId="0">
      <selection activeCell="D14" sqref="D14"/>
    </sheetView>
  </sheetViews>
  <sheetFormatPr defaultColWidth="9.140625" defaultRowHeight="15" x14ac:dyDescent="0.25"/>
  <cols>
    <col min="1" max="1" width="28.5703125" style="41" bestFit="1" customWidth="1"/>
    <col min="2" max="2" width="42.140625" style="41" bestFit="1" customWidth="1"/>
    <col min="3" max="3" width="9.85546875" style="41" bestFit="1" customWidth="1"/>
    <col min="4" max="4" width="115.140625" style="41" bestFit="1" customWidth="1"/>
    <col min="5" max="5" width="18.85546875" style="41" bestFit="1" customWidth="1"/>
    <col min="6" max="6" width="10.85546875" style="39" bestFit="1" customWidth="1"/>
    <col min="7" max="7" width="9.5703125" style="39" bestFit="1" customWidth="1"/>
    <col min="8" max="8" width="9.140625" style="39" bestFit="1" customWidth="1"/>
    <col min="9" max="9" width="34.42578125" style="39" bestFit="1" customWidth="1"/>
    <col min="10" max="10" width="15" style="67" bestFit="1" customWidth="1"/>
    <col min="11" max="11" width="18.42578125" style="41" bestFit="1" customWidth="1"/>
    <col min="12" max="12" width="40.5703125" style="41" bestFit="1" customWidth="1"/>
    <col min="13" max="13" width="34.42578125" style="41" bestFit="1" customWidth="1"/>
    <col min="14" max="14" width="21.5703125" style="67" bestFit="1" customWidth="1"/>
    <col min="15" max="15" width="40.5703125" style="67" bestFit="1" customWidth="1"/>
    <col min="16" max="16" width="82.7109375" style="67" bestFit="1" customWidth="1"/>
    <col min="17" max="17" width="10.140625" style="41" bestFit="1" customWidth="1"/>
    <col min="18" max="18" width="20.7109375" style="67" bestFit="1" customWidth="1"/>
    <col min="19" max="19" width="15.5703125" style="67" bestFit="1" customWidth="1"/>
    <col min="20" max="20" width="37.28515625" style="67" bestFit="1" customWidth="1"/>
    <col min="21" max="21" width="28.7109375" style="41" bestFit="1" customWidth="1"/>
    <col min="22" max="22" width="22.7109375" style="67" bestFit="1" customWidth="1"/>
    <col min="23" max="23" width="34.85546875" style="67" bestFit="1" customWidth="1"/>
    <col min="24" max="24" width="64.85546875" style="67" bestFit="1" customWidth="1"/>
    <col min="25" max="25" width="12.7109375" style="41" bestFit="1" customWidth="1"/>
    <col min="26" max="26" width="20.7109375" style="67" bestFit="1" customWidth="1"/>
    <col min="27" max="27" width="18.85546875" style="67" bestFit="1" customWidth="1"/>
    <col min="28" max="28" width="22.42578125" style="67" bestFit="1" customWidth="1"/>
    <col min="29" max="29" width="12" style="41" bestFit="1" customWidth="1"/>
    <col min="30" max="30" width="21.28515625" style="67" bestFit="1" customWidth="1"/>
    <col min="31" max="31" width="18" style="67" bestFit="1" customWidth="1"/>
    <col min="32" max="32" width="51.28515625" style="67" bestFit="1" customWidth="1"/>
    <col min="33" max="33" width="11.5703125" style="41" bestFit="1" customWidth="1"/>
    <col min="34" max="34" width="22.28515625" style="67" bestFit="1" customWidth="1"/>
    <col min="35" max="35" width="17.140625" style="67" bestFit="1" customWidth="1"/>
    <col min="36" max="36" width="52.42578125" style="67" bestFit="1" customWidth="1"/>
    <col min="37" max="37" width="15.85546875" style="67" bestFit="1" customWidth="1"/>
    <col min="38" max="38" width="26.7109375" style="67" bestFit="1" customWidth="1"/>
    <col min="39" max="39" width="21.5703125" style="67" bestFit="1" customWidth="1"/>
    <col min="40" max="40" width="28.42578125" style="67" bestFit="1" customWidth="1"/>
    <col min="41" max="41" width="13.140625" style="41" bestFit="1" customWidth="1"/>
    <col min="42" max="42" width="23.85546875" style="67" bestFit="1" customWidth="1"/>
    <col min="43" max="43" width="19.28515625" style="67" bestFit="1" customWidth="1"/>
    <col min="44" max="44" width="53.140625" style="67" bestFit="1" customWidth="1"/>
    <col min="45" max="45" width="12.85546875" style="41" bestFit="1" customWidth="1"/>
    <col min="46" max="46" width="23.5703125" style="67" bestFit="1" customWidth="1"/>
    <col min="47" max="47" width="18.42578125" style="67" bestFit="1" customWidth="1"/>
    <col min="48" max="48" width="50.28515625" style="67" bestFit="1" customWidth="1"/>
    <col min="49" max="49" width="16.28515625" style="67" bestFit="1" customWidth="1"/>
    <col min="50" max="50" width="14.42578125" style="41" bestFit="1" customWidth="1"/>
    <col min="51" max="51" width="19.5703125" style="67" bestFit="1" customWidth="1"/>
    <col min="52" max="52" width="14.42578125" style="67" bestFit="1" customWidth="1"/>
    <col min="53" max="53" width="21.28515625" style="67" bestFit="1" customWidth="1"/>
    <col min="54" max="54" width="15.28515625" style="40" bestFit="1" customWidth="1"/>
    <col min="55" max="55" width="12" style="40" bestFit="1" customWidth="1"/>
    <col min="56" max="56" width="19.42578125" style="40" bestFit="1" customWidth="1"/>
    <col min="57" max="60" width="9.140625" style="40"/>
    <col min="61" max="61" width="10" style="40" bestFit="1" customWidth="1"/>
    <col min="62" max="62" width="12" style="40" bestFit="1" customWidth="1"/>
    <col min="63" max="63" width="14" style="40" bestFit="1" customWidth="1"/>
    <col min="64" max="64" width="17.140625" style="40" bestFit="1" customWidth="1"/>
    <col min="65" max="16384" width="9.140625" style="40"/>
  </cols>
  <sheetData>
    <row r="1" spans="1:56" s="56" customFormat="1" ht="30" x14ac:dyDescent="0.25">
      <c r="A1" s="48" t="s">
        <v>1</v>
      </c>
      <c r="B1" s="48" t="s">
        <v>6</v>
      </c>
      <c r="C1" s="48" t="s">
        <v>96</v>
      </c>
      <c r="D1" s="48" t="s">
        <v>2</v>
      </c>
      <c r="E1" s="48" t="s">
        <v>150</v>
      </c>
      <c r="F1" s="48" t="s">
        <v>3</v>
      </c>
      <c r="G1" s="48" t="s">
        <v>108</v>
      </c>
      <c r="H1" s="48" t="s">
        <v>129</v>
      </c>
      <c r="I1" s="49" t="s">
        <v>127</v>
      </c>
      <c r="J1" s="49" t="s">
        <v>128</v>
      </c>
      <c r="K1" s="49" t="s">
        <v>271</v>
      </c>
      <c r="L1" s="49" t="s">
        <v>284</v>
      </c>
      <c r="M1" s="48" t="s">
        <v>32</v>
      </c>
      <c r="N1" s="48" t="s">
        <v>142</v>
      </c>
      <c r="O1" s="49" t="s">
        <v>272</v>
      </c>
      <c r="P1" s="49" t="s">
        <v>285</v>
      </c>
      <c r="Q1" s="48" t="s">
        <v>5</v>
      </c>
      <c r="R1" s="48" t="s">
        <v>143</v>
      </c>
      <c r="S1" s="50" t="s">
        <v>273</v>
      </c>
      <c r="T1" s="50" t="s">
        <v>286</v>
      </c>
      <c r="U1" s="48" t="s">
        <v>138</v>
      </c>
      <c r="V1" s="48" t="s">
        <v>144</v>
      </c>
      <c r="W1" s="49" t="s">
        <v>274</v>
      </c>
      <c r="X1" s="49" t="s">
        <v>287</v>
      </c>
      <c r="Y1" s="48" t="s">
        <v>137</v>
      </c>
      <c r="Z1" s="48" t="s">
        <v>145</v>
      </c>
      <c r="AA1" s="49" t="s">
        <v>275</v>
      </c>
      <c r="AB1" s="49" t="s">
        <v>288</v>
      </c>
      <c r="AC1" s="48" t="s">
        <v>139</v>
      </c>
      <c r="AD1" s="48" t="s">
        <v>146</v>
      </c>
      <c r="AE1" s="49" t="s">
        <v>276</v>
      </c>
      <c r="AF1" s="49" t="s">
        <v>289</v>
      </c>
      <c r="AG1" s="51" t="s">
        <v>266</v>
      </c>
      <c r="AH1" s="48" t="s">
        <v>277</v>
      </c>
      <c r="AI1" s="49" t="s">
        <v>278</v>
      </c>
      <c r="AJ1" s="49" t="s">
        <v>290</v>
      </c>
      <c r="AK1" s="48" t="s">
        <v>279</v>
      </c>
      <c r="AL1" s="52" t="s">
        <v>283</v>
      </c>
      <c r="AM1" s="49" t="s">
        <v>280</v>
      </c>
      <c r="AN1" s="49" t="s">
        <v>291</v>
      </c>
      <c r="AO1" s="48" t="s">
        <v>140</v>
      </c>
      <c r="AP1" s="48" t="s">
        <v>147</v>
      </c>
      <c r="AQ1" s="49" t="s">
        <v>295</v>
      </c>
      <c r="AR1" s="49" t="s">
        <v>292</v>
      </c>
      <c r="AS1" s="48" t="s">
        <v>33</v>
      </c>
      <c r="AT1" s="48" t="s">
        <v>148</v>
      </c>
      <c r="AU1" s="49" t="s">
        <v>281</v>
      </c>
      <c r="AV1" s="49" t="s">
        <v>293</v>
      </c>
      <c r="AW1" s="48" t="s">
        <v>203</v>
      </c>
      <c r="AX1" s="48" t="s">
        <v>141</v>
      </c>
      <c r="AY1" s="48" t="s">
        <v>149</v>
      </c>
      <c r="AZ1" s="49" t="s">
        <v>282</v>
      </c>
      <c r="BA1" s="48" t="s">
        <v>294</v>
      </c>
      <c r="BB1" s="53" t="s">
        <v>118</v>
      </c>
      <c r="BC1" s="54" t="s">
        <v>267</v>
      </c>
      <c r="BD1" s="55" t="s">
        <v>268</v>
      </c>
    </row>
    <row r="2" spans="1:56" x14ac:dyDescent="0.25">
      <c r="A2" s="68" t="s">
        <v>2346</v>
      </c>
      <c r="B2" s="57" t="s">
        <v>308</v>
      </c>
      <c r="C2" s="57" t="s">
        <v>97</v>
      </c>
      <c r="D2" s="57" t="s">
        <v>309</v>
      </c>
      <c r="E2" s="57" t="s">
        <v>310</v>
      </c>
      <c r="F2" s="58">
        <v>1</v>
      </c>
      <c r="G2" s="58"/>
      <c r="H2" s="58"/>
      <c r="I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32673925190</v>
      </c>
      <c r="J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</v>
      </c>
      <c r="K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(32673925190)</v>
      </c>
      <c r="M2" s="57"/>
      <c r="N2" s="59"/>
      <c r="O2" s="61" t="str">
        <f>IF(Table1[[#This Row],[Digikey]]="","", HYPERLINK(Table1[[#This Row],[Destination - Digikey]],_xlfn.CONCAT("Link (",Table1[[#This Row],[Digikey]],")")))</f>
        <v/>
      </c>
      <c r="P2" s="62" t="str">
        <f>_xlfn.CONCAT("https://www.digikey.ch/products/en?keywords=",Table1[[#This Row],[Digikey]])</f>
        <v>https://www.digikey.ch/products/en?keywords=</v>
      </c>
      <c r="Q2" s="57"/>
      <c r="R2" s="59"/>
      <c r="S2" s="61" t="str">
        <f>IF(Table1[[#This Row],[Farnell]]="","", HYPERLINK(Table1[[#This Row],[Destination - Farnell]],_xlfn.CONCAT("Link (",Table1[[#This Row],[Farnell]],")")))</f>
        <v/>
      </c>
      <c r="T2" s="62" t="str">
        <f>_xlfn.CONCAT("https://ch.farnell.com/fr-CH/",Table1[[#This Row],[Farnell]])</f>
        <v>https://ch.farnell.com/fr-CH/</v>
      </c>
      <c r="U2" s="57"/>
      <c r="V2" s="59"/>
      <c r="W2" s="61" t="str">
        <f>IF(Table1[[#This Row],[Distrelec]]="","", HYPERLINK(Table1[[#This Row],[Destination - Distrelec]],_xlfn.CONCAT("Link (",Table1[[#This Row],[Distrelec]],")")))</f>
        <v/>
      </c>
      <c r="X2" s="62" t="str">
        <f>_xlfn.CONCAT("https://www.distrelec.ch/search?q=",Table1[[#This Row],[Distrelec]])</f>
        <v>https://www.distrelec.ch/search?q=</v>
      </c>
      <c r="Y2" s="57"/>
      <c r="Z2" s="59"/>
      <c r="AA2" s="61" t="str">
        <f>IF(Table1[[#This Row],[Conrad]]="","", HYPERLINK(Table1[[#This Row],[Destination - Conrad]],_xlfn.CONCAT("Link (",Table1[[#This Row],[Conrad]],")")))</f>
        <v/>
      </c>
      <c r="AB2" s="62"/>
      <c r="AC2" s="57"/>
      <c r="AD2" s="59"/>
      <c r="AE2" s="61" t="str">
        <f>IF(Table1[[#This Row],[Mouser]]="","", HYPERLINK(Table1[[#This Row],[Destination - Mouser]],_xlfn.CONCAT("Link (",Table1[[#This Row],[Mouser]],")")))</f>
        <v/>
      </c>
      <c r="AF2" s="62" t="str">
        <f>_xlfn.CONCAT("https://www.mouser.ch/ProductDetail/",Table1[[#This Row],[Mouser]])</f>
        <v>https://www.mouser.ch/ProductDetail/</v>
      </c>
      <c r="AG2" s="57"/>
      <c r="AH2" s="59"/>
      <c r="AI2" s="61" t="str">
        <f>IF(Table1[[#This Row],[Bauhaus]]="","", HYPERLINK(Table1[[#This Row],[Destination - Bauhaus]],_xlfn.CONCAT("Link (",Table1[[#This Row],[Bauhaus]],")")))</f>
        <v/>
      </c>
      <c r="AJ2" s="62" t="str">
        <f>_xlfn.CONCAT("https://www.bauhaus.ch/fr/search?query=",Table1[[#This Row],[Bauhaus]])</f>
        <v>https://www.bauhaus.ch/fr/search?query=</v>
      </c>
      <c r="AK2" s="59"/>
      <c r="AL2" s="59"/>
      <c r="AM2" s="61" t="str">
        <f>IF(Table1[[#This Row],[BricoEtLoisirs]]="","", HYPERLINK(Table1[[#This Row],[Destination - BricoEtLoisirs]],_xlfn.CONCAT("Link (",Table1[[#This Row],[BricoEtLoisirs]],")")))</f>
        <v/>
      </c>
      <c r="AN2" s="62" t="str">
        <f>_xlfn.CONCAT("https://bricoetloisirs.ch/p/",Table1[[#This Row],[BricoEtLoisirs]])</f>
        <v>https://bricoetloisirs.ch/p/</v>
      </c>
      <c r="AO2" s="57" t="s">
        <v>2346</v>
      </c>
      <c r="AP2" s="59">
        <v>1</v>
      </c>
      <c r="AQ2" s="61" t="str">
        <f>IF(Table1[[#This Row],[Aliexpress]]="","", HYPERLINK(Table1[[#This Row],[Destination - Aliexpress]],_xlfn.CONCAT("Link (",Table1[[#This Row],[Aliexpress]],")")))</f>
        <v>Link (32673925190)</v>
      </c>
      <c r="AR2" s="62" t="str">
        <f>_xlfn.CONCAT("https://www.aliexpress.com/item/",Table1[[#This Row],[Aliexpress]],".html")</f>
        <v>https://www.aliexpress.com/item/32673925190.html</v>
      </c>
      <c r="AS2" s="57"/>
      <c r="AT2" s="59"/>
      <c r="AU2" s="61" t="str">
        <f>IF(Table1[[#This Row],[Banggood]]="","", HYPERLINK(Table1[[#This Row],[Destination - Banggood]],_xlfn.CONCAT("Link (",Table1[[#This Row],[Banggood]],")")))</f>
        <v/>
      </c>
      <c r="AV2" s="62" t="str">
        <f>_xlfn.CONCAT("https://www.banggood.com/search/",Table1[[#This Row],[Banggood]],".html")</f>
        <v>https://www.banggood.com/search/.html</v>
      </c>
      <c r="AW2" s="59" t="str">
        <f>IF(Table1[[#This Row],[Other]]&lt;&gt;"","Other","")</f>
        <v/>
      </c>
      <c r="AX2" s="57"/>
      <c r="AY2" s="59"/>
      <c r="AZ2" s="61" t="str">
        <f>IF(Table1[[#This Row],[Other]]="","",IF(Table1[[#This Row],[Destination - Other]]="","",HYPERLINK(Table1[[#This Row],[Destination - Other]],_xlfn.CONCAT("Link ("&amp;Table1[[#This Row],[Other]]&amp;")"))))</f>
        <v/>
      </c>
      <c r="BA2" s="59"/>
      <c r="BB2" s="58" t="str">
        <f>IF(AND( Table1[[#This Row],[Auto Order]]=1,Table1[[#This Row],[Obsolete]]=""),IF(Table1[[#This Row],[In stock]]&lt;Table1[[#This Row],[Min in stock]],1,""),"")</f>
        <v/>
      </c>
      <c r="BC2" s="64"/>
      <c r="BD2" s="66" t="str">
        <f>IF(Table1[[#This Row],[Obsolete]],Table1[[#This Row],[Art. Number]],"")</f>
        <v/>
      </c>
    </row>
    <row r="3" spans="1:56" x14ac:dyDescent="0.25">
      <c r="A3" s="65" t="s">
        <v>312</v>
      </c>
      <c r="B3" s="57" t="s">
        <v>313</v>
      </c>
      <c r="C3" s="57" t="s">
        <v>97</v>
      </c>
      <c r="D3" s="57" t="s">
        <v>314</v>
      </c>
      <c r="E3" s="57" t="s">
        <v>310</v>
      </c>
      <c r="F3" s="58">
        <v>0</v>
      </c>
      <c r="G3" s="58"/>
      <c r="H3" s="58"/>
      <c r="I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WS102N-ND</v>
      </c>
      <c r="J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9.31</v>
      </c>
      <c r="K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(WS102N-ND)</v>
      </c>
      <c r="M3" s="57" t="s">
        <v>315</v>
      </c>
      <c r="N3" s="59">
        <v>9.31</v>
      </c>
      <c r="O3" s="61" t="str">
        <f>IF(Table1[[#This Row],[Digikey]]="","", HYPERLINK(Table1[[#This Row],[Destination - Digikey]],_xlfn.CONCAT("Link (",Table1[[#This Row],[Digikey]],")")))</f>
        <v>Link (WS102N-ND)</v>
      </c>
      <c r="P3" s="62" t="str">
        <f>_xlfn.CONCAT("https://www.digikey.ch/products/en?keywords=",Table1[[#This Row],[Digikey]])</f>
        <v>https://www.digikey.ch/products/en?keywords=WS102N-ND</v>
      </c>
      <c r="Q3" s="57"/>
      <c r="R3" s="59"/>
      <c r="S3" s="61" t="str">
        <f>IF(Table1[[#This Row],[Farnell]]="","", HYPERLINK(Table1[[#This Row],[Destination - Farnell]],_xlfn.CONCAT("Link (",Table1[[#This Row],[Farnell]],")")))</f>
        <v/>
      </c>
      <c r="T3" s="62" t="str">
        <f>_xlfn.CONCAT("https://ch.farnell.com/fr-CH/",Table1[[#This Row],[Farnell]])</f>
        <v>https://ch.farnell.com/fr-CH/</v>
      </c>
      <c r="U3" s="57"/>
      <c r="V3" s="59"/>
      <c r="W3" s="61" t="str">
        <f>IF(Table1[[#This Row],[Distrelec]]="","", HYPERLINK(Table1[[#This Row],[Destination - Distrelec]],_xlfn.CONCAT("Link (",Table1[[#This Row],[Distrelec]],")")))</f>
        <v/>
      </c>
      <c r="X3" s="62" t="str">
        <f>_xlfn.CONCAT("https://www.distrelec.ch/search?q=",Table1[[#This Row],[Distrelec]])</f>
        <v>https://www.distrelec.ch/search?q=</v>
      </c>
      <c r="Y3" s="57"/>
      <c r="Z3" s="59"/>
      <c r="AA3" s="61" t="str">
        <f>IF(Table1[[#This Row],[Conrad]]="","", HYPERLINK(Table1[[#This Row],[Destination - Conrad]],_xlfn.CONCAT("Link (",Table1[[#This Row],[Conrad]],")")))</f>
        <v/>
      </c>
      <c r="AB3" s="62"/>
      <c r="AC3" s="57"/>
      <c r="AD3" s="59"/>
      <c r="AE3" s="61" t="str">
        <f>IF(Table1[[#This Row],[Mouser]]="","", HYPERLINK(Table1[[#This Row],[Destination - Mouser]],_xlfn.CONCAT("Link (",Table1[[#This Row],[Mouser]],")")))</f>
        <v/>
      </c>
      <c r="AF3" s="62" t="str">
        <f>_xlfn.CONCAT("https://www.mouser.ch/ProductDetail/",Table1[[#This Row],[Mouser]])</f>
        <v>https://www.mouser.ch/ProductDetail/</v>
      </c>
      <c r="AG3" s="57"/>
      <c r="AH3" s="59"/>
      <c r="AI3" s="61" t="str">
        <f>IF(Table1[[#This Row],[Bauhaus]]="","", HYPERLINK(Table1[[#This Row],[Destination - Bauhaus]],_xlfn.CONCAT("Link (",Table1[[#This Row],[Bauhaus]],")")))</f>
        <v/>
      </c>
      <c r="AJ3" s="62" t="str">
        <f>_xlfn.CONCAT("https://www.bauhaus.ch/fr/search?query=",Table1[[#This Row],[Bauhaus]])</f>
        <v>https://www.bauhaus.ch/fr/search?query=</v>
      </c>
      <c r="AK3" s="59"/>
      <c r="AL3" s="59"/>
      <c r="AM3" s="61" t="str">
        <f>IF(Table1[[#This Row],[BricoEtLoisirs]]="","", HYPERLINK(Table1[[#This Row],[Destination - BricoEtLoisirs]],_xlfn.CONCAT("Link (",Table1[[#This Row],[BricoEtLoisirs]],")")))</f>
        <v/>
      </c>
      <c r="AN3" s="62" t="str">
        <f>_xlfn.CONCAT("https://bricoetloisirs.ch/p/",Table1[[#This Row],[BricoEtLoisirs]])</f>
        <v>https://bricoetloisirs.ch/p/</v>
      </c>
      <c r="AO3" s="57"/>
      <c r="AP3" s="59"/>
      <c r="AQ3" s="61" t="str">
        <f>IF(Table1[[#This Row],[Aliexpress]]="","", HYPERLINK(Table1[[#This Row],[Destination - Aliexpress]],_xlfn.CONCAT("Link (",Table1[[#This Row],[Aliexpress]],")")))</f>
        <v/>
      </c>
      <c r="AR3" s="62" t="str">
        <f>_xlfn.CONCAT("https://www.aliexpress.com/item/",Table1[[#This Row],[Aliexpress]],".html")</f>
        <v>https://www.aliexpress.com/item/.html</v>
      </c>
      <c r="AS3" s="57"/>
      <c r="AT3" s="59"/>
      <c r="AU3" s="61" t="str">
        <f>IF(Table1[[#This Row],[Banggood]]="","", HYPERLINK(Table1[[#This Row],[Destination - Banggood]],_xlfn.CONCAT("Link (",Table1[[#This Row],[Banggood]],")")))</f>
        <v/>
      </c>
      <c r="AV3" s="62" t="str">
        <f>_xlfn.CONCAT("https://www.banggood.com/search/",Table1[[#This Row],[Banggood]],".html")</f>
        <v>https://www.banggood.com/search/.html</v>
      </c>
      <c r="AW3" s="59" t="str">
        <f>IF(Table1[[#This Row],[Other]]&lt;&gt;"","Other","")</f>
        <v/>
      </c>
      <c r="AX3" s="57"/>
      <c r="AY3" s="59"/>
      <c r="AZ3" s="61" t="str">
        <f>IF(Table1[[#This Row],[Other]]="","",IF(Table1[[#This Row],[Destination - Other]]="","",HYPERLINK(Table1[[#This Row],[Destination - Other]],_xlfn.CONCAT("Link ("&amp;Table1[[#This Row],[Other]]&amp;")"))))</f>
        <v/>
      </c>
      <c r="BA3" s="59"/>
      <c r="BB3" s="58" t="str">
        <f>IF(AND( Table1[[#This Row],[Auto Order]]=1,Table1[[#This Row],[Obsolete]]=""),IF(Table1[[#This Row],[In stock]]&lt;Table1[[#This Row],[Min in stock]],1,""),"")</f>
        <v/>
      </c>
      <c r="BC3" s="64"/>
      <c r="BD3" s="66" t="str">
        <f>IF(Table1[[#This Row],[Obsolete]],Table1[[#This Row],[Art. Number]],"")</f>
        <v/>
      </c>
    </row>
    <row r="4" spans="1:56" x14ac:dyDescent="0.25">
      <c r="A4" s="65" t="s">
        <v>2432</v>
      </c>
      <c r="B4" s="57" t="s">
        <v>2252</v>
      </c>
      <c r="C4" s="57" t="s">
        <v>2253</v>
      </c>
      <c r="D4" s="57" t="s">
        <v>2254</v>
      </c>
      <c r="E4" s="57" t="s">
        <v>310</v>
      </c>
      <c r="F4" s="58">
        <v>4</v>
      </c>
      <c r="G4" s="58"/>
      <c r="H4" s="58"/>
      <c r="I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486-1258-ND</v>
      </c>
      <c r="J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0.91</v>
      </c>
      <c r="K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(486-1258-ND)</v>
      </c>
      <c r="M4" s="57" t="s">
        <v>2255</v>
      </c>
      <c r="N4" s="59">
        <v>0.91</v>
      </c>
      <c r="O4" s="61" t="str">
        <f>IF(Table1[[#This Row],[Digikey]]="","", HYPERLINK(Table1[[#This Row],[Destination - Digikey]],_xlfn.CONCAT("Link (",Table1[[#This Row],[Digikey]],")")))</f>
        <v>Link (486-1258-ND)</v>
      </c>
      <c r="P4" s="62" t="str">
        <f>_xlfn.CONCAT("https://www.digikey.ch/products/en?keywords=",Table1[[#This Row],[Digikey]])</f>
        <v>https://www.digikey.ch/products/en?keywords=486-1258-ND</v>
      </c>
      <c r="Q4" s="57"/>
      <c r="R4" s="59"/>
      <c r="S4" s="61" t="str">
        <f>IF(Table1[[#This Row],[Farnell]]="","", HYPERLINK(Table1[[#This Row],[Destination - Farnell]],_xlfn.CONCAT("Link (",Table1[[#This Row],[Farnell]],")")))</f>
        <v/>
      </c>
      <c r="T4" s="62" t="str">
        <f>_xlfn.CONCAT("https://ch.farnell.com/fr-CH/",Table1[[#This Row],[Farnell]])</f>
        <v>https://ch.farnell.com/fr-CH/</v>
      </c>
      <c r="U4" s="57"/>
      <c r="V4" s="59"/>
      <c r="W4" s="61" t="str">
        <f>IF(Table1[[#This Row],[Distrelec]]="","", HYPERLINK(Table1[[#This Row],[Destination - Distrelec]],_xlfn.CONCAT("Link (",Table1[[#This Row],[Distrelec]],")")))</f>
        <v/>
      </c>
      <c r="X4" s="62" t="str">
        <f>_xlfn.CONCAT("https://www.distrelec.ch/search?q=",Table1[[#This Row],[Distrelec]])</f>
        <v>https://www.distrelec.ch/search?q=</v>
      </c>
      <c r="Y4" s="57"/>
      <c r="Z4" s="59"/>
      <c r="AA4" s="61" t="str">
        <f>IF(Table1[[#This Row],[Conrad]]="","", HYPERLINK(Table1[[#This Row],[Destination - Conrad]],_xlfn.CONCAT("Link (",Table1[[#This Row],[Conrad]],")")))</f>
        <v/>
      </c>
      <c r="AB4" s="62"/>
      <c r="AC4" s="57"/>
      <c r="AD4" s="59"/>
      <c r="AE4" s="61" t="str">
        <f>IF(Table1[[#This Row],[Mouser]]="","", HYPERLINK(Table1[[#This Row],[Destination - Mouser]],_xlfn.CONCAT("Link (",Table1[[#This Row],[Mouser]],")")))</f>
        <v/>
      </c>
      <c r="AF4" s="62" t="str">
        <f>_xlfn.CONCAT("https://www.mouser.ch/ProductDetail/",Table1[[#This Row],[Mouser]])</f>
        <v>https://www.mouser.ch/ProductDetail/</v>
      </c>
      <c r="AG4" s="57"/>
      <c r="AH4" s="59"/>
      <c r="AI4" s="61" t="str">
        <f>IF(Table1[[#This Row],[Bauhaus]]="","", HYPERLINK(Table1[[#This Row],[Destination - Bauhaus]],_xlfn.CONCAT("Link (",Table1[[#This Row],[Bauhaus]],")")))</f>
        <v/>
      </c>
      <c r="AJ4" s="62" t="str">
        <f>_xlfn.CONCAT("https://www.bauhaus.ch/fr/search?query=",Table1[[#This Row],[Bauhaus]])</f>
        <v>https://www.bauhaus.ch/fr/search?query=</v>
      </c>
      <c r="AK4" s="59"/>
      <c r="AL4" s="59"/>
      <c r="AM4" s="61" t="str">
        <f>IF(Table1[[#This Row],[BricoEtLoisirs]]="","", HYPERLINK(Table1[[#This Row],[Destination - BricoEtLoisirs]],_xlfn.CONCAT("Link (",Table1[[#This Row],[BricoEtLoisirs]],")")))</f>
        <v/>
      </c>
      <c r="AN4" s="62" t="str">
        <f>_xlfn.CONCAT("https://bricoetloisirs.ch/p/",Table1[[#This Row],[BricoEtLoisirs]])</f>
        <v>https://bricoetloisirs.ch/p/</v>
      </c>
      <c r="AO4" s="57"/>
      <c r="AP4" s="59"/>
      <c r="AQ4" s="61" t="str">
        <f>IF(Table1[[#This Row],[Aliexpress]]="","", HYPERLINK(Table1[[#This Row],[Destination - Aliexpress]],_xlfn.CONCAT("Link (",Table1[[#This Row],[Aliexpress]],")")))</f>
        <v/>
      </c>
      <c r="AR4" s="62" t="str">
        <f>_xlfn.CONCAT("https://www.aliexpress.com/item/",Table1[[#This Row],[Aliexpress]],".html")</f>
        <v>https://www.aliexpress.com/item/.html</v>
      </c>
      <c r="AS4" s="57"/>
      <c r="AT4" s="59"/>
      <c r="AU4" s="61" t="str">
        <f>IF(Table1[[#This Row],[Banggood]]="","", HYPERLINK(Table1[[#This Row],[Destination - Banggood]],_xlfn.CONCAT("Link (",Table1[[#This Row],[Banggood]],")")))</f>
        <v/>
      </c>
      <c r="AV4" s="62" t="str">
        <f>_xlfn.CONCAT("https://www.banggood.com/search/",Table1[[#This Row],[Banggood]],".html")</f>
        <v>https://www.banggood.com/search/.html</v>
      </c>
      <c r="AW4" s="59" t="str">
        <f>IF(Table1[[#This Row],[Other]]&lt;&gt;"","Other","")</f>
        <v/>
      </c>
      <c r="AX4" s="57"/>
      <c r="AY4" s="59"/>
      <c r="AZ4" s="61" t="str">
        <f>IF(Table1[[#This Row],[Other]]="","",IF(Table1[[#This Row],[Destination - Other]]="","",HYPERLINK(Table1[[#This Row],[Destination - Other]],_xlfn.CONCAT("Link ("&amp;Table1[[#This Row],[Other]]&amp;")"))))</f>
        <v/>
      </c>
      <c r="BA4" s="59"/>
      <c r="BB4" s="58" t="str">
        <f>IF(AND( Table1[[#This Row],[Auto Order]]=1,Table1[[#This Row],[Obsolete]]=""),IF(Table1[[#This Row],[In stock]]&lt;Table1[[#This Row],[Min in stock]],1,""),"")</f>
        <v/>
      </c>
      <c r="BC4" s="64"/>
      <c r="BD4" s="66" t="str">
        <f>IF(Table1[[#This Row],[Obsolete]],Table1[[#This Row],[Art. Number]],"")</f>
        <v/>
      </c>
    </row>
    <row r="5" spans="1:56" x14ac:dyDescent="0.25">
      <c r="A5" s="65" t="s">
        <v>2433</v>
      </c>
      <c r="B5" s="57" t="s">
        <v>2252</v>
      </c>
      <c r="C5" s="57" t="s">
        <v>2253</v>
      </c>
      <c r="D5" s="57" t="s">
        <v>2258</v>
      </c>
      <c r="E5" s="57" t="s">
        <v>310</v>
      </c>
      <c r="F5" s="58">
        <v>4</v>
      </c>
      <c r="G5" s="58"/>
      <c r="H5" s="58"/>
      <c r="I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486-3662-ND</v>
      </c>
      <c r="J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1.27</v>
      </c>
      <c r="K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(486-3662-ND)</v>
      </c>
      <c r="M5" s="57" t="s">
        <v>2259</v>
      </c>
      <c r="N5" s="59">
        <v>1.27</v>
      </c>
      <c r="O5" s="61" t="str">
        <f>IF(Table1[[#This Row],[Digikey]]="","", HYPERLINK(Table1[[#This Row],[Destination - Digikey]],_xlfn.CONCAT("Link (",Table1[[#This Row],[Digikey]],")")))</f>
        <v>Link (486-3662-ND)</v>
      </c>
      <c r="P5" s="62" t="str">
        <f>_xlfn.CONCAT("https://www.digikey.ch/products/en?keywords=",Table1[[#This Row],[Digikey]])</f>
        <v>https://www.digikey.ch/products/en?keywords=486-3662-ND</v>
      </c>
      <c r="Q5" s="57"/>
      <c r="R5" s="59"/>
      <c r="S5" s="61" t="str">
        <f>IF(Table1[[#This Row],[Farnell]]="","", HYPERLINK(Table1[[#This Row],[Destination - Farnell]],_xlfn.CONCAT("Link (",Table1[[#This Row],[Farnell]],")")))</f>
        <v/>
      </c>
      <c r="T5" s="62" t="str">
        <f>_xlfn.CONCAT("https://ch.farnell.com/fr-CH/",Table1[[#This Row],[Farnell]])</f>
        <v>https://ch.farnell.com/fr-CH/</v>
      </c>
      <c r="U5" s="57"/>
      <c r="V5" s="59"/>
      <c r="W5" s="61" t="str">
        <f>IF(Table1[[#This Row],[Distrelec]]="","", HYPERLINK(Table1[[#This Row],[Destination - Distrelec]],_xlfn.CONCAT("Link (",Table1[[#This Row],[Distrelec]],")")))</f>
        <v/>
      </c>
      <c r="X5" s="62" t="str">
        <f>_xlfn.CONCAT("https://www.distrelec.ch/search?q=",Table1[[#This Row],[Distrelec]])</f>
        <v>https://www.distrelec.ch/search?q=</v>
      </c>
      <c r="Y5" s="57"/>
      <c r="Z5" s="59"/>
      <c r="AA5" s="61" t="str">
        <f>IF(Table1[[#This Row],[Conrad]]="","", HYPERLINK(Table1[[#This Row],[Destination - Conrad]],_xlfn.CONCAT("Link (",Table1[[#This Row],[Conrad]],")")))</f>
        <v/>
      </c>
      <c r="AB5" s="62"/>
      <c r="AC5" s="57"/>
      <c r="AD5" s="59"/>
      <c r="AE5" s="61" t="str">
        <f>IF(Table1[[#This Row],[Mouser]]="","", HYPERLINK(Table1[[#This Row],[Destination - Mouser]],_xlfn.CONCAT("Link (",Table1[[#This Row],[Mouser]],")")))</f>
        <v/>
      </c>
      <c r="AF5" s="62" t="str">
        <f>_xlfn.CONCAT("https://www.mouser.ch/ProductDetail/",Table1[[#This Row],[Mouser]])</f>
        <v>https://www.mouser.ch/ProductDetail/</v>
      </c>
      <c r="AG5" s="57"/>
      <c r="AH5" s="59"/>
      <c r="AI5" s="61" t="str">
        <f>IF(Table1[[#This Row],[Bauhaus]]="","", HYPERLINK(Table1[[#This Row],[Destination - Bauhaus]],_xlfn.CONCAT("Link (",Table1[[#This Row],[Bauhaus]],")")))</f>
        <v/>
      </c>
      <c r="AJ5" s="62" t="str">
        <f>_xlfn.CONCAT("https://www.bauhaus.ch/fr/search?query=",Table1[[#This Row],[Bauhaus]])</f>
        <v>https://www.bauhaus.ch/fr/search?query=</v>
      </c>
      <c r="AK5" s="59"/>
      <c r="AL5" s="59"/>
      <c r="AM5" s="61" t="str">
        <f>IF(Table1[[#This Row],[BricoEtLoisirs]]="","", HYPERLINK(Table1[[#This Row],[Destination - BricoEtLoisirs]],_xlfn.CONCAT("Link (",Table1[[#This Row],[BricoEtLoisirs]],")")))</f>
        <v/>
      </c>
      <c r="AN5" s="62" t="str">
        <f>_xlfn.CONCAT("https://bricoetloisirs.ch/p/",Table1[[#This Row],[BricoEtLoisirs]])</f>
        <v>https://bricoetloisirs.ch/p/</v>
      </c>
      <c r="AO5" s="57"/>
      <c r="AP5" s="59"/>
      <c r="AQ5" s="61" t="str">
        <f>IF(Table1[[#This Row],[Aliexpress]]="","", HYPERLINK(Table1[[#This Row],[Destination - Aliexpress]],_xlfn.CONCAT("Link (",Table1[[#This Row],[Aliexpress]],")")))</f>
        <v/>
      </c>
      <c r="AR5" s="62" t="str">
        <f>_xlfn.CONCAT("https://www.aliexpress.com/item/",Table1[[#This Row],[Aliexpress]],".html")</f>
        <v>https://www.aliexpress.com/item/.html</v>
      </c>
      <c r="AS5" s="57"/>
      <c r="AT5" s="59"/>
      <c r="AU5" s="61" t="str">
        <f>IF(Table1[[#This Row],[Banggood]]="","", HYPERLINK(Table1[[#This Row],[Destination - Banggood]],_xlfn.CONCAT("Link (",Table1[[#This Row],[Banggood]],")")))</f>
        <v/>
      </c>
      <c r="AV5" s="62" t="str">
        <f>_xlfn.CONCAT("https://www.banggood.com/search/",Table1[[#This Row],[Banggood]],".html")</f>
        <v>https://www.banggood.com/search/.html</v>
      </c>
      <c r="AW5" s="59" t="str">
        <f>IF(Table1[[#This Row],[Other]]&lt;&gt;"","Other","")</f>
        <v/>
      </c>
      <c r="AX5" s="57"/>
      <c r="AY5" s="59"/>
      <c r="AZ5" s="61" t="str">
        <f>IF(Table1[[#This Row],[Other]]="","",IF(Table1[[#This Row],[Destination - Other]]="","",HYPERLINK(Table1[[#This Row],[Destination - Other]],_xlfn.CONCAT("Link ("&amp;Table1[[#This Row],[Other]]&amp;")"))))</f>
        <v/>
      </c>
      <c r="BA5" s="59"/>
      <c r="BB5" s="58" t="str">
        <f>IF(AND( Table1[[#This Row],[Auto Order]]=1,Table1[[#This Row],[Obsolete]]=""),IF(Table1[[#This Row],[In stock]]&lt;Table1[[#This Row],[Min in stock]],1,""),"")</f>
        <v/>
      </c>
      <c r="BC5" s="64"/>
      <c r="BD5" s="66" t="str">
        <f>IF(Table1[[#This Row],[Obsolete]],Table1[[#This Row],[Art. Number]],"")</f>
        <v/>
      </c>
    </row>
    <row r="6" spans="1:56" x14ac:dyDescent="0.25">
      <c r="A6" s="65" t="s">
        <v>12</v>
      </c>
      <c r="B6" s="57" t="s">
        <v>319</v>
      </c>
      <c r="C6" s="57" t="s">
        <v>320</v>
      </c>
      <c r="D6" s="57" t="s">
        <v>321</v>
      </c>
      <c r="E6" s="57" t="s">
        <v>322</v>
      </c>
      <c r="F6" s="58">
        <v>19</v>
      </c>
      <c r="G6" s="58"/>
      <c r="H6" s="58"/>
      <c r="I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8540829</v>
      </c>
      <c r="J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0.246</v>
      </c>
      <c r="K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(8540829)</v>
      </c>
      <c r="M6" s="57"/>
      <c r="N6" s="59"/>
      <c r="O6" s="61" t="str">
        <f>IF(Table1[[#This Row],[Digikey]]="","", HYPERLINK(Table1[[#This Row],[Destination - Digikey]],_xlfn.CONCAT("Link (",Table1[[#This Row],[Digikey]],")")))</f>
        <v/>
      </c>
      <c r="P6" s="62" t="str">
        <f>_xlfn.CONCAT("https://www.digikey.ch/products/en?keywords=",Table1[[#This Row],[Digikey]])</f>
        <v>https://www.digikey.ch/products/en?keywords=</v>
      </c>
      <c r="Q6" s="57" t="s">
        <v>2349</v>
      </c>
      <c r="R6" s="59">
        <v>0.246</v>
      </c>
      <c r="S6" s="61" t="str">
        <f>IF(Table1[[#This Row],[Farnell]]="","", HYPERLINK(Table1[[#This Row],[Destination - Farnell]],_xlfn.CONCAT("Link (",Table1[[#This Row],[Farnell]],")")))</f>
        <v>Link (8540829)</v>
      </c>
      <c r="T6" s="62" t="str">
        <f>_xlfn.CONCAT("https://ch.farnell.com/fr-CH/",Table1[[#This Row],[Farnell]])</f>
        <v>https://ch.farnell.com/fr-CH/8540829</v>
      </c>
      <c r="U6" s="57"/>
      <c r="V6" s="59"/>
      <c r="W6" s="61" t="str">
        <f>IF(Table1[[#This Row],[Distrelec]]="","", HYPERLINK(Table1[[#This Row],[Destination - Distrelec]],_xlfn.CONCAT("Link (",Table1[[#This Row],[Distrelec]],")")))</f>
        <v/>
      </c>
      <c r="X6" s="62" t="str">
        <f>_xlfn.CONCAT("https://www.distrelec.ch/search?q=",Table1[[#This Row],[Distrelec]])</f>
        <v>https://www.distrelec.ch/search?q=</v>
      </c>
      <c r="Y6" s="57"/>
      <c r="Z6" s="59"/>
      <c r="AA6" s="61" t="str">
        <f>IF(Table1[[#This Row],[Conrad]]="","", HYPERLINK(Table1[[#This Row],[Destination - Conrad]],_xlfn.CONCAT("Link (",Table1[[#This Row],[Conrad]],")")))</f>
        <v/>
      </c>
      <c r="AB6" s="62"/>
      <c r="AC6" s="57"/>
      <c r="AD6" s="59"/>
      <c r="AE6" s="61" t="str">
        <f>IF(Table1[[#This Row],[Mouser]]="","", HYPERLINK(Table1[[#This Row],[Destination - Mouser]],_xlfn.CONCAT("Link (",Table1[[#This Row],[Mouser]],")")))</f>
        <v/>
      </c>
      <c r="AF6" s="62" t="str">
        <f>_xlfn.CONCAT("https://www.mouser.ch/ProductDetail/",Table1[[#This Row],[Mouser]])</f>
        <v>https://www.mouser.ch/ProductDetail/</v>
      </c>
      <c r="AG6" s="57"/>
      <c r="AH6" s="59"/>
      <c r="AI6" s="61" t="str">
        <f>IF(Table1[[#This Row],[Bauhaus]]="","", HYPERLINK(Table1[[#This Row],[Destination - Bauhaus]],_xlfn.CONCAT("Link (",Table1[[#This Row],[Bauhaus]],")")))</f>
        <v/>
      </c>
      <c r="AJ6" s="62" t="str">
        <f>_xlfn.CONCAT("https://www.bauhaus.ch/fr/search?query=",Table1[[#This Row],[Bauhaus]])</f>
        <v>https://www.bauhaus.ch/fr/search?query=</v>
      </c>
      <c r="AK6" s="59"/>
      <c r="AL6" s="59"/>
      <c r="AM6" s="61" t="str">
        <f>IF(Table1[[#This Row],[BricoEtLoisirs]]="","", HYPERLINK(Table1[[#This Row],[Destination - BricoEtLoisirs]],_xlfn.CONCAT("Link (",Table1[[#This Row],[BricoEtLoisirs]],")")))</f>
        <v/>
      </c>
      <c r="AN6" s="62" t="str">
        <f>_xlfn.CONCAT("https://bricoetloisirs.ch/p/",Table1[[#This Row],[BricoEtLoisirs]])</f>
        <v>https://bricoetloisirs.ch/p/</v>
      </c>
      <c r="AO6" s="57"/>
      <c r="AP6" s="59"/>
      <c r="AQ6" s="61" t="str">
        <f>IF(Table1[[#This Row],[Aliexpress]]="","", HYPERLINK(Table1[[#This Row],[Destination - Aliexpress]],_xlfn.CONCAT("Link (",Table1[[#This Row],[Aliexpress]],")")))</f>
        <v/>
      </c>
      <c r="AR6" s="62" t="str">
        <f>_xlfn.CONCAT("https://www.aliexpress.com/item/",Table1[[#This Row],[Aliexpress]],".html")</f>
        <v>https://www.aliexpress.com/item/.html</v>
      </c>
      <c r="AS6" s="57"/>
      <c r="AT6" s="59"/>
      <c r="AU6" s="61" t="str">
        <f>IF(Table1[[#This Row],[Banggood]]="","", HYPERLINK(Table1[[#This Row],[Destination - Banggood]],_xlfn.CONCAT("Link (",Table1[[#This Row],[Banggood]],")")))</f>
        <v/>
      </c>
      <c r="AV6" s="62" t="str">
        <f>_xlfn.CONCAT("https://www.banggood.com/search/",Table1[[#This Row],[Banggood]],".html")</f>
        <v>https://www.banggood.com/search/.html</v>
      </c>
      <c r="AW6" s="59" t="str">
        <f>IF(Table1[[#This Row],[Other]]&lt;&gt;"","Other","")</f>
        <v/>
      </c>
      <c r="AX6" s="57"/>
      <c r="AY6" s="59"/>
      <c r="AZ6" s="61" t="str">
        <f>IF(Table1[[#This Row],[Other]]="","",IF(Table1[[#This Row],[Destination - Other]]="","",HYPERLINK(Table1[[#This Row],[Destination - Other]],_xlfn.CONCAT("Link ("&amp;Table1[[#This Row],[Other]]&amp;")"))))</f>
        <v/>
      </c>
      <c r="BA6" s="59"/>
      <c r="BB6" s="58" t="str">
        <f>IF(AND( Table1[[#This Row],[Auto Order]]=1,Table1[[#This Row],[Obsolete]]=""),IF(Table1[[#This Row],[In stock]]&lt;Table1[[#This Row],[Min in stock]],1,""),"")</f>
        <v/>
      </c>
      <c r="BC6" s="64"/>
      <c r="BD6" s="66" t="str">
        <f>IF(Table1[[#This Row],[Obsolete]],Table1[[#This Row],[Art. Number]],"")</f>
        <v/>
      </c>
    </row>
    <row r="7" spans="1:56" x14ac:dyDescent="0.25">
      <c r="A7" s="65" t="s">
        <v>324</v>
      </c>
      <c r="B7" s="57" t="s">
        <v>319</v>
      </c>
      <c r="C7" s="57" t="s">
        <v>325</v>
      </c>
      <c r="D7" s="57" t="s">
        <v>326</v>
      </c>
      <c r="E7" s="57" t="s">
        <v>322</v>
      </c>
      <c r="F7" s="58">
        <v>10</v>
      </c>
      <c r="G7" s="58"/>
      <c r="H7" s="58"/>
      <c r="I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8540853</v>
      </c>
      <c r="J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0.34</v>
      </c>
      <c r="K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(8540853)</v>
      </c>
      <c r="M7" s="57"/>
      <c r="N7" s="59"/>
      <c r="O7" s="61" t="str">
        <f>IF(Table1[[#This Row],[Digikey]]="","", HYPERLINK(Table1[[#This Row],[Destination - Digikey]],_xlfn.CONCAT("Link (",Table1[[#This Row],[Digikey]],")")))</f>
        <v/>
      </c>
      <c r="P7" s="62" t="str">
        <f>_xlfn.CONCAT("https://www.digikey.ch/products/en?keywords=",Table1[[#This Row],[Digikey]])</f>
        <v>https://www.digikey.ch/products/en?keywords=</v>
      </c>
      <c r="Q7" s="57" t="s">
        <v>2351</v>
      </c>
      <c r="R7" s="59">
        <v>0.34</v>
      </c>
      <c r="S7" s="61" t="str">
        <f>IF(Table1[[#This Row],[Farnell]]="","", HYPERLINK(Table1[[#This Row],[Destination - Farnell]],_xlfn.CONCAT("Link (",Table1[[#This Row],[Farnell]],")")))</f>
        <v>Link (8540853)</v>
      </c>
      <c r="T7" s="62" t="str">
        <f>_xlfn.CONCAT("https://ch.farnell.com/fr-CH/",Table1[[#This Row],[Farnell]])</f>
        <v>https://ch.farnell.com/fr-CH/8540853</v>
      </c>
      <c r="U7" s="57"/>
      <c r="V7" s="59"/>
      <c r="W7" s="61" t="str">
        <f>IF(Table1[[#This Row],[Distrelec]]="","", HYPERLINK(Table1[[#This Row],[Destination - Distrelec]],_xlfn.CONCAT("Link (",Table1[[#This Row],[Distrelec]],")")))</f>
        <v/>
      </c>
      <c r="X7" s="62" t="str">
        <f>_xlfn.CONCAT("https://www.distrelec.ch/search?q=",Table1[[#This Row],[Distrelec]])</f>
        <v>https://www.distrelec.ch/search?q=</v>
      </c>
      <c r="Y7" s="57"/>
      <c r="Z7" s="59"/>
      <c r="AA7" s="61" t="str">
        <f>IF(Table1[[#This Row],[Conrad]]="","", HYPERLINK(Table1[[#This Row],[Destination - Conrad]],_xlfn.CONCAT("Link (",Table1[[#This Row],[Conrad]],")")))</f>
        <v/>
      </c>
      <c r="AB7" s="62"/>
      <c r="AC7" s="57"/>
      <c r="AD7" s="59"/>
      <c r="AE7" s="61" t="str">
        <f>IF(Table1[[#This Row],[Mouser]]="","", HYPERLINK(Table1[[#This Row],[Destination - Mouser]],_xlfn.CONCAT("Link (",Table1[[#This Row],[Mouser]],")")))</f>
        <v/>
      </c>
      <c r="AF7" s="62" t="str">
        <f>_xlfn.CONCAT("https://www.mouser.ch/ProductDetail/",Table1[[#This Row],[Mouser]])</f>
        <v>https://www.mouser.ch/ProductDetail/</v>
      </c>
      <c r="AG7" s="57"/>
      <c r="AH7" s="59"/>
      <c r="AI7" s="61" t="str">
        <f>IF(Table1[[#This Row],[Bauhaus]]="","", HYPERLINK(Table1[[#This Row],[Destination - Bauhaus]],_xlfn.CONCAT("Link (",Table1[[#This Row],[Bauhaus]],")")))</f>
        <v/>
      </c>
      <c r="AJ7" s="62" t="str">
        <f>_xlfn.CONCAT("https://www.bauhaus.ch/fr/search?query=",Table1[[#This Row],[Bauhaus]])</f>
        <v>https://www.bauhaus.ch/fr/search?query=</v>
      </c>
      <c r="AK7" s="59"/>
      <c r="AL7" s="59"/>
      <c r="AM7" s="61" t="str">
        <f>IF(Table1[[#This Row],[BricoEtLoisirs]]="","", HYPERLINK(Table1[[#This Row],[Destination - BricoEtLoisirs]],_xlfn.CONCAT("Link (",Table1[[#This Row],[BricoEtLoisirs]],")")))</f>
        <v/>
      </c>
      <c r="AN7" s="62" t="str">
        <f>_xlfn.CONCAT("https://bricoetloisirs.ch/p/",Table1[[#This Row],[BricoEtLoisirs]])</f>
        <v>https://bricoetloisirs.ch/p/</v>
      </c>
      <c r="AO7" s="57"/>
      <c r="AP7" s="59"/>
      <c r="AQ7" s="61" t="str">
        <f>IF(Table1[[#This Row],[Aliexpress]]="","", HYPERLINK(Table1[[#This Row],[Destination - Aliexpress]],_xlfn.CONCAT("Link (",Table1[[#This Row],[Aliexpress]],")")))</f>
        <v/>
      </c>
      <c r="AR7" s="62" t="str">
        <f>_xlfn.CONCAT("https://www.aliexpress.com/item/",Table1[[#This Row],[Aliexpress]],".html")</f>
        <v>https://www.aliexpress.com/item/.html</v>
      </c>
      <c r="AS7" s="57"/>
      <c r="AT7" s="59"/>
      <c r="AU7" s="61" t="str">
        <f>IF(Table1[[#This Row],[Banggood]]="","", HYPERLINK(Table1[[#This Row],[Destination - Banggood]],_xlfn.CONCAT("Link (",Table1[[#This Row],[Banggood]],")")))</f>
        <v/>
      </c>
      <c r="AV7" s="62" t="str">
        <f>_xlfn.CONCAT("https://www.banggood.com/search/",Table1[[#This Row],[Banggood]],".html")</f>
        <v>https://www.banggood.com/search/.html</v>
      </c>
      <c r="AW7" s="59" t="str">
        <f>IF(Table1[[#This Row],[Other]]&lt;&gt;"","Other","")</f>
        <v/>
      </c>
      <c r="AX7" s="57"/>
      <c r="AY7" s="59"/>
      <c r="AZ7" s="61" t="str">
        <f>IF(Table1[[#This Row],[Other]]="","",IF(Table1[[#This Row],[Destination - Other]]="","",HYPERLINK(Table1[[#This Row],[Destination - Other]],_xlfn.CONCAT("Link ("&amp;Table1[[#This Row],[Other]]&amp;")"))))</f>
        <v/>
      </c>
      <c r="BA7" s="59"/>
      <c r="BB7" s="58" t="str">
        <f>IF(AND( Table1[[#This Row],[Auto Order]]=1,Table1[[#This Row],[Obsolete]]=""),IF(Table1[[#This Row],[In stock]]&lt;Table1[[#This Row],[Min in stock]],1,""),"")</f>
        <v/>
      </c>
      <c r="BC7" s="64"/>
      <c r="BD7" s="66" t="str">
        <f>IF(Table1[[#This Row],[Obsolete]],Table1[[#This Row],[Art. Number]],"")</f>
        <v/>
      </c>
    </row>
    <row r="8" spans="1:56" x14ac:dyDescent="0.25">
      <c r="A8" s="65" t="s">
        <v>332</v>
      </c>
      <c r="B8" s="57" t="s">
        <v>319</v>
      </c>
      <c r="C8" s="57" t="s">
        <v>333</v>
      </c>
      <c r="D8" s="57" t="s">
        <v>334</v>
      </c>
      <c r="E8" s="57" t="s">
        <v>322</v>
      </c>
      <c r="F8" s="58">
        <v>10</v>
      </c>
      <c r="G8" s="58"/>
      <c r="H8" s="58"/>
      <c r="I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8540861</v>
      </c>
      <c r="J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0.44600000000000001</v>
      </c>
      <c r="K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(8540861)</v>
      </c>
      <c r="M8" s="57"/>
      <c r="N8" s="59"/>
      <c r="O8" s="61" t="str">
        <f>IF(Table1[[#This Row],[Digikey]]="","", HYPERLINK(Table1[[#This Row],[Destination - Digikey]],_xlfn.CONCAT("Link (",Table1[[#This Row],[Digikey]],")")))</f>
        <v/>
      </c>
      <c r="P8" s="62" t="str">
        <f>_xlfn.CONCAT("https://www.digikey.ch/products/en?keywords=",Table1[[#This Row],[Digikey]])</f>
        <v>https://www.digikey.ch/products/en?keywords=</v>
      </c>
      <c r="Q8" s="57" t="s">
        <v>2354</v>
      </c>
      <c r="R8" s="59">
        <v>0.44600000000000001</v>
      </c>
      <c r="S8" s="61" t="str">
        <f>IF(Table1[[#This Row],[Farnell]]="","", HYPERLINK(Table1[[#This Row],[Destination - Farnell]],_xlfn.CONCAT("Link (",Table1[[#This Row],[Farnell]],")")))</f>
        <v>Link (8540861)</v>
      </c>
      <c r="T8" s="62" t="str">
        <f>_xlfn.CONCAT("https://ch.farnell.com/fr-CH/",Table1[[#This Row],[Farnell]])</f>
        <v>https://ch.farnell.com/fr-CH/8540861</v>
      </c>
      <c r="U8" s="57"/>
      <c r="V8" s="59"/>
      <c r="W8" s="61" t="str">
        <f>IF(Table1[[#This Row],[Distrelec]]="","", HYPERLINK(Table1[[#This Row],[Destination - Distrelec]],_xlfn.CONCAT("Link (",Table1[[#This Row],[Distrelec]],")")))</f>
        <v/>
      </c>
      <c r="X8" s="62" t="str">
        <f>_xlfn.CONCAT("https://www.distrelec.ch/search?q=",Table1[[#This Row],[Distrelec]])</f>
        <v>https://www.distrelec.ch/search?q=</v>
      </c>
      <c r="Y8" s="57"/>
      <c r="Z8" s="59"/>
      <c r="AA8" s="61" t="str">
        <f>IF(Table1[[#This Row],[Conrad]]="","", HYPERLINK(Table1[[#This Row],[Destination - Conrad]],_xlfn.CONCAT("Link (",Table1[[#This Row],[Conrad]],")")))</f>
        <v/>
      </c>
      <c r="AB8" s="62"/>
      <c r="AC8" s="57"/>
      <c r="AD8" s="59"/>
      <c r="AE8" s="61" t="str">
        <f>IF(Table1[[#This Row],[Mouser]]="","", HYPERLINK(Table1[[#This Row],[Destination - Mouser]],_xlfn.CONCAT("Link (",Table1[[#This Row],[Mouser]],")")))</f>
        <v/>
      </c>
      <c r="AF8" s="62" t="str">
        <f>_xlfn.CONCAT("https://www.mouser.ch/ProductDetail/",Table1[[#This Row],[Mouser]])</f>
        <v>https://www.mouser.ch/ProductDetail/</v>
      </c>
      <c r="AG8" s="57"/>
      <c r="AH8" s="59"/>
      <c r="AI8" s="61" t="str">
        <f>IF(Table1[[#This Row],[Bauhaus]]="","", HYPERLINK(Table1[[#This Row],[Destination - Bauhaus]],_xlfn.CONCAT("Link (",Table1[[#This Row],[Bauhaus]],")")))</f>
        <v/>
      </c>
      <c r="AJ8" s="62" t="str">
        <f>_xlfn.CONCAT("https://www.bauhaus.ch/fr/search?query=",Table1[[#This Row],[Bauhaus]])</f>
        <v>https://www.bauhaus.ch/fr/search?query=</v>
      </c>
      <c r="AK8" s="59"/>
      <c r="AL8" s="59"/>
      <c r="AM8" s="61" t="str">
        <f>IF(Table1[[#This Row],[BricoEtLoisirs]]="","", HYPERLINK(Table1[[#This Row],[Destination - BricoEtLoisirs]],_xlfn.CONCAT("Link (",Table1[[#This Row],[BricoEtLoisirs]],")")))</f>
        <v/>
      </c>
      <c r="AN8" s="62" t="str">
        <f>_xlfn.CONCAT("https://bricoetloisirs.ch/p/",Table1[[#This Row],[BricoEtLoisirs]])</f>
        <v>https://bricoetloisirs.ch/p/</v>
      </c>
      <c r="AO8" s="57"/>
      <c r="AP8" s="59"/>
      <c r="AQ8" s="61" t="str">
        <f>IF(Table1[[#This Row],[Aliexpress]]="","", HYPERLINK(Table1[[#This Row],[Destination - Aliexpress]],_xlfn.CONCAT("Link (",Table1[[#This Row],[Aliexpress]],")")))</f>
        <v/>
      </c>
      <c r="AR8" s="62" t="str">
        <f>_xlfn.CONCAT("https://www.aliexpress.com/item/",Table1[[#This Row],[Aliexpress]],".html")</f>
        <v>https://www.aliexpress.com/item/.html</v>
      </c>
      <c r="AS8" s="57"/>
      <c r="AT8" s="59"/>
      <c r="AU8" s="61" t="str">
        <f>IF(Table1[[#This Row],[Banggood]]="","", HYPERLINK(Table1[[#This Row],[Destination - Banggood]],_xlfn.CONCAT("Link (",Table1[[#This Row],[Banggood]],")")))</f>
        <v/>
      </c>
      <c r="AV8" s="62" t="str">
        <f>_xlfn.CONCAT("https://www.banggood.com/search/",Table1[[#This Row],[Banggood]],".html")</f>
        <v>https://www.banggood.com/search/.html</v>
      </c>
      <c r="AW8" s="59" t="str">
        <f>IF(Table1[[#This Row],[Other]]&lt;&gt;"","Other","")</f>
        <v/>
      </c>
      <c r="AX8" s="57"/>
      <c r="AY8" s="59"/>
      <c r="AZ8" s="61" t="str">
        <f>IF(Table1[[#This Row],[Other]]="","",IF(Table1[[#This Row],[Destination - Other]]="","",HYPERLINK(Table1[[#This Row],[Destination - Other]],_xlfn.CONCAT("Link ("&amp;Table1[[#This Row],[Other]]&amp;")"))))</f>
        <v/>
      </c>
      <c r="BA8" s="59"/>
      <c r="BB8" s="58" t="str">
        <f>IF(AND( Table1[[#This Row],[Auto Order]]=1,Table1[[#This Row],[Obsolete]]=""),IF(Table1[[#This Row],[In stock]]&lt;Table1[[#This Row],[Min in stock]],1,""),"")</f>
        <v/>
      </c>
      <c r="BC8" s="64"/>
      <c r="BD8" s="66" t="str">
        <f>IF(Table1[[#This Row],[Obsolete]],Table1[[#This Row],[Art. Number]],"")</f>
        <v/>
      </c>
    </row>
    <row r="9" spans="1:56" x14ac:dyDescent="0.25">
      <c r="A9" s="65" t="s">
        <v>890</v>
      </c>
      <c r="B9" s="57" t="s">
        <v>319</v>
      </c>
      <c r="C9" s="57" t="s">
        <v>891</v>
      </c>
      <c r="D9" s="57" t="s">
        <v>334</v>
      </c>
      <c r="E9" s="57" t="s">
        <v>322</v>
      </c>
      <c r="F9" s="58">
        <v>5</v>
      </c>
      <c r="G9" s="58"/>
      <c r="H9" s="58"/>
      <c r="I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1605571</v>
      </c>
      <c r="J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0.44600000000000001</v>
      </c>
      <c r="K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(1605571)</v>
      </c>
      <c r="M9" s="57"/>
      <c r="N9" s="59"/>
      <c r="O9" s="61" t="str">
        <f>IF(Table1[[#This Row],[Digikey]]="","", HYPERLINK(Table1[[#This Row],[Destination - Digikey]],_xlfn.CONCAT("Link (",Table1[[#This Row],[Digikey]],")")))</f>
        <v/>
      </c>
      <c r="P9" s="62" t="str">
        <f>_xlfn.CONCAT("https://www.digikey.ch/products/en?keywords=",Table1[[#This Row],[Digikey]])</f>
        <v>https://www.digikey.ch/products/en?keywords=</v>
      </c>
      <c r="Q9" s="57" t="s">
        <v>2408</v>
      </c>
      <c r="R9" s="59">
        <v>0.44600000000000001</v>
      </c>
      <c r="S9" s="61" t="str">
        <f>IF(Table1[[#This Row],[Farnell]]="","", HYPERLINK(Table1[[#This Row],[Destination - Farnell]],_xlfn.CONCAT("Link (",Table1[[#This Row],[Farnell]],")")))</f>
        <v>Link (1605571)</v>
      </c>
      <c r="T9" s="62" t="str">
        <f>_xlfn.CONCAT("https://ch.farnell.com/fr-CH/",Table1[[#This Row],[Farnell]])</f>
        <v>https://ch.farnell.com/fr-CH/1605571</v>
      </c>
      <c r="U9" s="57"/>
      <c r="V9" s="59"/>
      <c r="W9" s="61" t="str">
        <f>IF(Table1[[#This Row],[Distrelec]]="","", HYPERLINK(Table1[[#This Row],[Destination - Distrelec]],_xlfn.CONCAT("Link (",Table1[[#This Row],[Distrelec]],")")))</f>
        <v/>
      </c>
      <c r="X9" s="62" t="str">
        <f>_xlfn.CONCAT("https://www.distrelec.ch/search?q=",Table1[[#This Row],[Distrelec]])</f>
        <v>https://www.distrelec.ch/search?q=</v>
      </c>
      <c r="Y9" s="57"/>
      <c r="Z9" s="59"/>
      <c r="AA9" s="61" t="str">
        <f>IF(Table1[[#This Row],[Conrad]]="","", HYPERLINK(Table1[[#This Row],[Destination - Conrad]],_xlfn.CONCAT("Link (",Table1[[#This Row],[Conrad]],")")))</f>
        <v/>
      </c>
      <c r="AB9" s="62"/>
      <c r="AC9" s="57"/>
      <c r="AD9" s="59"/>
      <c r="AE9" s="61" t="str">
        <f>IF(Table1[[#This Row],[Mouser]]="","", HYPERLINK(Table1[[#This Row],[Destination - Mouser]],_xlfn.CONCAT("Link (",Table1[[#This Row],[Mouser]],")")))</f>
        <v/>
      </c>
      <c r="AF9" s="62" t="str">
        <f>_xlfn.CONCAT("https://www.mouser.ch/ProductDetail/",Table1[[#This Row],[Mouser]])</f>
        <v>https://www.mouser.ch/ProductDetail/</v>
      </c>
      <c r="AG9" s="57"/>
      <c r="AH9" s="59"/>
      <c r="AI9" s="61" t="str">
        <f>IF(Table1[[#This Row],[Bauhaus]]="","", HYPERLINK(Table1[[#This Row],[Destination - Bauhaus]],_xlfn.CONCAT("Link (",Table1[[#This Row],[Bauhaus]],")")))</f>
        <v/>
      </c>
      <c r="AJ9" s="62" t="str">
        <f>_xlfn.CONCAT("https://www.bauhaus.ch/fr/search?query=",Table1[[#This Row],[Bauhaus]])</f>
        <v>https://www.bauhaus.ch/fr/search?query=</v>
      </c>
      <c r="AK9" s="59"/>
      <c r="AL9" s="59"/>
      <c r="AM9" s="61" t="str">
        <f>IF(Table1[[#This Row],[BricoEtLoisirs]]="","", HYPERLINK(Table1[[#This Row],[Destination - BricoEtLoisirs]],_xlfn.CONCAT("Link (",Table1[[#This Row],[BricoEtLoisirs]],")")))</f>
        <v/>
      </c>
      <c r="AN9" s="62" t="str">
        <f>_xlfn.CONCAT("https://bricoetloisirs.ch/p/",Table1[[#This Row],[BricoEtLoisirs]])</f>
        <v>https://bricoetloisirs.ch/p/</v>
      </c>
      <c r="AO9" s="57"/>
      <c r="AP9" s="59"/>
      <c r="AQ9" s="61" t="str">
        <f>IF(Table1[[#This Row],[Aliexpress]]="","", HYPERLINK(Table1[[#This Row],[Destination - Aliexpress]],_xlfn.CONCAT("Link (",Table1[[#This Row],[Aliexpress]],")")))</f>
        <v/>
      </c>
      <c r="AR9" s="62" t="str">
        <f>_xlfn.CONCAT("https://www.aliexpress.com/item/",Table1[[#This Row],[Aliexpress]],".html")</f>
        <v>https://www.aliexpress.com/item/.html</v>
      </c>
      <c r="AS9" s="57"/>
      <c r="AT9" s="59"/>
      <c r="AU9" s="61" t="str">
        <f>IF(Table1[[#This Row],[Banggood]]="","", HYPERLINK(Table1[[#This Row],[Destination - Banggood]],_xlfn.CONCAT("Link (",Table1[[#This Row],[Banggood]],")")))</f>
        <v/>
      </c>
      <c r="AV9" s="62" t="str">
        <f>_xlfn.CONCAT("https://www.banggood.com/search/",Table1[[#This Row],[Banggood]],".html")</f>
        <v>https://www.banggood.com/search/.html</v>
      </c>
      <c r="AW9" s="59" t="str">
        <f>IF(Table1[[#This Row],[Other]]&lt;&gt;"","Other","")</f>
        <v/>
      </c>
      <c r="AX9" s="57"/>
      <c r="AY9" s="59"/>
      <c r="AZ9" s="61" t="str">
        <f>IF(Table1[[#This Row],[Other]]="","",IF(Table1[[#This Row],[Destination - Other]]="","",HYPERLINK(Table1[[#This Row],[Destination - Other]],_xlfn.CONCAT("Link ("&amp;Table1[[#This Row],[Other]]&amp;")"))))</f>
        <v/>
      </c>
      <c r="BA9" s="59"/>
      <c r="BB9" s="58" t="str">
        <f>IF(AND( Table1[[#This Row],[Auto Order]]=1,Table1[[#This Row],[Obsolete]]=""),IF(Table1[[#This Row],[In stock]]&lt;Table1[[#This Row],[Min in stock]],1,""),"")</f>
        <v/>
      </c>
      <c r="BC9" s="64"/>
      <c r="BD9" s="66" t="str">
        <f>IF(Table1[[#This Row],[Obsolete]],Table1[[#This Row],[Art. Number]],"")</f>
        <v/>
      </c>
    </row>
    <row r="10" spans="1:56" x14ac:dyDescent="0.25">
      <c r="A10" s="65" t="s">
        <v>336</v>
      </c>
      <c r="B10" s="57" t="s">
        <v>337</v>
      </c>
      <c r="C10" s="57" t="s">
        <v>97</v>
      </c>
      <c r="D10" s="57" t="s">
        <v>2439</v>
      </c>
      <c r="E10" s="57" t="s">
        <v>339</v>
      </c>
      <c r="F10" s="58">
        <v>1</v>
      </c>
      <c r="G10" s="58"/>
      <c r="H10" s="58"/>
      <c r="I1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CP-5-ND</v>
      </c>
      <c r="J1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2.13</v>
      </c>
      <c r="K1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(CP-5-ND)</v>
      </c>
      <c r="M10" s="57" t="s">
        <v>340</v>
      </c>
      <c r="N10" s="59">
        <v>2.13</v>
      </c>
      <c r="O10" s="61" t="str">
        <f>IF(Table1[[#This Row],[Digikey]]="","", HYPERLINK(Table1[[#This Row],[Destination - Digikey]],_xlfn.CONCAT("Link (",Table1[[#This Row],[Digikey]],")")))</f>
        <v>Link (CP-5-ND)</v>
      </c>
      <c r="P10" s="62" t="str">
        <f>_xlfn.CONCAT("https://www.digikey.ch/products/en?keywords=",Table1[[#This Row],[Digikey]])</f>
        <v>https://www.digikey.ch/products/en?keywords=CP-5-ND</v>
      </c>
      <c r="Q10" s="57"/>
      <c r="R10" s="59"/>
      <c r="S10" s="61" t="str">
        <f>IF(Table1[[#This Row],[Farnell]]="","", HYPERLINK(Table1[[#This Row],[Destination - Farnell]],_xlfn.CONCAT("Link (",Table1[[#This Row],[Farnell]],")")))</f>
        <v/>
      </c>
      <c r="T10" s="62" t="str">
        <f>_xlfn.CONCAT("https://ch.farnell.com/fr-CH/",Table1[[#This Row],[Farnell]])</f>
        <v>https://ch.farnell.com/fr-CH/</v>
      </c>
      <c r="U10" s="57"/>
      <c r="V10" s="59"/>
      <c r="W10" s="61" t="str">
        <f>IF(Table1[[#This Row],[Distrelec]]="","", HYPERLINK(Table1[[#This Row],[Destination - Distrelec]],_xlfn.CONCAT("Link (",Table1[[#This Row],[Distrelec]],")")))</f>
        <v/>
      </c>
      <c r="X10" s="62" t="str">
        <f>_xlfn.CONCAT("https://www.distrelec.ch/search?q=",Table1[[#This Row],[Distrelec]])</f>
        <v>https://www.distrelec.ch/search?q=</v>
      </c>
      <c r="Y10" s="57"/>
      <c r="Z10" s="59"/>
      <c r="AA10" s="61" t="str">
        <f>IF(Table1[[#This Row],[Conrad]]="","", HYPERLINK(Table1[[#This Row],[Destination - Conrad]],_xlfn.CONCAT("Link (",Table1[[#This Row],[Conrad]],")")))</f>
        <v/>
      </c>
      <c r="AB10" s="62"/>
      <c r="AC10" s="57"/>
      <c r="AD10" s="59"/>
      <c r="AE10" s="61" t="str">
        <f>IF(Table1[[#This Row],[Mouser]]="","", HYPERLINK(Table1[[#This Row],[Destination - Mouser]],_xlfn.CONCAT("Link (",Table1[[#This Row],[Mouser]],")")))</f>
        <v/>
      </c>
      <c r="AF10" s="62" t="str">
        <f>_xlfn.CONCAT("https://www.mouser.ch/ProductDetail/",Table1[[#This Row],[Mouser]])</f>
        <v>https://www.mouser.ch/ProductDetail/</v>
      </c>
      <c r="AG10" s="57"/>
      <c r="AH10" s="59"/>
      <c r="AI10" s="61" t="str">
        <f>IF(Table1[[#This Row],[Bauhaus]]="","", HYPERLINK(Table1[[#This Row],[Destination - Bauhaus]],_xlfn.CONCAT("Link (",Table1[[#This Row],[Bauhaus]],")")))</f>
        <v/>
      </c>
      <c r="AJ10" s="62" t="str">
        <f>_xlfn.CONCAT("https://www.bauhaus.ch/fr/search?query=",Table1[[#This Row],[Bauhaus]])</f>
        <v>https://www.bauhaus.ch/fr/search?query=</v>
      </c>
      <c r="AK10" s="59"/>
      <c r="AL10" s="59"/>
      <c r="AM10" s="61" t="str">
        <f>IF(Table1[[#This Row],[BricoEtLoisirs]]="","", HYPERLINK(Table1[[#This Row],[Destination - BricoEtLoisirs]],_xlfn.CONCAT("Link (",Table1[[#This Row],[BricoEtLoisirs]],")")))</f>
        <v/>
      </c>
      <c r="AN10" s="62" t="str">
        <f>_xlfn.CONCAT("https://bricoetloisirs.ch/p/",Table1[[#This Row],[BricoEtLoisirs]])</f>
        <v>https://bricoetloisirs.ch/p/</v>
      </c>
      <c r="AO10" s="57"/>
      <c r="AP10" s="59"/>
      <c r="AQ10" s="61" t="str">
        <f>IF(Table1[[#This Row],[Aliexpress]]="","", HYPERLINK(Table1[[#This Row],[Destination - Aliexpress]],_xlfn.CONCAT("Link (",Table1[[#This Row],[Aliexpress]],")")))</f>
        <v/>
      </c>
      <c r="AR10" s="62" t="str">
        <f>_xlfn.CONCAT("https://www.aliexpress.com/item/",Table1[[#This Row],[Aliexpress]],".html")</f>
        <v>https://www.aliexpress.com/item/.html</v>
      </c>
      <c r="AS10" s="57"/>
      <c r="AT10" s="59"/>
      <c r="AU10" s="61" t="str">
        <f>IF(Table1[[#This Row],[Banggood]]="","", HYPERLINK(Table1[[#This Row],[Destination - Banggood]],_xlfn.CONCAT("Link (",Table1[[#This Row],[Banggood]],")")))</f>
        <v/>
      </c>
      <c r="AV10" s="62" t="str">
        <f>_xlfn.CONCAT("https://www.banggood.com/search/",Table1[[#This Row],[Banggood]],".html")</f>
        <v>https://www.banggood.com/search/.html</v>
      </c>
      <c r="AW10" s="59" t="str">
        <f>IF(Table1[[#This Row],[Other]]&lt;&gt;"","Other","")</f>
        <v/>
      </c>
      <c r="AX10" s="57"/>
      <c r="AY10" s="59"/>
      <c r="AZ10" s="61" t="str">
        <f>IF(Table1[[#This Row],[Other]]="","",IF(Table1[[#This Row],[Destination - Other]]="","",HYPERLINK(Table1[[#This Row],[Destination - Other]],_xlfn.CONCAT("Link ("&amp;Table1[[#This Row],[Other]]&amp;")"))))</f>
        <v/>
      </c>
      <c r="BA10" s="59"/>
      <c r="BB10" s="58" t="str">
        <f>IF(AND( Table1[[#This Row],[Auto Order]]=1,Table1[[#This Row],[Obsolete]]=""),IF(Table1[[#This Row],[In stock]]&lt;Table1[[#This Row],[Min in stock]],1,""),"")</f>
        <v/>
      </c>
      <c r="BC10" s="64"/>
      <c r="BD10" s="66" t="str">
        <f>IF(Table1[[#This Row],[Obsolete]],Table1[[#This Row],[Art. Number]],"")</f>
        <v/>
      </c>
    </row>
    <row r="11" spans="1:56" x14ac:dyDescent="0.25">
      <c r="A11" s="65" t="s">
        <v>2353</v>
      </c>
      <c r="B11" s="57" t="s">
        <v>29</v>
      </c>
      <c r="C11" s="57" t="s">
        <v>328</v>
      </c>
      <c r="D11" s="57" t="s">
        <v>329</v>
      </c>
      <c r="E11" s="57" t="s">
        <v>330</v>
      </c>
      <c r="F11" s="58">
        <v>0</v>
      </c>
      <c r="G11" s="58"/>
      <c r="H11" s="58"/>
      <c r="I1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90990</v>
      </c>
      <c r="J1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13.1</v>
      </c>
      <c r="K1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Banggood</v>
      </c>
      <c r="L1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(90990)</v>
      </c>
      <c r="M11" s="57"/>
      <c r="N11" s="59"/>
      <c r="O11" s="61" t="str">
        <f>IF(Table1[[#This Row],[Digikey]]="","", HYPERLINK(Table1[[#This Row],[Destination - Digikey]],_xlfn.CONCAT("Link (",Table1[[#This Row],[Digikey]],")")))</f>
        <v/>
      </c>
      <c r="P11" s="62" t="str">
        <f>_xlfn.CONCAT("https://www.digikey.ch/products/en?keywords=",Table1[[#This Row],[Digikey]])</f>
        <v>https://www.digikey.ch/products/en?keywords=</v>
      </c>
      <c r="Q11" s="57"/>
      <c r="R11" s="59"/>
      <c r="S11" s="61" t="str">
        <f>IF(Table1[[#This Row],[Farnell]]="","", HYPERLINK(Table1[[#This Row],[Destination - Farnell]],_xlfn.CONCAT("Link (",Table1[[#This Row],[Farnell]],")")))</f>
        <v/>
      </c>
      <c r="T11" s="62" t="str">
        <f>_xlfn.CONCAT("https://ch.farnell.com/fr-CH/",Table1[[#This Row],[Farnell]])</f>
        <v>https://ch.farnell.com/fr-CH/</v>
      </c>
      <c r="U11" s="57"/>
      <c r="V11" s="59"/>
      <c r="W11" s="61" t="str">
        <f>IF(Table1[[#This Row],[Distrelec]]="","", HYPERLINK(Table1[[#This Row],[Destination - Distrelec]],_xlfn.CONCAT("Link (",Table1[[#This Row],[Distrelec]],")")))</f>
        <v/>
      </c>
      <c r="X11" s="62" t="str">
        <f>_xlfn.CONCAT("https://www.distrelec.ch/search?q=",Table1[[#This Row],[Distrelec]])</f>
        <v>https://www.distrelec.ch/search?q=</v>
      </c>
      <c r="Y11" s="57"/>
      <c r="Z11" s="59"/>
      <c r="AA11" s="61" t="str">
        <f>IF(Table1[[#This Row],[Conrad]]="","", HYPERLINK(Table1[[#This Row],[Destination - Conrad]],_xlfn.CONCAT("Link (",Table1[[#This Row],[Conrad]],")")))</f>
        <v/>
      </c>
      <c r="AB11" s="62"/>
      <c r="AC11" s="57"/>
      <c r="AD11" s="59"/>
      <c r="AE11" s="61" t="str">
        <f>IF(Table1[[#This Row],[Mouser]]="","", HYPERLINK(Table1[[#This Row],[Destination - Mouser]],_xlfn.CONCAT("Link (",Table1[[#This Row],[Mouser]],")")))</f>
        <v/>
      </c>
      <c r="AF11" s="62" t="str">
        <f>_xlfn.CONCAT("https://www.mouser.ch/ProductDetail/",Table1[[#This Row],[Mouser]])</f>
        <v>https://www.mouser.ch/ProductDetail/</v>
      </c>
      <c r="AG11" s="57"/>
      <c r="AH11" s="59"/>
      <c r="AI11" s="61" t="str">
        <f>IF(Table1[[#This Row],[Bauhaus]]="","", HYPERLINK(Table1[[#This Row],[Destination - Bauhaus]],_xlfn.CONCAT("Link (",Table1[[#This Row],[Bauhaus]],")")))</f>
        <v/>
      </c>
      <c r="AJ11" s="62" t="str">
        <f>_xlfn.CONCAT("https://www.bauhaus.ch/fr/search?query=",Table1[[#This Row],[Bauhaus]])</f>
        <v>https://www.bauhaus.ch/fr/search?query=</v>
      </c>
      <c r="AK11" s="59"/>
      <c r="AL11" s="59"/>
      <c r="AM11" s="61" t="str">
        <f>IF(Table1[[#This Row],[BricoEtLoisirs]]="","", HYPERLINK(Table1[[#This Row],[Destination - BricoEtLoisirs]],_xlfn.CONCAT("Link (",Table1[[#This Row],[BricoEtLoisirs]],")")))</f>
        <v/>
      </c>
      <c r="AN11" s="62" t="str">
        <f>_xlfn.CONCAT("https://bricoetloisirs.ch/p/",Table1[[#This Row],[BricoEtLoisirs]])</f>
        <v>https://bricoetloisirs.ch/p/</v>
      </c>
      <c r="AO11" s="57"/>
      <c r="AP11" s="59"/>
      <c r="AQ11" s="61" t="str">
        <f>IF(Table1[[#This Row],[Aliexpress]]="","", HYPERLINK(Table1[[#This Row],[Destination - Aliexpress]],_xlfn.CONCAT("Link (",Table1[[#This Row],[Aliexpress]],")")))</f>
        <v/>
      </c>
      <c r="AR11" s="62" t="str">
        <f>_xlfn.CONCAT("https://www.aliexpress.com/item/",Table1[[#This Row],[Aliexpress]],".html")</f>
        <v>https://www.aliexpress.com/item/.html</v>
      </c>
      <c r="AS11" s="57" t="s">
        <v>2353</v>
      </c>
      <c r="AT11" s="59">
        <v>13.1</v>
      </c>
      <c r="AU11" s="61" t="str">
        <f>IF(Table1[[#This Row],[Banggood]]="","", HYPERLINK(Table1[[#This Row],[Destination - Banggood]],_xlfn.CONCAT("Link (",Table1[[#This Row],[Banggood]],")")))</f>
        <v>Link (90990)</v>
      </c>
      <c r="AV11" s="62" t="str">
        <f>_xlfn.CONCAT("https://www.banggood.com/search/",Table1[[#This Row],[Banggood]],".html")</f>
        <v>https://www.banggood.com/search/90990.html</v>
      </c>
      <c r="AW11" s="59" t="str">
        <f>IF(Table1[[#This Row],[Other]]&lt;&gt;"","Other","")</f>
        <v/>
      </c>
      <c r="AX11" s="57"/>
      <c r="AY11" s="59"/>
      <c r="AZ11" s="61" t="str">
        <f>IF(Table1[[#This Row],[Other]]="","",IF(Table1[[#This Row],[Destination - Other]]="","",HYPERLINK(Table1[[#This Row],[Destination - Other]],_xlfn.CONCAT("Link ("&amp;Table1[[#This Row],[Other]]&amp;")"))))</f>
        <v/>
      </c>
      <c r="BA11" s="59"/>
      <c r="BB11" s="58" t="str">
        <f>IF(AND( Table1[[#This Row],[Auto Order]]=1,Table1[[#This Row],[Obsolete]]=""),IF(Table1[[#This Row],[In stock]]&lt;Table1[[#This Row],[Min in stock]],1,""),"")</f>
        <v/>
      </c>
      <c r="BC11" s="64"/>
      <c r="BD11" s="66" t="str">
        <f>IF(Table1[[#This Row],[Obsolete]],Table1[[#This Row],[Art. Number]],"")</f>
        <v/>
      </c>
    </row>
    <row r="12" spans="1:56" x14ac:dyDescent="0.25">
      <c r="A12" s="65" t="s">
        <v>478</v>
      </c>
      <c r="B12" s="57" t="s">
        <v>479</v>
      </c>
      <c r="C12" s="57" t="s">
        <v>480</v>
      </c>
      <c r="D12" s="57" t="s">
        <v>481</v>
      </c>
      <c r="E12" s="57" t="s">
        <v>482</v>
      </c>
      <c r="F12" s="58">
        <v>4</v>
      </c>
      <c r="G12" s="58"/>
      <c r="H12" s="58"/>
      <c r="I1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BU2032SM-JJ-GCT-ND</v>
      </c>
      <c r="J1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1.21</v>
      </c>
      <c r="K1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(BU2032SM-JJ-GCT-ND)</v>
      </c>
      <c r="M12" s="57" t="s">
        <v>483</v>
      </c>
      <c r="N12" s="59">
        <v>1.21</v>
      </c>
      <c r="O12" s="61" t="str">
        <f>IF(Table1[[#This Row],[Digikey]]="","", HYPERLINK(Table1[[#This Row],[Destination - Digikey]],_xlfn.CONCAT("Link (",Table1[[#This Row],[Digikey]],")")))</f>
        <v>Link (BU2032SM-JJ-GCT-ND)</v>
      </c>
      <c r="P12" s="62" t="str">
        <f>_xlfn.CONCAT("https://www.digikey.ch/products/en?keywords=",Table1[[#This Row],[Digikey]])</f>
        <v>https://www.digikey.ch/products/en?keywords=BU2032SM-JJ-GCT-ND</v>
      </c>
      <c r="Q12" s="57"/>
      <c r="R12" s="59"/>
      <c r="S12" s="61" t="str">
        <f>IF(Table1[[#This Row],[Farnell]]="","", HYPERLINK(Table1[[#This Row],[Destination - Farnell]],_xlfn.CONCAT("Link (",Table1[[#This Row],[Farnell]],")")))</f>
        <v/>
      </c>
      <c r="T12" s="62" t="str">
        <f>_xlfn.CONCAT("https://ch.farnell.com/fr-CH/",Table1[[#This Row],[Farnell]])</f>
        <v>https://ch.farnell.com/fr-CH/</v>
      </c>
      <c r="U12" s="57"/>
      <c r="V12" s="59"/>
      <c r="W12" s="61" t="str">
        <f>IF(Table1[[#This Row],[Distrelec]]="","", HYPERLINK(Table1[[#This Row],[Destination - Distrelec]],_xlfn.CONCAT("Link (",Table1[[#This Row],[Distrelec]],")")))</f>
        <v/>
      </c>
      <c r="X12" s="62" t="str">
        <f>_xlfn.CONCAT("https://www.distrelec.ch/search?q=",Table1[[#This Row],[Distrelec]])</f>
        <v>https://www.distrelec.ch/search?q=</v>
      </c>
      <c r="Y12" s="57"/>
      <c r="Z12" s="59"/>
      <c r="AA12" s="61" t="str">
        <f>IF(Table1[[#This Row],[Conrad]]="","", HYPERLINK(Table1[[#This Row],[Destination - Conrad]],_xlfn.CONCAT("Link (",Table1[[#This Row],[Conrad]],")")))</f>
        <v/>
      </c>
      <c r="AB12" s="62"/>
      <c r="AC12" s="57"/>
      <c r="AD12" s="59"/>
      <c r="AE12" s="61" t="str">
        <f>IF(Table1[[#This Row],[Mouser]]="","", HYPERLINK(Table1[[#This Row],[Destination - Mouser]],_xlfn.CONCAT("Link (",Table1[[#This Row],[Mouser]],")")))</f>
        <v/>
      </c>
      <c r="AF12" s="62" t="str">
        <f>_xlfn.CONCAT("https://www.mouser.ch/ProductDetail/",Table1[[#This Row],[Mouser]])</f>
        <v>https://www.mouser.ch/ProductDetail/</v>
      </c>
      <c r="AG12" s="57"/>
      <c r="AH12" s="59"/>
      <c r="AI12" s="61" t="str">
        <f>IF(Table1[[#This Row],[Bauhaus]]="","", HYPERLINK(Table1[[#This Row],[Destination - Bauhaus]],_xlfn.CONCAT("Link (",Table1[[#This Row],[Bauhaus]],")")))</f>
        <v/>
      </c>
      <c r="AJ12" s="62" t="str">
        <f>_xlfn.CONCAT("https://www.bauhaus.ch/fr/search?query=",Table1[[#This Row],[Bauhaus]])</f>
        <v>https://www.bauhaus.ch/fr/search?query=</v>
      </c>
      <c r="AK12" s="59"/>
      <c r="AL12" s="59"/>
      <c r="AM12" s="61" t="str">
        <f>IF(Table1[[#This Row],[BricoEtLoisirs]]="","", HYPERLINK(Table1[[#This Row],[Destination - BricoEtLoisirs]],_xlfn.CONCAT("Link (",Table1[[#This Row],[BricoEtLoisirs]],")")))</f>
        <v/>
      </c>
      <c r="AN12" s="62" t="str">
        <f>_xlfn.CONCAT("https://bricoetloisirs.ch/p/",Table1[[#This Row],[BricoEtLoisirs]])</f>
        <v>https://bricoetloisirs.ch/p/</v>
      </c>
      <c r="AO12" s="57"/>
      <c r="AP12" s="59"/>
      <c r="AQ12" s="61" t="str">
        <f>IF(Table1[[#This Row],[Aliexpress]]="","", HYPERLINK(Table1[[#This Row],[Destination - Aliexpress]],_xlfn.CONCAT("Link (",Table1[[#This Row],[Aliexpress]],")")))</f>
        <v/>
      </c>
      <c r="AR12" s="62" t="str">
        <f>_xlfn.CONCAT("https://www.aliexpress.com/item/",Table1[[#This Row],[Aliexpress]],".html")</f>
        <v>https://www.aliexpress.com/item/.html</v>
      </c>
      <c r="AS12" s="57"/>
      <c r="AT12" s="59"/>
      <c r="AU12" s="61" t="str">
        <f>IF(Table1[[#This Row],[Banggood]]="","", HYPERLINK(Table1[[#This Row],[Destination - Banggood]],_xlfn.CONCAT("Link (",Table1[[#This Row],[Banggood]],")")))</f>
        <v/>
      </c>
      <c r="AV12" s="62" t="str">
        <f>_xlfn.CONCAT("https://www.banggood.com/search/",Table1[[#This Row],[Banggood]],".html")</f>
        <v>https://www.banggood.com/search/.html</v>
      </c>
      <c r="AW12" s="59" t="str">
        <f>IF(Table1[[#This Row],[Other]]&lt;&gt;"","Other","")</f>
        <v/>
      </c>
      <c r="AX12" s="57"/>
      <c r="AY12" s="59"/>
      <c r="AZ12" s="61" t="str">
        <f>IF(Table1[[#This Row],[Other]]="","",IF(Table1[[#This Row],[Destination - Other]]="","",HYPERLINK(Table1[[#This Row],[Destination - Other]],_xlfn.CONCAT("Link ("&amp;Table1[[#This Row],[Other]]&amp;")"))))</f>
        <v/>
      </c>
      <c r="BA12" s="59"/>
      <c r="BB12" s="58" t="str">
        <f>IF(AND( Table1[[#This Row],[Auto Order]]=1,Table1[[#This Row],[Obsolete]]=""),IF(Table1[[#This Row],[In stock]]&lt;Table1[[#This Row],[Min in stock]],1,""),"")</f>
        <v/>
      </c>
      <c r="BC12" s="64"/>
      <c r="BD12" s="66" t="str">
        <f>IF(Table1[[#This Row],[Obsolete]],Table1[[#This Row],[Art. Number]],"")</f>
        <v/>
      </c>
    </row>
    <row r="13" spans="1:56" x14ac:dyDescent="0.25">
      <c r="A13" s="65" t="s">
        <v>2418</v>
      </c>
      <c r="B13" s="57" t="s">
        <v>449</v>
      </c>
      <c r="C13" s="57" t="s">
        <v>1057</v>
      </c>
      <c r="D13" s="57" t="s">
        <v>1058</v>
      </c>
      <c r="E13" s="57" t="s">
        <v>482</v>
      </c>
      <c r="F13" s="58">
        <v>6</v>
      </c>
      <c r="G13" s="58">
        <v>4</v>
      </c>
      <c r="H13" s="58">
        <v>1</v>
      </c>
      <c r="I1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36-54-ND</v>
      </c>
      <c r="J1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0.56000000000000005</v>
      </c>
      <c r="K1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(36-54-ND)</v>
      </c>
      <c r="M13" s="57" t="s">
        <v>1059</v>
      </c>
      <c r="N13" s="59">
        <v>0.56000000000000005</v>
      </c>
      <c r="O13" s="61" t="str">
        <f>IF(Table1[[#This Row],[Digikey]]="","", HYPERLINK(Table1[[#This Row],[Destination - Digikey]],_xlfn.CONCAT("Link (",Table1[[#This Row],[Digikey]],")")))</f>
        <v>Link (36-54-ND)</v>
      </c>
      <c r="P13" s="62" t="str">
        <f>_xlfn.CONCAT("https://www.digikey.ch/products/en?keywords=",Table1[[#This Row],[Digikey]])</f>
        <v>https://www.digikey.ch/products/en?keywords=36-54-ND</v>
      </c>
      <c r="Q13" s="57"/>
      <c r="R13" s="59"/>
      <c r="S13" s="61" t="str">
        <f>IF(Table1[[#This Row],[Farnell]]="","", HYPERLINK(Table1[[#This Row],[Destination - Farnell]],_xlfn.CONCAT("Link (",Table1[[#This Row],[Farnell]],")")))</f>
        <v/>
      </c>
      <c r="T13" s="62" t="str">
        <f>_xlfn.CONCAT("https://ch.farnell.com/fr-CH/",Table1[[#This Row],[Farnell]])</f>
        <v>https://ch.farnell.com/fr-CH/</v>
      </c>
      <c r="U13" s="57"/>
      <c r="V13" s="59"/>
      <c r="W13" s="61" t="str">
        <f>IF(Table1[[#This Row],[Distrelec]]="","", HYPERLINK(Table1[[#This Row],[Destination - Distrelec]],_xlfn.CONCAT("Link (",Table1[[#This Row],[Distrelec]],")")))</f>
        <v/>
      </c>
      <c r="X13" s="62" t="str">
        <f>_xlfn.CONCAT("https://www.distrelec.ch/search?q=",Table1[[#This Row],[Distrelec]])</f>
        <v>https://www.distrelec.ch/search?q=</v>
      </c>
      <c r="Y13" s="57"/>
      <c r="Z13" s="59"/>
      <c r="AA13" s="61" t="str">
        <f>IF(Table1[[#This Row],[Conrad]]="","", HYPERLINK(Table1[[#This Row],[Destination - Conrad]],_xlfn.CONCAT("Link (",Table1[[#This Row],[Conrad]],")")))</f>
        <v/>
      </c>
      <c r="AB13" s="62"/>
      <c r="AC13" s="57"/>
      <c r="AD13" s="59"/>
      <c r="AE13" s="61" t="str">
        <f>IF(Table1[[#This Row],[Mouser]]="","", HYPERLINK(Table1[[#This Row],[Destination - Mouser]],_xlfn.CONCAT("Link (",Table1[[#This Row],[Mouser]],")")))</f>
        <v/>
      </c>
      <c r="AF13" s="62" t="str">
        <f>_xlfn.CONCAT("https://www.mouser.ch/ProductDetail/",Table1[[#This Row],[Mouser]])</f>
        <v>https://www.mouser.ch/ProductDetail/</v>
      </c>
      <c r="AG13" s="57"/>
      <c r="AH13" s="59"/>
      <c r="AI13" s="61" t="str">
        <f>IF(Table1[[#This Row],[Bauhaus]]="","", HYPERLINK(Table1[[#This Row],[Destination - Bauhaus]],_xlfn.CONCAT("Link (",Table1[[#This Row],[Bauhaus]],")")))</f>
        <v/>
      </c>
      <c r="AJ13" s="62" t="str">
        <f>_xlfn.CONCAT("https://www.bauhaus.ch/fr/search?query=",Table1[[#This Row],[Bauhaus]])</f>
        <v>https://www.bauhaus.ch/fr/search?query=</v>
      </c>
      <c r="AK13" s="59"/>
      <c r="AL13" s="59"/>
      <c r="AM13" s="61" t="str">
        <f>IF(Table1[[#This Row],[BricoEtLoisirs]]="","", HYPERLINK(Table1[[#This Row],[Destination - BricoEtLoisirs]],_xlfn.CONCAT("Link (",Table1[[#This Row],[BricoEtLoisirs]],")")))</f>
        <v/>
      </c>
      <c r="AN13" s="62" t="str">
        <f>_xlfn.CONCAT("https://bricoetloisirs.ch/p/",Table1[[#This Row],[BricoEtLoisirs]])</f>
        <v>https://bricoetloisirs.ch/p/</v>
      </c>
      <c r="AO13" s="57"/>
      <c r="AP13" s="59"/>
      <c r="AQ13" s="61" t="str">
        <f>IF(Table1[[#This Row],[Aliexpress]]="","", HYPERLINK(Table1[[#This Row],[Destination - Aliexpress]],_xlfn.CONCAT("Link (",Table1[[#This Row],[Aliexpress]],")")))</f>
        <v/>
      </c>
      <c r="AR13" s="62" t="str">
        <f>_xlfn.CONCAT("https://www.aliexpress.com/item/",Table1[[#This Row],[Aliexpress]],".html")</f>
        <v>https://www.aliexpress.com/item/.html</v>
      </c>
      <c r="AS13" s="57"/>
      <c r="AT13" s="59"/>
      <c r="AU13" s="61" t="str">
        <f>IF(Table1[[#This Row],[Banggood]]="","", HYPERLINK(Table1[[#This Row],[Destination - Banggood]],_xlfn.CONCAT("Link (",Table1[[#This Row],[Banggood]],")")))</f>
        <v/>
      </c>
      <c r="AV13" s="62" t="str">
        <f>_xlfn.CONCAT("https://www.banggood.com/search/",Table1[[#This Row],[Banggood]],".html")</f>
        <v>https://www.banggood.com/search/.html</v>
      </c>
      <c r="AW13" s="59" t="str">
        <f>IF(Table1[[#This Row],[Other]]&lt;&gt;"","Other","")</f>
        <v/>
      </c>
      <c r="AX13" s="57"/>
      <c r="AY13" s="59"/>
      <c r="AZ13" s="61" t="str">
        <f>IF(Table1[[#This Row],[Other]]="","",IF(Table1[[#This Row],[Destination - Other]]="","",HYPERLINK(Table1[[#This Row],[Destination - Other]],_xlfn.CONCAT("Link ("&amp;Table1[[#This Row],[Other]]&amp;")"))))</f>
        <v/>
      </c>
      <c r="BA13" s="59"/>
      <c r="BB13" s="58" t="str">
        <f>IF(AND( Table1[[#This Row],[Auto Order]]=1,Table1[[#This Row],[Obsolete]]=""),IF(Table1[[#This Row],[In stock]]&lt;Table1[[#This Row],[Min in stock]],1,""),"")</f>
        <v/>
      </c>
      <c r="BC13" s="64"/>
      <c r="BD13" s="66" t="str">
        <f>IF(Table1[[#This Row],[Obsolete]],Table1[[#This Row],[Art. Number]],"")</f>
        <v/>
      </c>
    </row>
    <row r="14" spans="1:56" x14ac:dyDescent="0.25">
      <c r="A14" s="65" t="s">
        <v>42</v>
      </c>
      <c r="B14" s="57" t="s">
        <v>358</v>
      </c>
      <c r="C14" s="57" t="s">
        <v>97</v>
      </c>
      <c r="D14" s="57" t="s">
        <v>2440</v>
      </c>
      <c r="E14" s="57" t="s">
        <v>359</v>
      </c>
      <c r="F14" s="58">
        <v>0</v>
      </c>
      <c r="G14" s="58"/>
      <c r="H14" s="58"/>
      <c r="I1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377-2428-ND</v>
      </c>
      <c r="J1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15.9</v>
      </c>
      <c r="K1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(377-2428-ND)</v>
      </c>
      <c r="M14" s="57" t="s">
        <v>360</v>
      </c>
      <c r="N14" s="59">
        <v>15.9</v>
      </c>
      <c r="O14" s="61" t="str">
        <f>IF(Table1[[#This Row],[Digikey]]="","", HYPERLINK(Table1[[#This Row],[Destination - Digikey]],_xlfn.CONCAT("Link (",Table1[[#This Row],[Digikey]],")")))</f>
        <v>Link (377-2428-ND)</v>
      </c>
      <c r="P14" s="62" t="str">
        <f>_xlfn.CONCAT("https://www.digikey.ch/products/en?keywords=",Table1[[#This Row],[Digikey]])</f>
        <v>https://www.digikey.ch/products/en?keywords=377-2428-ND</v>
      </c>
      <c r="Q14" s="57"/>
      <c r="R14" s="59"/>
      <c r="S14" s="61" t="str">
        <f>IF(Table1[[#This Row],[Farnell]]="","", HYPERLINK(Table1[[#This Row],[Destination - Farnell]],_xlfn.CONCAT("Link (",Table1[[#This Row],[Farnell]],")")))</f>
        <v/>
      </c>
      <c r="T14" s="62" t="str">
        <f>_xlfn.CONCAT("https://ch.farnell.com/fr-CH/",Table1[[#This Row],[Farnell]])</f>
        <v>https://ch.farnell.com/fr-CH/</v>
      </c>
      <c r="U14" s="57"/>
      <c r="V14" s="59"/>
      <c r="W14" s="61" t="str">
        <f>IF(Table1[[#This Row],[Distrelec]]="","", HYPERLINK(Table1[[#This Row],[Destination - Distrelec]],_xlfn.CONCAT("Link (",Table1[[#This Row],[Distrelec]],")")))</f>
        <v/>
      </c>
      <c r="X14" s="62" t="str">
        <f>_xlfn.CONCAT("https://www.distrelec.ch/search?q=",Table1[[#This Row],[Distrelec]])</f>
        <v>https://www.distrelec.ch/search?q=</v>
      </c>
      <c r="Y14" s="57"/>
      <c r="Z14" s="59"/>
      <c r="AA14" s="61" t="str">
        <f>IF(Table1[[#This Row],[Conrad]]="","", HYPERLINK(Table1[[#This Row],[Destination - Conrad]],_xlfn.CONCAT("Link (",Table1[[#This Row],[Conrad]],")")))</f>
        <v/>
      </c>
      <c r="AB14" s="62"/>
      <c r="AC14" s="57"/>
      <c r="AD14" s="59"/>
      <c r="AE14" s="61" t="str">
        <f>IF(Table1[[#This Row],[Mouser]]="","", HYPERLINK(Table1[[#This Row],[Destination - Mouser]],_xlfn.CONCAT("Link (",Table1[[#This Row],[Mouser]],")")))</f>
        <v/>
      </c>
      <c r="AF14" s="62" t="str">
        <f>_xlfn.CONCAT("https://www.mouser.ch/ProductDetail/",Table1[[#This Row],[Mouser]])</f>
        <v>https://www.mouser.ch/ProductDetail/</v>
      </c>
      <c r="AG14" s="57"/>
      <c r="AH14" s="59"/>
      <c r="AI14" s="61" t="str">
        <f>IF(Table1[[#This Row],[Bauhaus]]="","", HYPERLINK(Table1[[#This Row],[Destination - Bauhaus]],_xlfn.CONCAT("Link (",Table1[[#This Row],[Bauhaus]],")")))</f>
        <v/>
      </c>
      <c r="AJ14" s="62" t="str">
        <f>_xlfn.CONCAT("https://www.bauhaus.ch/fr/search?query=",Table1[[#This Row],[Bauhaus]])</f>
        <v>https://www.bauhaus.ch/fr/search?query=</v>
      </c>
      <c r="AK14" s="59"/>
      <c r="AL14" s="59"/>
      <c r="AM14" s="61" t="str">
        <f>IF(Table1[[#This Row],[BricoEtLoisirs]]="","", HYPERLINK(Table1[[#This Row],[Destination - BricoEtLoisirs]],_xlfn.CONCAT("Link (",Table1[[#This Row],[BricoEtLoisirs]],")")))</f>
        <v/>
      </c>
      <c r="AN14" s="62" t="str">
        <f>_xlfn.CONCAT("https://bricoetloisirs.ch/p/",Table1[[#This Row],[BricoEtLoisirs]])</f>
        <v>https://bricoetloisirs.ch/p/</v>
      </c>
      <c r="AO14" s="57"/>
      <c r="AP14" s="59"/>
      <c r="AQ14" s="61" t="str">
        <f>IF(Table1[[#This Row],[Aliexpress]]="","", HYPERLINK(Table1[[#This Row],[Destination - Aliexpress]],_xlfn.CONCAT("Link (",Table1[[#This Row],[Aliexpress]],")")))</f>
        <v/>
      </c>
      <c r="AR14" s="62" t="str">
        <f>_xlfn.CONCAT("https://www.aliexpress.com/item/",Table1[[#This Row],[Aliexpress]],".html")</f>
        <v>https://www.aliexpress.com/item/.html</v>
      </c>
      <c r="AS14" s="57"/>
      <c r="AT14" s="59"/>
      <c r="AU14" s="61" t="str">
        <f>IF(Table1[[#This Row],[Banggood]]="","", HYPERLINK(Table1[[#This Row],[Destination - Banggood]],_xlfn.CONCAT("Link (",Table1[[#This Row],[Banggood]],")")))</f>
        <v/>
      </c>
      <c r="AV14" s="62" t="str">
        <f>_xlfn.CONCAT("https://www.banggood.com/search/",Table1[[#This Row],[Banggood]],".html")</f>
        <v>https://www.banggood.com/search/.html</v>
      </c>
      <c r="AW14" s="59" t="str">
        <f>IF(Table1[[#This Row],[Other]]&lt;&gt;"","Other","")</f>
        <v/>
      </c>
      <c r="AX14" s="57"/>
      <c r="AY14" s="59"/>
      <c r="AZ14" s="61" t="str">
        <f>IF(Table1[[#This Row],[Other]]="","",IF(Table1[[#This Row],[Destination - Other]]="","",HYPERLINK(Table1[[#This Row],[Destination - Other]],_xlfn.CONCAT("Link ("&amp;Table1[[#This Row],[Other]]&amp;")"))))</f>
        <v/>
      </c>
      <c r="BA14" s="59"/>
      <c r="BB14" s="58" t="str">
        <f>IF(AND( Table1[[#This Row],[Auto Order]]=1,Table1[[#This Row],[Obsolete]]=""),IF(Table1[[#This Row],[In stock]]&lt;Table1[[#This Row],[Min in stock]],1,""),"")</f>
        <v/>
      </c>
      <c r="BC14" s="64"/>
      <c r="BD14" s="66" t="str">
        <f>IF(Table1[[#This Row],[Obsolete]],Table1[[#This Row],[Art. Number]],"")</f>
        <v/>
      </c>
    </row>
    <row r="15" spans="1:56" x14ac:dyDescent="0.25">
      <c r="A15" s="65" t="s">
        <v>362</v>
      </c>
      <c r="B15" s="57" t="s">
        <v>363</v>
      </c>
      <c r="C15" s="57" t="s">
        <v>97</v>
      </c>
      <c r="D15" s="57" t="s">
        <v>2441</v>
      </c>
      <c r="E15" s="57" t="s">
        <v>359</v>
      </c>
      <c r="F15" s="58">
        <v>0</v>
      </c>
      <c r="G15" s="58"/>
      <c r="H15" s="58"/>
      <c r="I1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SRB53-TCBC-ND</v>
      </c>
      <c r="J1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15.8</v>
      </c>
      <c r="K1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(SRB53-TCBC-ND)</v>
      </c>
      <c r="M15" s="57" t="s">
        <v>364</v>
      </c>
      <c r="N15" s="59">
        <v>15.8</v>
      </c>
      <c r="O15" s="61" t="str">
        <f>IF(Table1[[#This Row],[Digikey]]="","", HYPERLINK(Table1[[#This Row],[Destination - Digikey]],_xlfn.CONCAT("Link (",Table1[[#This Row],[Digikey]],")")))</f>
        <v>Link (SRB53-TCBC-ND)</v>
      </c>
      <c r="P15" s="62" t="str">
        <f>_xlfn.CONCAT("https://www.digikey.ch/products/en?keywords=",Table1[[#This Row],[Digikey]])</f>
        <v>https://www.digikey.ch/products/en?keywords=SRB53-TCBC-ND</v>
      </c>
      <c r="Q15" s="57"/>
      <c r="R15" s="59"/>
      <c r="S15" s="61" t="str">
        <f>IF(Table1[[#This Row],[Farnell]]="","", HYPERLINK(Table1[[#This Row],[Destination - Farnell]],_xlfn.CONCAT("Link (",Table1[[#This Row],[Farnell]],")")))</f>
        <v/>
      </c>
      <c r="T15" s="62" t="str">
        <f>_xlfn.CONCAT("https://ch.farnell.com/fr-CH/",Table1[[#This Row],[Farnell]])</f>
        <v>https://ch.farnell.com/fr-CH/</v>
      </c>
      <c r="U15" s="57"/>
      <c r="V15" s="59"/>
      <c r="W15" s="61" t="str">
        <f>IF(Table1[[#This Row],[Distrelec]]="","", HYPERLINK(Table1[[#This Row],[Destination - Distrelec]],_xlfn.CONCAT("Link (",Table1[[#This Row],[Distrelec]],")")))</f>
        <v/>
      </c>
      <c r="X15" s="62" t="str">
        <f>_xlfn.CONCAT("https://www.distrelec.ch/search?q=",Table1[[#This Row],[Distrelec]])</f>
        <v>https://www.distrelec.ch/search?q=</v>
      </c>
      <c r="Y15" s="57"/>
      <c r="Z15" s="59"/>
      <c r="AA15" s="61" t="str">
        <f>IF(Table1[[#This Row],[Conrad]]="","", HYPERLINK(Table1[[#This Row],[Destination - Conrad]],_xlfn.CONCAT("Link (",Table1[[#This Row],[Conrad]],")")))</f>
        <v/>
      </c>
      <c r="AB15" s="62"/>
      <c r="AC15" s="57"/>
      <c r="AD15" s="59"/>
      <c r="AE15" s="61" t="str">
        <f>IF(Table1[[#This Row],[Mouser]]="","", HYPERLINK(Table1[[#This Row],[Destination - Mouser]],_xlfn.CONCAT("Link (",Table1[[#This Row],[Mouser]],")")))</f>
        <v/>
      </c>
      <c r="AF15" s="62" t="str">
        <f>_xlfn.CONCAT("https://www.mouser.ch/ProductDetail/",Table1[[#This Row],[Mouser]])</f>
        <v>https://www.mouser.ch/ProductDetail/</v>
      </c>
      <c r="AG15" s="57"/>
      <c r="AH15" s="59"/>
      <c r="AI15" s="61" t="str">
        <f>IF(Table1[[#This Row],[Bauhaus]]="","", HYPERLINK(Table1[[#This Row],[Destination - Bauhaus]],_xlfn.CONCAT("Link (",Table1[[#This Row],[Bauhaus]],")")))</f>
        <v/>
      </c>
      <c r="AJ15" s="62" t="str">
        <f>_xlfn.CONCAT("https://www.bauhaus.ch/fr/search?query=",Table1[[#This Row],[Bauhaus]])</f>
        <v>https://www.bauhaus.ch/fr/search?query=</v>
      </c>
      <c r="AK15" s="59"/>
      <c r="AL15" s="59"/>
      <c r="AM15" s="61" t="str">
        <f>IF(Table1[[#This Row],[BricoEtLoisirs]]="","", HYPERLINK(Table1[[#This Row],[Destination - BricoEtLoisirs]],_xlfn.CONCAT("Link (",Table1[[#This Row],[BricoEtLoisirs]],")")))</f>
        <v/>
      </c>
      <c r="AN15" s="62" t="str">
        <f>_xlfn.CONCAT("https://bricoetloisirs.ch/p/",Table1[[#This Row],[BricoEtLoisirs]])</f>
        <v>https://bricoetloisirs.ch/p/</v>
      </c>
      <c r="AO15" s="57"/>
      <c r="AP15" s="59"/>
      <c r="AQ15" s="61" t="str">
        <f>IF(Table1[[#This Row],[Aliexpress]]="","", HYPERLINK(Table1[[#This Row],[Destination - Aliexpress]],_xlfn.CONCAT("Link (",Table1[[#This Row],[Aliexpress]],")")))</f>
        <v/>
      </c>
      <c r="AR15" s="62" t="str">
        <f>_xlfn.CONCAT("https://www.aliexpress.com/item/",Table1[[#This Row],[Aliexpress]],".html")</f>
        <v>https://www.aliexpress.com/item/.html</v>
      </c>
      <c r="AS15" s="57"/>
      <c r="AT15" s="59"/>
      <c r="AU15" s="61" t="str">
        <f>IF(Table1[[#This Row],[Banggood]]="","", HYPERLINK(Table1[[#This Row],[Destination - Banggood]],_xlfn.CONCAT("Link (",Table1[[#This Row],[Banggood]],")")))</f>
        <v/>
      </c>
      <c r="AV15" s="62" t="str">
        <f>_xlfn.CONCAT("https://www.banggood.com/search/",Table1[[#This Row],[Banggood]],".html")</f>
        <v>https://www.banggood.com/search/.html</v>
      </c>
      <c r="AW15" s="59" t="str">
        <f>IF(Table1[[#This Row],[Other]]&lt;&gt;"","Other","")</f>
        <v/>
      </c>
      <c r="AX15" s="57"/>
      <c r="AY15" s="59"/>
      <c r="AZ15" s="61" t="str">
        <f>IF(Table1[[#This Row],[Other]]="","",IF(Table1[[#This Row],[Destination - Other]]="","",HYPERLINK(Table1[[#This Row],[Destination - Other]],_xlfn.CONCAT("Link ("&amp;Table1[[#This Row],[Other]]&amp;")"))))</f>
        <v/>
      </c>
      <c r="BA15" s="59"/>
      <c r="BB15" s="58" t="str">
        <f>IF(AND( Table1[[#This Row],[Auto Order]]=1,Table1[[#This Row],[Obsolete]]=""),IF(Table1[[#This Row],[In stock]]&lt;Table1[[#This Row],[Min in stock]],1,""),"")</f>
        <v/>
      </c>
      <c r="BC15" s="64"/>
      <c r="BD15" s="66" t="str">
        <f>IF(Table1[[#This Row],[Obsolete]],Table1[[#This Row],[Art. Number]],"")</f>
        <v/>
      </c>
    </row>
    <row r="16" spans="1:56" x14ac:dyDescent="0.25">
      <c r="A16" s="65" t="s">
        <v>366</v>
      </c>
      <c r="B16" s="57" t="s">
        <v>367</v>
      </c>
      <c r="C16" s="57" t="s">
        <v>97</v>
      </c>
      <c r="D16" s="57" t="s">
        <v>2442</v>
      </c>
      <c r="E16" s="57" t="s">
        <v>359</v>
      </c>
      <c r="F16" s="58">
        <v>0</v>
      </c>
      <c r="G16" s="58"/>
      <c r="H16" s="58"/>
      <c r="I1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HM5785-ND</v>
      </c>
      <c r="J1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9.6999999999999993</v>
      </c>
      <c r="K1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(HM5785-ND)</v>
      </c>
      <c r="M16" s="57" t="s">
        <v>368</v>
      </c>
      <c r="N16" s="59">
        <v>9.6999999999999993</v>
      </c>
      <c r="O16" s="61" t="str">
        <f>IF(Table1[[#This Row],[Digikey]]="","", HYPERLINK(Table1[[#This Row],[Destination - Digikey]],_xlfn.CONCAT("Link (",Table1[[#This Row],[Digikey]],")")))</f>
        <v>Link (HM5785-ND)</v>
      </c>
      <c r="P16" s="62" t="str">
        <f>_xlfn.CONCAT("https://www.digikey.ch/products/en?keywords=",Table1[[#This Row],[Digikey]])</f>
        <v>https://www.digikey.ch/products/en?keywords=HM5785-ND</v>
      </c>
      <c r="Q16" s="57"/>
      <c r="R16" s="59"/>
      <c r="S16" s="61" t="str">
        <f>IF(Table1[[#This Row],[Farnell]]="","", HYPERLINK(Table1[[#This Row],[Destination - Farnell]],_xlfn.CONCAT("Link (",Table1[[#This Row],[Farnell]],")")))</f>
        <v/>
      </c>
      <c r="T16" s="62" t="str">
        <f>_xlfn.CONCAT("https://ch.farnell.com/fr-CH/",Table1[[#This Row],[Farnell]])</f>
        <v>https://ch.farnell.com/fr-CH/</v>
      </c>
      <c r="U16" s="57"/>
      <c r="V16" s="59"/>
      <c r="W16" s="61" t="str">
        <f>IF(Table1[[#This Row],[Distrelec]]="","", HYPERLINK(Table1[[#This Row],[Destination - Distrelec]],_xlfn.CONCAT("Link (",Table1[[#This Row],[Distrelec]],")")))</f>
        <v/>
      </c>
      <c r="X16" s="62" t="str">
        <f>_xlfn.CONCAT("https://www.distrelec.ch/search?q=",Table1[[#This Row],[Distrelec]])</f>
        <v>https://www.distrelec.ch/search?q=</v>
      </c>
      <c r="Y16" s="57"/>
      <c r="Z16" s="59"/>
      <c r="AA16" s="61" t="str">
        <f>IF(Table1[[#This Row],[Conrad]]="","", HYPERLINK(Table1[[#This Row],[Destination - Conrad]],_xlfn.CONCAT("Link (",Table1[[#This Row],[Conrad]],")")))</f>
        <v/>
      </c>
      <c r="AB16" s="62"/>
      <c r="AC16" s="57"/>
      <c r="AD16" s="59"/>
      <c r="AE16" s="61" t="str">
        <f>IF(Table1[[#This Row],[Mouser]]="","", HYPERLINK(Table1[[#This Row],[Destination - Mouser]],_xlfn.CONCAT("Link (",Table1[[#This Row],[Mouser]],")")))</f>
        <v/>
      </c>
      <c r="AF16" s="62" t="str">
        <f>_xlfn.CONCAT("https://www.mouser.ch/ProductDetail/",Table1[[#This Row],[Mouser]])</f>
        <v>https://www.mouser.ch/ProductDetail/</v>
      </c>
      <c r="AG16" s="57"/>
      <c r="AH16" s="59"/>
      <c r="AI16" s="61" t="str">
        <f>IF(Table1[[#This Row],[Bauhaus]]="","", HYPERLINK(Table1[[#This Row],[Destination - Bauhaus]],_xlfn.CONCAT("Link (",Table1[[#This Row],[Bauhaus]],")")))</f>
        <v/>
      </c>
      <c r="AJ16" s="62" t="str">
        <f>_xlfn.CONCAT("https://www.bauhaus.ch/fr/search?query=",Table1[[#This Row],[Bauhaus]])</f>
        <v>https://www.bauhaus.ch/fr/search?query=</v>
      </c>
      <c r="AK16" s="59"/>
      <c r="AL16" s="59"/>
      <c r="AM16" s="61" t="str">
        <f>IF(Table1[[#This Row],[BricoEtLoisirs]]="","", HYPERLINK(Table1[[#This Row],[Destination - BricoEtLoisirs]],_xlfn.CONCAT("Link (",Table1[[#This Row],[BricoEtLoisirs]],")")))</f>
        <v/>
      </c>
      <c r="AN16" s="62" t="str">
        <f>_xlfn.CONCAT("https://bricoetloisirs.ch/p/",Table1[[#This Row],[BricoEtLoisirs]])</f>
        <v>https://bricoetloisirs.ch/p/</v>
      </c>
      <c r="AO16" s="57"/>
      <c r="AP16" s="59"/>
      <c r="AQ16" s="61" t="str">
        <f>IF(Table1[[#This Row],[Aliexpress]]="","", HYPERLINK(Table1[[#This Row],[Destination - Aliexpress]],_xlfn.CONCAT("Link (",Table1[[#This Row],[Aliexpress]],")")))</f>
        <v/>
      </c>
      <c r="AR16" s="62" t="str">
        <f>_xlfn.CONCAT("https://www.aliexpress.com/item/",Table1[[#This Row],[Aliexpress]],".html")</f>
        <v>https://www.aliexpress.com/item/.html</v>
      </c>
      <c r="AS16" s="57"/>
      <c r="AT16" s="59"/>
      <c r="AU16" s="61" t="str">
        <f>IF(Table1[[#This Row],[Banggood]]="","", HYPERLINK(Table1[[#This Row],[Destination - Banggood]],_xlfn.CONCAT("Link (",Table1[[#This Row],[Banggood]],")")))</f>
        <v/>
      </c>
      <c r="AV16" s="62" t="str">
        <f>_xlfn.CONCAT("https://www.banggood.com/search/",Table1[[#This Row],[Banggood]],".html")</f>
        <v>https://www.banggood.com/search/.html</v>
      </c>
      <c r="AW16" s="59" t="str">
        <f>IF(Table1[[#This Row],[Other]]&lt;&gt;"","Other","")</f>
        <v/>
      </c>
      <c r="AX16" s="57"/>
      <c r="AY16" s="59"/>
      <c r="AZ16" s="61" t="str">
        <f>IF(Table1[[#This Row],[Other]]="","",IF(Table1[[#This Row],[Destination - Other]]="","",HYPERLINK(Table1[[#This Row],[Destination - Other]],_xlfn.CONCAT("Link ("&amp;Table1[[#This Row],[Other]]&amp;")"))))</f>
        <v/>
      </c>
      <c r="BA16" s="59"/>
      <c r="BB16" s="58" t="str">
        <f>IF(AND( Table1[[#This Row],[Auto Order]]=1,Table1[[#This Row],[Obsolete]]=""),IF(Table1[[#This Row],[In stock]]&lt;Table1[[#This Row],[Min in stock]],1,""),"")</f>
        <v/>
      </c>
      <c r="BC16" s="64"/>
      <c r="BD16" s="66" t="str">
        <f>IF(Table1[[#This Row],[Obsolete]],Table1[[#This Row],[Art. Number]],"")</f>
        <v/>
      </c>
    </row>
    <row r="17" spans="1:56" x14ac:dyDescent="0.25">
      <c r="A17" s="65" t="s">
        <v>370</v>
      </c>
      <c r="B17" s="57" t="s">
        <v>371</v>
      </c>
      <c r="C17" s="57" t="s">
        <v>97</v>
      </c>
      <c r="D17" s="57" t="s">
        <v>372</v>
      </c>
      <c r="E17" s="57" t="s">
        <v>359</v>
      </c>
      <c r="F17" s="58">
        <v>0</v>
      </c>
      <c r="G17" s="58"/>
      <c r="H17" s="58"/>
      <c r="I1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1590LB</v>
      </c>
      <c r="J1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7.86</v>
      </c>
      <c r="K1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1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(1590LB)</v>
      </c>
      <c r="M17" s="57"/>
      <c r="N17" s="59"/>
      <c r="O17" s="61" t="str">
        <f>IF(Table1[[#This Row],[Digikey]]="","", HYPERLINK(Table1[[#This Row],[Destination - Digikey]],_xlfn.CONCAT("Link (",Table1[[#This Row],[Digikey]],")")))</f>
        <v/>
      </c>
      <c r="P17" s="62" t="str">
        <f>_xlfn.CONCAT("https://www.digikey.ch/products/en?keywords=",Table1[[#This Row],[Digikey]])</f>
        <v>https://www.digikey.ch/products/en?keywords=</v>
      </c>
      <c r="Q17" s="57"/>
      <c r="R17" s="59"/>
      <c r="S17" s="61" t="str">
        <f>IF(Table1[[#This Row],[Farnell]]="","", HYPERLINK(Table1[[#This Row],[Destination - Farnell]],_xlfn.CONCAT("Link (",Table1[[#This Row],[Farnell]],")")))</f>
        <v/>
      </c>
      <c r="T17" s="62" t="str">
        <f>_xlfn.CONCAT("https://ch.farnell.com/fr-CH/",Table1[[#This Row],[Farnell]])</f>
        <v>https://ch.farnell.com/fr-CH/</v>
      </c>
      <c r="U17" s="57" t="s">
        <v>373</v>
      </c>
      <c r="V17" s="59">
        <v>7.86</v>
      </c>
      <c r="W17" s="61" t="str">
        <f>IF(Table1[[#This Row],[Distrelec]]="","", HYPERLINK(Table1[[#This Row],[Destination - Distrelec]],_xlfn.CONCAT("Link (",Table1[[#This Row],[Distrelec]],")")))</f>
        <v>Link (1590LB)</v>
      </c>
      <c r="X17" s="62" t="str">
        <f>_xlfn.CONCAT("https://www.distrelec.ch/search?q=",Table1[[#This Row],[Distrelec]])</f>
        <v>https://www.distrelec.ch/search?q=1590LB</v>
      </c>
      <c r="Y17" s="57"/>
      <c r="Z17" s="59"/>
      <c r="AA17" s="61" t="str">
        <f>IF(Table1[[#This Row],[Conrad]]="","", HYPERLINK(Table1[[#This Row],[Destination - Conrad]],_xlfn.CONCAT("Link (",Table1[[#This Row],[Conrad]],")")))</f>
        <v/>
      </c>
      <c r="AB17" s="62"/>
      <c r="AC17" s="57"/>
      <c r="AD17" s="59"/>
      <c r="AE17" s="61" t="str">
        <f>IF(Table1[[#This Row],[Mouser]]="","", HYPERLINK(Table1[[#This Row],[Destination - Mouser]],_xlfn.CONCAT("Link (",Table1[[#This Row],[Mouser]],")")))</f>
        <v/>
      </c>
      <c r="AF17" s="62" t="str">
        <f>_xlfn.CONCAT("https://www.mouser.ch/ProductDetail/",Table1[[#This Row],[Mouser]])</f>
        <v>https://www.mouser.ch/ProductDetail/</v>
      </c>
      <c r="AG17" s="57"/>
      <c r="AH17" s="59"/>
      <c r="AI17" s="61" t="str">
        <f>IF(Table1[[#This Row],[Bauhaus]]="","", HYPERLINK(Table1[[#This Row],[Destination - Bauhaus]],_xlfn.CONCAT("Link (",Table1[[#This Row],[Bauhaus]],")")))</f>
        <v/>
      </c>
      <c r="AJ17" s="62" t="str">
        <f>_xlfn.CONCAT("https://www.bauhaus.ch/fr/search?query=",Table1[[#This Row],[Bauhaus]])</f>
        <v>https://www.bauhaus.ch/fr/search?query=</v>
      </c>
      <c r="AK17" s="59"/>
      <c r="AL17" s="59"/>
      <c r="AM17" s="61" t="str">
        <f>IF(Table1[[#This Row],[BricoEtLoisirs]]="","", HYPERLINK(Table1[[#This Row],[Destination - BricoEtLoisirs]],_xlfn.CONCAT("Link (",Table1[[#This Row],[BricoEtLoisirs]],")")))</f>
        <v/>
      </c>
      <c r="AN17" s="62" t="str">
        <f>_xlfn.CONCAT("https://bricoetloisirs.ch/p/",Table1[[#This Row],[BricoEtLoisirs]])</f>
        <v>https://bricoetloisirs.ch/p/</v>
      </c>
      <c r="AO17" s="57"/>
      <c r="AP17" s="59"/>
      <c r="AQ17" s="61" t="str">
        <f>IF(Table1[[#This Row],[Aliexpress]]="","", HYPERLINK(Table1[[#This Row],[Destination - Aliexpress]],_xlfn.CONCAT("Link (",Table1[[#This Row],[Aliexpress]],")")))</f>
        <v/>
      </c>
      <c r="AR17" s="62" t="str">
        <f>_xlfn.CONCAT("https://www.aliexpress.com/item/",Table1[[#This Row],[Aliexpress]],".html")</f>
        <v>https://www.aliexpress.com/item/.html</v>
      </c>
      <c r="AS17" s="57"/>
      <c r="AT17" s="59"/>
      <c r="AU17" s="61" t="str">
        <f>IF(Table1[[#This Row],[Banggood]]="","", HYPERLINK(Table1[[#This Row],[Destination - Banggood]],_xlfn.CONCAT("Link (",Table1[[#This Row],[Banggood]],")")))</f>
        <v/>
      </c>
      <c r="AV17" s="62" t="str">
        <f>_xlfn.CONCAT("https://www.banggood.com/search/",Table1[[#This Row],[Banggood]],".html")</f>
        <v>https://www.banggood.com/search/.html</v>
      </c>
      <c r="AW17" s="59" t="str">
        <f>IF(Table1[[#This Row],[Other]]&lt;&gt;"","Other","")</f>
        <v/>
      </c>
      <c r="AX17" s="57"/>
      <c r="AY17" s="59"/>
      <c r="AZ17" s="61" t="str">
        <f>IF(Table1[[#This Row],[Other]]="","",IF(Table1[[#This Row],[Destination - Other]]="","",HYPERLINK(Table1[[#This Row],[Destination - Other]],_xlfn.CONCAT("Link ("&amp;Table1[[#This Row],[Other]]&amp;")"))))</f>
        <v/>
      </c>
      <c r="BA17" s="59"/>
      <c r="BB17" s="58" t="str">
        <f>IF(AND( Table1[[#This Row],[Auto Order]]=1,Table1[[#This Row],[Obsolete]]=""),IF(Table1[[#This Row],[In stock]]&lt;Table1[[#This Row],[Min in stock]],1,""),"")</f>
        <v/>
      </c>
      <c r="BC17" s="64"/>
      <c r="BD17" s="66" t="str">
        <f>IF(Table1[[#This Row],[Obsolete]],Table1[[#This Row],[Art. Number]],"")</f>
        <v/>
      </c>
    </row>
    <row r="18" spans="1:56" x14ac:dyDescent="0.25">
      <c r="A18" s="65" t="s">
        <v>132</v>
      </c>
      <c r="B18" s="57" t="s">
        <v>375</v>
      </c>
      <c r="C18" s="57" t="s">
        <v>376</v>
      </c>
      <c r="D18" s="57" t="s">
        <v>377</v>
      </c>
      <c r="E18" s="57" t="s">
        <v>378</v>
      </c>
      <c r="F18" s="58">
        <v>1</v>
      </c>
      <c r="G18" s="58"/>
      <c r="H18" s="58"/>
      <c r="I1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MCP2210-I/SS-ND</v>
      </c>
      <c r="J1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</v>
      </c>
      <c r="K1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(MCP2210-I/SS-ND)</v>
      </c>
      <c r="M18" s="57" t="s">
        <v>379</v>
      </c>
      <c r="N18" s="59">
        <v>2</v>
      </c>
      <c r="O18" s="61" t="str">
        <f>IF(Table1[[#This Row],[Digikey]]="","", HYPERLINK(Table1[[#This Row],[Destination - Digikey]],_xlfn.CONCAT("Link (",Table1[[#This Row],[Digikey]],")")))</f>
        <v>Link (MCP2210-I/SS-ND)</v>
      </c>
      <c r="P18" s="62" t="str">
        <f>_xlfn.CONCAT("https://www.digikey.ch/products/en?keywords=",Table1[[#This Row],[Digikey]])</f>
        <v>https://www.digikey.ch/products/en?keywords=MCP2210-I/SS-ND</v>
      </c>
      <c r="Q18" s="57"/>
      <c r="R18" s="59"/>
      <c r="S18" s="61" t="str">
        <f>IF(Table1[[#This Row],[Farnell]]="","", HYPERLINK(Table1[[#This Row],[Destination - Farnell]],_xlfn.CONCAT("Link (",Table1[[#This Row],[Farnell]],")")))</f>
        <v/>
      </c>
      <c r="T18" s="62" t="str">
        <f>_xlfn.CONCAT("https://ch.farnell.com/fr-CH/",Table1[[#This Row],[Farnell]])</f>
        <v>https://ch.farnell.com/fr-CH/</v>
      </c>
      <c r="U18" s="57"/>
      <c r="V18" s="59"/>
      <c r="W18" s="61" t="str">
        <f>IF(Table1[[#This Row],[Distrelec]]="","", HYPERLINK(Table1[[#This Row],[Destination - Distrelec]],_xlfn.CONCAT("Link (",Table1[[#This Row],[Distrelec]],")")))</f>
        <v/>
      </c>
      <c r="X18" s="62" t="str">
        <f>_xlfn.CONCAT("https://www.distrelec.ch/search?q=",Table1[[#This Row],[Distrelec]])</f>
        <v>https://www.distrelec.ch/search?q=</v>
      </c>
      <c r="Y18" s="57"/>
      <c r="Z18" s="59"/>
      <c r="AA18" s="61" t="str">
        <f>IF(Table1[[#This Row],[Conrad]]="","", HYPERLINK(Table1[[#This Row],[Destination - Conrad]],_xlfn.CONCAT("Link (",Table1[[#This Row],[Conrad]],")")))</f>
        <v/>
      </c>
      <c r="AB18" s="62"/>
      <c r="AC18" s="57"/>
      <c r="AD18" s="59"/>
      <c r="AE18" s="61" t="str">
        <f>IF(Table1[[#This Row],[Mouser]]="","", HYPERLINK(Table1[[#This Row],[Destination - Mouser]],_xlfn.CONCAT("Link (",Table1[[#This Row],[Mouser]],")")))</f>
        <v/>
      </c>
      <c r="AF18" s="62" t="str">
        <f>_xlfn.CONCAT("https://www.mouser.ch/ProductDetail/",Table1[[#This Row],[Mouser]])</f>
        <v>https://www.mouser.ch/ProductDetail/</v>
      </c>
      <c r="AG18" s="57"/>
      <c r="AH18" s="59"/>
      <c r="AI18" s="61" t="str">
        <f>IF(Table1[[#This Row],[Bauhaus]]="","", HYPERLINK(Table1[[#This Row],[Destination - Bauhaus]],_xlfn.CONCAT("Link (",Table1[[#This Row],[Bauhaus]],")")))</f>
        <v/>
      </c>
      <c r="AJ18" s="62" t="str">
        <f>_xlfn.CONCAT("https://www.bauhaus.ch/fr/search?query=",Table1[[#This Row],[Bauhaus]])</f>
        <v>https://www.bauhaus.ch/fr/search?query=</v>
      </c>
      <c r="AK18" s="59"/>
      <c r="AL18" s="59"/>
      <c r="AM18" s="61" t="str">
        <f>IF(Table1[[#This Row],[BricoEtLoisirs]]="","", HYPERLINK(Table1[[#This Row],[Destination - BricoEtLoisirs]],_xlfn.CONCAT("Link (",Table1[[#This Row],[BricoEtLoisirs]],")")))</f>
        <v/>
      </c>
      <c r="AN18" s="62" t="str">
        <f>_xlfn.CONCAT("https://bricoetloisirs.ch/p/",Table1[[#This Row],[BricoEtLoisirs]])</f>
        <v>https://bricoetloisirs.ch/p/</v>
      </c>
      <c r="AO18" s="57"/>
      <c r="AP18" s="59"/>
      <c r="AQ18" s="61" t="str">
        <f>IF(Table1[[#This Row],[Aliexpress]]="","", HYPERLINK(Table1[[#This Row],[Destination - Aliexpress]],_xlfn.CONCAT("Link (",Table1[[#This Row],[Aliexpress]],")")))</f>
        <v/>
      </c>
      <c r="AR18" s="62" t="str">
        <f>_xlfn.CONCAT("https://www.aliexpress.com/item/",Table1[[#This Row],[Aliexpress]],".html")</f>
        <v>https://www.aliexpress.com/item/.html</v>
      </c>
      <c r="AS18" s="57"/>
      <c r="AT18" s="59"/>
      <c r="AU18" s="61" t="str">
        <f>IF(Table1[[#This Row],[Banggood]]="","", HYPERLINK(Table1[[#This Row],[Destination - Banggood]],_xlfn.CONCAT("Link (",Table1[[#This Row],[Banggood]],")")))</f>
        <v/>
      </c>
      <c r="AV18" s="62" t="str">
        <f>_xlfn.CONCAT("https://www.banggood.com/search/",Table1[[#This Row],[Banggood]],".html")</f>
        <v>https://www.banggood.com/search/.html</v>
      </c>
      <c r="AW18" s="59" t="str">
        <f>IF(Table1[[#This Row],[Other]]&lt;&gt;"","Other","")</f>
        <v/>
      </c>
      <c r="AX18" s="57"/>
      <c r="AY18" s="59"/>
      <c r="AZ18" s="61" t="str">
        <f>IF(Table1[[#This Row],[Other]]="","",IF(Table1[[#This Row],[Destination - Other]]="","",HYPERLINK(Table1[[#This Row],[Destination - Other]],_xlfn.CONCAT("Link ("&amp;Table1[[#This Row],[Other]]&amp;")"))))</f>
        <v/>
      </c>
      <c r="BA18" s="59"/>
      <c r="BB18" s="58" t="str">
        <f>IF(AND( Table1[[#This Row],[Auto Order]]=1,Table1[[#This Row],[Obsolete]]=""),IF(Table1[[#This Row],[In stock]]&lt;Table1[[#This Row],[Min in stock]],1,""),"")</f>
        <v/>
      </c>
      <c r="BC18" s="64"/>
      <c r="BD18" s="66" t="str">
        <f>IF(Table1[[#This Row],[Obsolete]],Table1[[#This Row],[Art. Number]],"")</f>
        <v/>
      </c>
    </row>
    <row r="19" spans="1:56" x14ac:dyDescent="0.25">
      <c r="A19" s="65" t="s">
        <v>30</v>
      </c>
      <c r="B19" s="57" t="s">
        <v>381</v>
      </c>
      <c r="C19" s="57" t="s">
        <v>97</v>
      </c>
      <c r="D19" s="57" t="s">
        <v>382</v>
      </c>
      <c r="E19" s="57" t="s">
        <v>383</v>
      </c>
      <c r="F19" s="58">
        <v>1</v>
      </c>
      <c r="G19" s="58"/>
      <c r="H19" s="58"/>
      <c r="I1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668-1204-ND</v>
      </c>
      <c r="J1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2.98</v>
      </c>
      <c r="K1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(668-1204-ND)</v>
      </c>
      <c r="M19" s="57" t="s">
        <v>384</v>
      </c>
      <c r="N19" s="59">
        <v>2.98</v>
      </c>
      <c r="O19" s="61" t="str">
        <f>IF(Table1[[#This Row],[Digikey]]="","", HYPERLINK(Table1[[#This Row],[Destination - Digikey]],_xlfn.CONCAT("Link (",Table1[[#This Row],[Digikey]],")")))</f>
        <v>Link (668-1204-ND)</v>
      </c>
      <c r="P19" s="62" t="str">
        <f>_xlfn.CONCAT("https://www.digikey.ch/products/en?keywords=",Table1[[#This Row],[Digikey]])</f>
        <v>https://www.digikey.ch/products/en?keywords=668-1204-ND</v>
      </c>
      <c r="Q19" s="57"/>
      <c r="R19" s="59"/>
      <c r="S19" s="61" t="str">
        <f>IF(Table1[[#This Row],[Farnell]]="","", HYPERLINK(Table1[[#This Row],[Destination - Farnell]],_xlfn.CONCAT("Link (",Table1[[#This Row],[Farnell]],")")))</f>
        <v/>
      </c>
      <c r="T19" s="62" t="str">
        <f>_xlfn.CONCAT("https://ch.farnell.com/fr-CH/",Table1[[#This Row],[Farnell]])</f>
        <v>https://ch.farnell.com/fr-CH/</v>
      </c>
      <c r="U19" s="57"/>
      <c r="V19" s="59"/>
      <c r="W19" s="61" t="str">
        <f>IF(Table1[[#This Row],[Distrelec]]="","", HYPERLINK(Table1[[#This Row],[Destination - Distrelec]],_xlfn.CONCAT("Link (",Table1[[#This Row],[Distrelec]],")")))</f>
        <v/>
      </c>
      <c r="X19" s="62" t="str">
        <f>_xlfn.CONCAT("https://www.distrelec.ch/search?q=",Table1[[#This Row],[Distrelec]])</f>
        <v>https://www.distrelec.ch/search?q=</v>
      </c>
      <c r="Y19" s="57"/>
      <c r="Z19" s="59"/>
      <c r="AA19" s="61" t="str">
        <f>IF(Table1[[#This Row],[Conrad]]="","", HYPERLINK(Table1[[#This Row],[Destination - Conrad]],_xlfn.CONCAT("Link (",Table1[[#This Row],[Conrad]],")")))</f>
        <v/>
      </c>
      <c r="AB19" s="62"/>
      <c r="AC19" s="57"/>
      <c r="AD19" s="59"/>
      <c r="AE19" s="61" t="str">
        <f>IF(Table1[[#This Row],[Mouser]]="","", HYPERLINK(Table1[[#This Row],[Destination - Mouser]],_xlfn.CONCAT("Link (",Table1[[#This Row],[Mouser]],")")))</f>
        <v/>
      </c>
      <c r="AF19" s="62" t="str">
        <f>_xlfn.CONCAT("https://www.mouser.ch/ProductDetail/",Table1[[#This Row],[Mouser]])</f>
        <v>https://www.mouser.ch/ProductDetail/</v>
      </c>
      <c r="AG19" s="57"/>
      <c r="AH19" s="59"/>
      <c r="AI19" s="61" t="str">
        <f>IF(Table1[[#This Row],[Bauhaus]]="","", HYPERLINK(Table1[[#This Row],[Destination - Bauhaus]],_xlfn.CONCAT("Link (",Table1[[#This Row],[Bauhaus]],")")))</f>
        <v/>
      </c>
      <c r="AJ19" s="62" t="str">
        <f>_xlfn.CONCAT("https://www.bauhaus.ch/fr/search?query=",Table1[[#This Row],[Bauhaus]])</f>
        <v>https://www.bauhaus.ch/fr/search?query=</v>
      </c>
      <c r="AK19" s="59"/>
      <c r="AL19" s="59"/>
      <c r="AM19" s="61" t="str">
        <f>IF(Table1[[#This Row],[BricoEtLoisirs]]="","", HYPERLINK(Table1[[#This Row],[Destination - BricoEtLoisirs]],_xlfn.CONCAT("Link (",Table1[[#This Row],[BricoEtLoisirs]],")")))</f>
        <v/>
      </c>
      <c r="AN19" s="62" t="str">
        <f>_xlfn.CONCAT("https://bricoetloisirs.ch/p/",Table1[[#This Row],[BricoEtLoisirs]])</f>
        <v>https://bricoetloisirs.ch/p/</v>
      </c>
      <c r="AO19" s="57"/>
      <c r="AP19" s="59"/>
      <c r="AQ19" s="61" t="str">
        <f>IF(Table1[[#This Row],[Aliexpress]]="","", HYPERLINK(Table1[[#This Row],[Destination - Aliexpress]],_xlfn.CONCAT("Link (",Table1[[#This Row],[Aliexpress]],")")))</f>
        <v/>
      </c>
      <c r="AR19" s="62" t="str">
        <f>_xlfn.CONCAT("https://www.aliexpress.com/item/",Table1[[#This Row],[Aliexpress]],".html")</f>
        <v>https://www.aliexpress.com/item/.html</v>
      </c>
      <c r="AS19" s="57"/>
      <c r="AT19" s="59"/>
      <c r="AU19" s="61" t="str">
        <f>IF(Table1[[#This Row],[Banggood]]="","", HYPERLINK(Table1[[#This Row],[Destination - Banggood]],_xlfn.CONCAT("Link (",Table1[[#This Row],[Banggood]],")")))</f>
        <v/>
      </c>
      <c r="AV19" s="62" t="str">
        <f>_xlfn.CONCAT("https://www.banggood.com/search/",Table1[[#This Row],[Banggood]],".html")</f>
        <v>https://www.banggood.com/search/.html</v>
      </c>
      <c r="AW19" s="59" t="str">
        <f>IF(Table1[[#This Row],[Other]]&lt;&gt;"","Other","")</f>
        <v/>
      </c>
      <c r="AX19" s="57"/>
      <c r="AY19" s="59"/>
      <c r="AZ19" s="61" t="str">
        <f>IF(Table1[[#This Row],[Other]]="","",IF(Table1[[#This Row],[Destination - Other]]="","",HYPERLINK(Table1[[#This Row],[Destination - Other]],_xlfn.CONCAT("Link ("&amp;Table1[[#This Row],[Other]]&amp;")"))))</f>
        <v/>
      </c>
      <c r="BA19" s="59"/>
      <c r="BB19" s="58" t="str">
        <f>IF(AND( Table1[[#This Row],[Auto Order]]=1,Table1[[#This Row],[Obsolete]]=""),IF(Table1[[#This Row],[In stock]]&lt;Table1[[#This Row],[Min in stock]],1,""),"")</f>
        <v/>
      </c>
      <c r="BC19" s="64"/>
      <c r="BD19" s="66" t="str">
        <f>IF(Table1[[#This Row],[Obsolete]],Table1[[#This Row],[Art. Number]],"")</f>
        <v/>
      </c>
    </row>
    <row r="20" spans="1:56" x14ac:dyDescent="0.25">
      <c r="A20" s="65" t="s">
        <v>386</v>
      </c>
      <c r="B20" s="57" t="s">
        <v>387</v>
      </c>
      <c r="C20" s="57" t="s">
        <v>97</v>
      </c>
      <c r="D20" s="57" t="s">
        <v>388</v>
      </c>
      <c r="E20" s="57" t="s">
        <v>389</v>
      </c>
      <c r="F20" s="58">
        <v>1</v>
      </c>
      <c r="G20" s="58">
        <v>1</v>
      </c>
      <c r="H20" s="58">
        <v>1</v>
      </c>
      <c r="I2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155-79-877</v>
      </c>
      <c r="J2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28.01</v>
      </c>
      <c r="K2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2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(155-79-877)</v>
      </c>
      <c r="M20" s="57"/>
      <c r="N20" s="59"/>
      <c r="O20" s="61" t="str">
        <f>IF(Table1[[#This Row],[Digikey]]="","", HYPERLINK(Table1[[#This Row],[Destination - Digikey]],_xlfn.CONCAT("Link (",Table1[[#This Row],[Digikey]],")")))</f>
        <v/>
      </c>
      <c r="P20" s="62" t="str">
        <f>_xlfn.CONCAT("https://www.digikey.ch/products/en?keywords=",Table1[[#This Row],[Digikey]])</f>
        <v>https://www.digikey.ch/products/en?keywords=</v>
      </c>
      <c r="Q20" s="57"/>
      <c r="R20" s="59"/>
      <c r="S20" s="61" t="str">
        <f>IF(Table1[[#This Row],[Farnell]]="","", HYPERLINK(Table1[[#This Row],[Destination - Farnell]],_xlfn.CONCAT("Link (",Table1[[#This Row],[Farnell]],")")))</f>
        <v/>
      </c>
      <c r="T20" s="62" t="str">
        <f>_xlfn.CONCAT("https://ch.farnell.com/fr-CH/",Table1[[#This Row],[Farnell]])</f>
        <v>https://ch.farnell.com/fr-CH/</v>
      </c>
      <c r="U20" s="57" t="s">
        <v>390</v>
      </c>
      <c r="V20" s="59">
        <v>28.01</v>
      </c>
      <c r="W20" s="61" t="str">
        <f>IF(Table1[[#This Row],[Distrelec]]="","", HYPERLINK(Table1[[#This Row],[Destination - Distrelec]],_xlfn.CONCAT("Link (",Table1[[#This Row],[Distrelec]],")")))</f>
        <v>Link (155-79-877)</v>
      </c>
      <c r="X20" s="62" t="str">
        <f>_xlfn.CONCAT("https://www.distrelec.ch/search?q=",Table1[[#This Row],[Distrelec]])</f>
        <v>https://www.distrelec.ch/search?q=155-79-877</v>
      </c>
      <c r="Y20" s="57"/>
      <c r="Z20" s="59"/>
      <c r="AA20" s="61" t="str">
        <f>IF(Table1[[#This Row],[Conrad]]="","", HYPERLINK(Table1[[#This Row],[Destination - Conrad]],_xlfn.CONCAT("Link (",Table1[[#This Row],[Conrad]],")")))</f>
        <v/>
      </c>
      <c r="AB20" s="62"/>
      <c r="AC20" s="57"/>
      <c r="AD20" s="59"/>
      <c r="AE20" s="61" t="str">
        <f>IF(Table1[[#This Row],[Mouser]]="","", HYPERLINK(Table1[[#This Row],[Destination - Mouser]],_xlfn.CONCAT("Link (",Table1[[#This Row],[Mouser]],")")))</f>
        <v/>
      </c>
      <c r="AF20" s="62" t="str">
        <f>_xlfn.CONCAT("https://www.mouser.ch/ProductDetail/",Table1[[#This Row],[Mouser]])</f>
        <v>https://www.mouser.ch/ProductDetail/</v>
      </c>
      <c r="AG20" s="57"/>
      <c r="AH20" s="59"/>
      <c r="AI20" s="61" t="str">
        <f>IF(Table1[[#This Row],[Bauhaus]]="","", HYPERLINK(Table1[[#This Row],[Destination - Bauhaus]],_xlfn.CONCAT("Link (",Table1[[#This Row],[Bauhaus]],")")))</f>
        <v/>
      </c>
      <c r="AJ20" s="62" t="str">
        <f>_xlfn.CONCAT("https://www.bauhaus.ch/fr/search?query=",Table1[[#This Row],[Bauhaus]])</f>
        <v>https://www.bauhaus.ch/fr/search?query=</v>
      </c>
      <c r="AK20" s="59"/>
      <c r="AL20" s="59"/>
      <c r="AM20" s="61" t="str">
        <f>IF(Table1[[#This Row],[BricoEtLoisirs]]="","", HYPERLINK(Table1[[#This Row],[Destination - BricoEtLoisirs]],_xlfn.CONCAT("Link (",Table1[[#This Row],[BricoEtLoisirs]],")")))</f>
        <v/>
      </c>
      <c r="AN20" s="62" t="str">
        <f>_xlfn.CONCAT("https://bricoetloisirs.ch/p/",Table1[[#This Row],[BricoEtLoisirs]])</f>
        <v>https://bricoetloisirs.ch/p/</v>
      </c>
      <c r="AO20" s="57"/>
      <c r="AP20" s="59"/>
      <c r="AQ20" s="61" t="str">
        <f>IF(Table1[[#This Row],[Aliexpress]]="","", HYPERLINK(Table1[[#This Row],[Destination - Aliexpress]],_xlfn.CONCAT("Link (",Table1[[#This Row],[Aliexpress]],")")))</f>
        <v/>
      </c>
      <c r="AR20" s="62" t="str">
        <f>_xlfn.CONCAT("https://www.aliexpress.com/item/",Table1[[#This Row],[Aliexpress]],".html")</f>
        <v>https://www.aliexpress.com/item/.html</v>
      </c>
      <c r="AS20" s="57"/>
      <c r="AT20" s="59"/>
      <c r="AU20" s="61" t="str">
        <f>IF(Table1[[#This Row],[Banggood]]="","", HYPERLINK(Table1[[#This Row],[Destination - Banggood]],_xlfn.CONCAT("Link (",Table1[[#This Row],[Banggood]],")")))</f>
        <v/>
      </c>
      <c r="AV20" s="62" t="str">
        <f>_xlfn.CONCAT("https://www.banggood.com/search/",Table1[[#This Row],[Banggood]],".html")</f>
        <v>https://www.banggood.com/search/.html</v>
      </c>
      <c r="AW20" s="59" t="str">
        <f>IF(Table1[[#This Row],[Other]]&lt;&gt;"","Other","")</f>
        <v/>
      </c>
      <c r="AX20" s="57"/>
      <c r="AY20" s="59"/>
      <c r="AZ20" s="61" t="str">
        <f>IF(Table1[[#This Row],[Other]]="","",IF(Table1[[#This Row],[Destination - Other]]="","",HYPERLINK(Table1[[#This Row],[Destination - Other]],_xlfn.CONCAT("Link ("&amp;Table1[[#This Row],[Other]]&amp;")"))))</f>
        <v/>
      </c>
      <c r="BA20" s="59"/>
      <c r="BB20" s="58" t="str">
        <f>IF(AND( Table1[[#This Row],[Auto Order]]=1,Table1[[#This Row],[Obsolete]]=""),IF(Table1[[#This Row],[In stock]]&lt;Table1[[#This Row],[Min in stock]],1,""),"")</f>
        <v/>
      </c>
      <c r="BC20" s="64"/>
      <c r="BD20" s="66" t="str">
        <f>IF(Table1[[#This Row],[Obsolete]],Table1[[#This Row],[Art. Number]],"")</f>
        <v/>
      </c>
    </row>
    <row r="21" spans="1:56" x14ac:dyDescent="0.25">
      <c r="A21" s="65" t="s">
        <v>392</v>
      </c>
      <c r="B21" s="57" t="s">
        <v>387</v>
      </c>
      <c r="C21" s="57" t="s">
        <v>97</v>
      </c>
      <c r="D21" s="57" t="s">
        <v>393</v>
      </c>
      <c r="E21" s="57" t="s">
        <v>389</v>
      </c>
      <c r="F21" s="58">
        <v>1</v>
      </c>
      <c r="G21" s="58">
        <v>1</v>
      </c>
      <c r="H21" s="58">
        <v>1</v>
      </c>
      <c r="I2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155-79-878</v>
      </c>
      <c r="J2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27.02</v>
      </c>
      <c r="K2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2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(155-79-878)</v>
      </c>
      <c r="M21" s="57"/>
      <c r="N21" s="59"/>
      <c r="O21" s="61" t="str">
        <f>IF(Table1[[#This Row],[Digikey]]="","", HYPERLINK(Table1[[#This Row],[Destination - Digikey]],_xlfn.CONCAT("Link (",Table1[[#This Row],[Digikey]],")")))</f>
        <v/>
      </c>
      <c r="P21" s="62" t="str">
        <f>_xlfn.CONCAT("https://www.digikey.ch/products/en?keywords=",Table1[[#This Row],[Digikey]])</f>
        <v>https://www.digikey.ch/products/en?keywords=</v>
      </c>
      <c r="Q21" s="57"/>
      <c r="R21" s="59"/>
      <c r="S21" s="61" t="str">
        <f>IF(Table1[[#This Row],[Farnell]]="","", HYPERLINK(Table1[[#This Row],[Destination - Farnell]],_xlfn.CONCAT("Link (",Table1[[#This Row],[Farnell]],")")))</f>
        <v/>
      </c>
      <c r="T21" s="62" t="str">
        <f>_xlfn.CONCAT("https://ch.farnell.com/fr-CH/",Table1[[#This Row],[Farnell]])</f>
        <v>https://ch.farnell.com/fr-CH/</v>
      </c>
      <c r="U21" s="57" t="s">
        <v>394</v>
      </c>
      <c r="V21" s="59">
        <v>27.02</v>
      </c>
      <c r="W21" s="61" t="str">
        <f>IF(Table1[[#This Row],[Distrelec]]="","", HYPERLINK(Table1[[#This Row],[Destination - Distrelec]],_xlfn.CONCAT("Link (",Table1[[#This Row],[Distrelec]],")")))</f>
        <v>Link (155-79-878)</v>
      </c>
      <c r="X21" s="62" t="str">
        <f>_xlfn.CONCAT("https://www.distrelec.ch/search?q=",Table1[[#This Row],[Distrelec]])</f>
        <v>https://www.distrelec.ch/search?q=155-79-878</v>
      </c>
      <c r="Y21" s="57"/>
      <c r="Z21" s="59"/>
      <c r="AA21" s="61" t="str">
        <f>IF(Table1[[#This Row],[Conrad]]="","", HYPERLINK(Table1[[#This Row],[Destination - Conrad]],_xlfn.CONCAT("Link (",Table1[[#This Row],[Conrad]],")")))</f>
        <v/>
      </c>
      <c r="AB21" s="62"/>
      <c r="AC21" s="57"/>
      <c r="AD21" s="59"/>
      <c r="AE21" s="61" t="str">
        <f>IF(Table1[[#This Row],[Mouser]]="","", HYPERLINK(Table1[[#This Row],[Destination - Mouser]],_xlfn.CONCAT("Link (",Table1[[#This Row],[Mouser]],")")))</f>
        <v/>
      </c>
      <c r="AF21" s="62" t="str">
        <f>_xlfn.CONCAT("https://www.mouser.ch/ProductDetail/",Table1[[#This Row],[Mouser]])</f>
        <v>https://www.mouser.ch/ProductDetail/</v>
      </c>
      <c r="AG21" s="57"/>
      <c r="AH21" s="59"/>
      <c r="AI21" s="61" t="str">
        <f>IF(Table1[[#This Row],[Bauhaus]]="","", HYPERLINK(Table1[[#This Row],[Destination - Bauhaus]],_xlfn.CONCAT("Link (",Table1[[#This Row],[Bauhaus]],")")))</f>
        <v/>
      </c>
      <c r="AJ21" s="62" t="str">
        <f>_xlfn.CONCAT("https://www.bauhaus.ch/fr/search?query=",Table1[[#This Row],[Bauhaus]])</f>
        <v>https://www.bauhaus.ch/fr/search?query=</v>
      </c>
      <c r="AK21" s="59"/>
      <c r="AL21" s="59"/>
      <c r="AM21" s="61" t="str">
        <f>IF(Table1[[#This Row],[BricoEtLoisirs]]="","", HYPERLINK(Table1[[#This Row],[Destination - BricoEtLoisirs]],_xlfn.CONCAT("Link (",Table1[[#This Row],[BricoEtLoisirs]],")")))</f>
        <v/>
      </c>
      <c r="AN21" s="62" t="str">
        <f>_xlfn.CONCAT("https://bricoetloisirs.ch/p/",Table1[[#This Row],[BricoEtLoisirs]])</f>
        <v>https://bricoetloisirs.ch/p/</v>
      </c>
      <c r="AO21" s="57"/>
      <c r="AP21" s="59"/>
      <c r="AQ21" s="61" t="str">
        <f>IF(Table1[[#This Row],[Aliexpress]]="","", HYPERLINK(Table1[[#This Row],[Destination - Aliexpress]],_xlfn.CONCAT("Link (",Table1[[#This Row],[Aliexpress]],")")))</f>
        <v/>
      </c>
      <c r="AR21" s="62" t="str">
        <f>_xlfn.CONCAT("https://www.aliexpress.com/item/",Table1[[#This Row],[Aliexpress]],".html")</f>
        <v>https://www.aliexpress.com/item/.html</v>
      </c>
      <c r="AS21" s="57"/>
      <c r="AT21" s="59"/>
      <c r="AU21" s="61" t="str">
        <f>IF(Table1[[#This Row],[Banggood]]="","", HYPERLINK(Table1[[#This Row],[Destination - Banggood]],_xlfn.CONCAT("Link (",Table1[[#This Row],[Banggood]],")")))</f>
        <v/>
      </c>
      <c r="AV21" s="62" t="str">
        <f>_xlfn.CONCAT("https://www.banggood.com/search/",Table1[[#This Row],[Banggood]],".html")</f>
        <v>https://www.banggood.com/search/.html</v>
      </c>
      <c r="AW21" s="59" t="str">
        <f>IF(Table1[[#This Row],[Other]]&lt;&gt;"","Other","")</f>
        <v/>
      </c>
      <c r="AX21" s="57"/>
      <c r="AY21" s="59"/>
      <c r="AZ21" s="61" t="str">
        <f>IF(Table1[[#This Row],[Other]]="","",IF(Table1[[#This Row],[Destination - Other]]="","",HYPERLINK(Table1[[#This Row],[Destination - Other]],_xlfn.CONCAT("Link ("&amp;Table1[[#This Row],[Other]]&amp;")"))))</f>
        <v/>
      </c>
      <c r="BA21" s="59"/>
      <c r="BB21" s="58" t="str">
        <f>IF(AND( Table1[[#This Row],[Auto Order]]=1,Table1[[#This Row],[Obsolete]]=""),IF(Table1[[#This Row],[In stock]]&lt;Table1[[#This Row],[Min in stock]],1,""),"")</f>
        <v/>
      </c>
      <c r="BC21" s="64"/>
      <c r="BD21" s="66" t="str">
        <f>IF(Table1[[#This Row],[Obsolete]],Table1[[#This Row],[Art. Number]],"")</f>
        <v/>
      </c>
    </row>
    <row r="22" spans="1:56" x14ac:dyDescent="0.25">
      <c r="A22" s="65" t="s">
        <v>9</v>
      </c>
      <c r="B22" s="57" t="s">
        <v>300</v>
      </c>
      <c r="C22" s="57" t="s">
        <v>301</v>
      </c>
      <c r="D22" s="57" t="s">
        <v>302</v>
      </c>
      <c r="E22" s="57" t="s">
        <v>303</v>
      </c>
      <c r="F22" s="58">
        <v>48</v>
      </c>
      <c r="G22" s="58"/>
      <c r="H22" s="58"/>
      <c r="I2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9451234</v>
      </c>
      <c r="J2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5.0999999999999997E-2</v>
      </c>
      <c r="K2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2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(9451234)</v>
      </c>
      <c r="M22" s="57"/>
      <c r="N22" s="59"/>
      <c r="O22" s="61" t="str">
        <f>IF(Table1[[#This Row],[Digikey]]="","", HYPERLINK(Table1[[#This Row],[Destination - Digikey]],_xlfn.CONCAT("Link (",Table1[[#This Row],[Digikey]],")")))</f>
        <v/>
      </c>
      <c r="P22" s="62" t="str">
        <f>_xlfn.CONCAT("https://www.digikey.ch/products/en?keywords=",Table1[[#This Row],[Digikey]])</f>
        <v>https://www.digikey.ch/products/en?keywords=</v>
      </c>
      <c r="Q22" s="57" t="s">
        <v>2342</v>
      </c>
      <c r="R22" s="59">
        <v>5.0999999999999997E-2</v>
      </c>
      <c r="S22" s="61" t="str">
        <f>IF(Table1[[#This Row],[Farnell]]="","", HYPERLINK(Table1[[#This Row],[Destination - Farnell]],_xlfn.CONCAT("Link (",Table1[[#This Row],[Farnell]],")")))</f>
        <v>Link (9451234)</v>
      </c>
      <c r="T22" s="62" t="str">
        <f>_xlfn.CONCAT("https://ch.farnell.com/fr-CH/",Table1[[#This Row],[Farnell]])</f>
        <v>https://ch.farnell.com/fr-CH/9451234</v>
      </c>
      <c r="U22" s="57"/>
      <c r="V22" s="59"/>
      <c r="W22" s="61" t="str">
        <f>IF(Table1[[#This Row],[Distrelec]]="","", HYPERLINK(Table1[[#This Row],[Destination - Distrelec]],_xlfn.CONCAT("Link (",Table1[[#This Row],[Distrelec]],")")))</f>
        <v/>
      </c>
      <c r="X22" s="62" t="str">
        <f>_xlfn.CONCAT("https://www.distrelec.ch/search?q=",Table1[[#This Row],[Distrelec]])</f>
        <v>https://www.distrelec.ch/search?q=</v>
      </c>
      <c r="Y22" s="57"/>
      <c r="Z22" s="59"/>
      <c r="AA22" s="61" t="str">
        <f>IF(Table1[[#This Row],[Conrad]]="","", HYPERLINK(Table1[[#This Row],[Destination - Conrad]],_xlfn.CONCAT("Link (",Table1[[#This Row],[Conrad]],")")))</f>
        <v/>
      </c>
      <c r="AB22" s="62"/>
      <c r="AC22" s="57"/>
      <c r="AD22" s="59"/>
      <c r="AE22" s="61" t="str">
        <f>IF(Table1[[#This Row],[Mouser]]="","", HYPERLINK(Table1[[#This Row],[Destination - Mouser]],_xlfn.CONCAT("Link (",Table1[[#This Row],[Mouser]],")")))</f>
        <v/>
      </c>
      <c r="AF22" s="62" t="str">
        <f>_xlfn.CONCAT("https://www.mouser.ch/ProductDetail/",Table1[[#This Row],[Mouser]])</f>
        <v>https://www.mouser.ch/ProductDetail/</v>
      </c>
      <c r="AG22" s="57"/>
      <c r="AH22" s="59"/>
      <c r="AI22" s="61" t="str">
        <f>IF(Table1[[#This Row],[Bauhaus]]="","", HYPERLINK(Table1[[#This Row],[Destination - Bauhaus]],_xlfn.CONCAT("Link (",Table1[[#This Row],[Bauhaus]],")")))</f>
        <v/>
      </c>
      <c r="AJ22" s="62" t="str">
        <f>_xlfn.CONCAT("https://www.bauhaus.ch/fr/search?query=",Table1[[#This Row],[Bauhaus]])</f>
        <v>https://www.bauhaus.ch/fr/search?query=</v>
      </c>
      <c r="AK22" s="59"/>
      <c r="AL22" s="59"/>
      <c r="AM22" s="61" t="str">
        <f>IF(Table1[[#This Row],[BricoEtLoisirs]]="","", HYPERLINK(Table1[[#This Row],[Destination - BricoEtLoisirs]],_xlfn.CONCAT("Link (",Table1[[#This Row],[BricoEtLoisirs]],")")))</f>
        <v/>
      </c>
      <c r="AN22" s="62" t="str">
        <f>_xlfn.CONCAT("https://bricoetloisirs.ch/p/",Table1[[#This Row],[BricoEtLoisirs]])</f>
        <v>https://bricoetloisirs.ch/p/</v>
      </c>
      <c r="AO22" s="57"/>
      <c r="AP22" s="59"/>
      <c r="AQ22" s="61" t="str">
        <f>IF(Table1[[#This Row],[Aliexpress]]="","", HYPERLINK(Table1[[#This Row],[Destination - Aliexpress]],_xlfn.CONCAT("Link (",Table1[[#This Row],[Aliexpress]],")")))</f>
        <v/>
      </c>
      <c r="AR22" s="62" t="str">
        <f>_xlfn.CONCAT("https://www.aliexpress.com/item/",Table1[[#This Row],[Aliexpress]],".html")</f>
        <v>https://www.aliexpress.com/item/.html</v>
      </c>
      <c r="AS22" s="57"/>
      <c r="AT22" s="59"/>
      <c r="AU22" s="61" t="str">
        <f>IF(Table1[[#This Row],[Banggood]]="","", HYPERLINK(Table1[[#This Row],[Destination - Banggood]],_xlfn.CONCAT("Link (",Table1[[#This Row],[Banggood]],")")))</f>
        <v/>
      </c>
      <c r="AV22" s="62" t="str">
        <f>_xlfn.CONCAT("https://www.banggood.com/search/",Table1[[#This Row],[Banggood]],".html")</f>
        <v>https://www.banggood.com/search/.html</v>
      </c>
      <c r="AW22" s="59" t="str">
        <f>IF(Table1[[#This Row],[Other]]&lt;&gt;"","Other","")</f>
        <v/>
      </c>
      <c r="AX22" s="57"/>
      <c r="AY22" s="59"/>
      <c r="AZ22" s="61" t="str">
        <f>IF(Table1[[#This Row],[Other]]="","",IF(Table1[[#This Row],[Destination - Other]]="","",HYPERLINK(Table1[[#This Row],[Destination - Other]],_xlfn.CONCAT("Link ("&amp;Table1[[#This Row],[Other]]&amp;")"))))</f>
        <v/>
      </c>
      <c r="BA22" s="59"/>
      <c r="BB22" s="58" t="str">
        <f>IF(AND( Table1[[#This Row],[Auto Order]]=1,Table1[[#This Row],[Obsolete]]=""),IF(Table1[[#This Row],[In stock]]&lt;Table1[[#This Row],[Min in stock]],1,""),"")</f>
        <v/>
      </c>
      <c r="BC22" s="64"/>
      <c r="BD22" s="66" t="str">
        <f>IF(Table1[[#This Row],[Obsolete]],Table1[[#This Row],[Art. Number]],"")</f>
        <v/>
      </c>
    </row>
    <row r="23" spans="1:56" x14ac:dyDescent="0.25">
      <c r="A23" s="65" t="s">
        <v>10</v>
      </c>
      <c r="B23" s="57" t="s">
        <v>300</v>
      </c>
      <c r="C23" s="57" t="s">
        <v>305</v>
      </c>
      <c r="D23" s="57" t="s">
        <v>306</v>
      </c>
      <c r="E23" s="57" t="s">
        <v>303</v>
      </c>
      <c r="F23" s="58">
        <v>48</v>
      </c>
      <c r="G23" s="58"/>
      <c r="H23" s="58"/>
      <c r="I2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9451242</v>
      </c>
      <c r="J2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5.1999999999999998E-2</v>
      </c>
      <c r="K2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2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(9451242)</v>
      </c>
      <c r="M23" s="57"/>
      <c r="N23" s="59"/>
      <c r="O23" s="61" t="str">
        <f>IF(Table1[[#This Row],[Digikey]]="","", HYPERLINK(Table1[[#This Row],[Destination - Digikey]],_xlfn.CONCAT("Link (",Table1[[#This Row],[Digikey]],")")))</f>
        <v/>
      </c>
      <c r="P23" s="62" t="str">
        <f>_xlfn.CONCAT("https://www.digikey.ch/products/en?keywords=",Table1[[#This Row],[Digikey]])</f>
        <v>https://www.digikey.ch/products/en?keywords=</v>
      </c>
      <c r="Q23" s="57" t="s">
        <v>2345</v>
      </c>
      <c r="R23" s="59">
        <v>5.1999999999999998E-2</v>
      </c>
      <c r="S23" s="61" t="str">
        <f>IF(Table1[[#This Row],[Farnell]]="","", HYPERLINK(Table1[[#This Row],[Destination - Farnell]],_xlfn.CONCAT("Link (",Table1[[#This Row],[Farnell]],")")))</f>
        <v>Link (9451242)</v>
      </c>
      <c r="T23" s="62" t="str">
        <f>_xlfn.CONCAT("https://ch.farnell.com/fr-CH/",Table1[[#This Row],[Farnell]])</f>
        <v>https://ch.farnell.com/fr-CH/9451242</v>
      </c>
      <c r="U23" s="57"/>
      <c r="V23" s="59"/>
      <c r="W23" s="61" t="str">
        <f>IF(Table1[[#This Row],[Distrelec]]="","", HYPERLINK(Table1[[#This Row],[Destination - Distrelec]],_xlfn.CONCAT("Link (",Table1[[#This Row],[Distrelec]],")")))</f>
        <v/>
      </c>
      <c r="X23" s="62" t="str">
        <f>_xlfn.CONCAT("https://www.distrelec.ch/search?q=",Table1[[#This Row],[Distrelec]])</f>
        <v>https://www.distrelec.ch/search?q=</v>
      </c>
      <c r="Y23" s="57"/>
      <c r="Z23" s="59"/>
      <c r="AA23" s="61" t="str">
        <f>IF(Table1[[#This Row],[Conrad]]="","", HYPERLINK(Table1[[#This Row],[Destination - Conrad]],_xlfn.CONCAT("Link (",Table1[[#This Row],[Conrad]],")")))</f>
        <v/>
      </c>
      <c r="AB23" s="62"/>
      <c r="AC23" s="57"/>
      <c r="AD23" s="59"/>
      <c r="AE23" s="61" t="str">
        <f>IF(Table1[[#This Row],[Mouser]]="","", HYPERLINK(Table1[[#This Row],[Destination - Mouser]],_xlfn.CONCAT("Link (",Table1[[#This Row],[Mouser]],")")))</f>
        <v/>
      </c>
      <c r="AF23" s="62" t="str">
        <f>_xlfn.CONCAT("https://www.mouser.ch/ProductDetail/",Table1[[#This Row],[Mouser]])</f>
        <v>https://www.mouser.ch/ProductDetail/</v>
      </c>
      <c r="AG23" s="57"/>
      <c r="AH23" s="59"/>
      <c r="AI23" s="61" t="str">
        <f>IF(Table1[[#This Row],[Bauhaus]]="","", HYPERLINK(Table1[[#This Row],[Destination - Bauhaus]],_xlfn.CONCAT("Link (",Table1[[#This Row],[Bauhaus]],")")))</f>
        <v/>
      </c>
      <c r="AJ23" s="62" t="str">
        <f>_xlfn.CONCAT("https://www.bauhaus.ch/fr/search?query=",Table1[[#This Row],[Bauhaus]])</f>
        <v>https://www.bauhaus.ch/fr/search?query=</v>
      </c>
      <c r="AK23" s="59"/>
      <c r="AL23" s="59"/>
      <c r="AM23" s="61" t="str">
        <f>IF(Table1[[#This Row],[BricoEtLoisirs]]="","", HYPERLINK(Table1[[#This Row],[Destination - BricoEtLoisirs]],_xlfn.CONCAT("Link (",Table1[[#This Row],[BricoEtLoisirs]],")")))</f>
        <v/>
      </c>
      <c r="AN23" s="62" t="str">
        <f>_xlfn.CONCAT("https://bricoetloisirs.ch/p/",Table1[[#This Row],[BricoEtLoisirs]])</f>
        <v>https://bricoetloisirs.ch/p/</v>
      </c>
      <c r="AO23" s="57"/>
      <c r="AP23" s="59"/>
      <c r="AQ23" s="61" t="str">
        <f>IF(Table1[[#This Row],[Aliexpress]]="","", HYPERLINK(Table1[[#This Row],[Destination - Aliexpress]],_xlfn.CONCAT("Link (",Table1[[#This Row],[Aliexpress]],")")))</f>
        <v/>
      </c>
      <c r="AR23" s="62" t="str">
        <f>_xlfn.CONCAT("https://www.aliexpress.com/item/",Table1[[#This Row],[Aliexpress]],".html")</f>
        <v>https://www.aliexpress.com/item/.html</v>
      </c>
      <c r="AS23" s="57"/>
      <c r="AT23" s="59"/>
      <c r="AU23" s="61" t="str">
        <f>IF(Table1[[#This Row],[Banggood]]="","", HYPERLINK(Table1[[#This Row],[Destination - Banggood]],_xlfn.CONCAT("Link (",Table1[[#This Row],[Banggood]],")")))</f>
        <v/>
      </c>
      <c r="AV23" s="62" t="str">
        <f>_xlfn.CONCAT("https://www.banggood.com/search/",Table1[[#This Row],[Banggood]],".html")</f>
        <v>https://www.banggood.com/search/.html</v>
      </c>
      <c r="AW23" s="59" t="str">
        <f>IF(Table1[[#This Row],[Other]]&lt;&gt;"","Other","")</f>
        <v/>
      </c>
      <c r="AX23" s="57"/>
      <c r="AY23" s="59"/>
      <c r="AZ23" s="61" t="str">
        <f>IF(Table1[[#This Row],[Other]]="","",IF(Table1[[#This Row],[Destination - Other]]="","",HYPERLINK(Table1[[#This Row],[Destination - Other]],_xlfn.CONCAT("Link ("&amp;Table1[[#This Row],[Other]]&amp;")"))))</f>
        <v/>
      </c>
      <c r="BA23" s="59"/>
      <c r="BB23" s="58" t="str">
        <f>IF(AND( Table1[[#This Row],[Auto Order]]=1,Table1[[#This Row],[Obsolete]]=""),IF(Table1[[#This Row],[In stock]]&lt;Table1[[#This Row],[Min in stock]],1,""),"")</f>
        <v/>
      </c>
      <c r="BC23" s="64"/>
      <c r="BD23" s="66" t="str">
        <f>IF(Table1[[#This Row],[Obsolete]],Table1[[#This Row],[Art. Number]],"")</f>
        <v/>
      </c>
    </row>
    <row r="24" spans="1:56" x14ac:dyDescent="0.25">
      <c r="A24" s="65" t="s">
        <v>2357</v>
      </c>
      <c r="B24" s="57" t="s">
        <v>396</v>
      </c>
      <c r="C24" s="57" t="s">
        <v>97</v>
      </c>
      <c r="D24" s="57" t="s">
        <v>397</v>
      </c>
      <c r="E24" s="57" t="s">
        <v>303</v>
      </c>
      <c r="F24" s="58">
        <v>4</v>
      </c>
      <c r="G24" s="58"/>
      <c r="H24" s="58"/>
      <c r="I2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732-8886-1-ND</v>
      </c>
      <c r="J2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0.43</v>
      </c>
      <c r="K2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(732-8886-1-ND)</v>
      </c>
      <c r="M24" s="57" t="s">
        <v>398</v>
      </c>
      <c r="N24" s="59">
        <v>0.43</v>
      </c>
      <c r="O24" s="61" t="str">
        <f>IF(Table1[[#This Row],[Digikey]]="","", HYPERLINK(Table1[[#This Row],[Destination - Digikey]],_xlfn.CONCAT("Link (",Table1[[#This Row],[Digikey]],")")))</f>
        <v>Link (732-8886-1-ND)</v>
      </c>
      <c r="P24" s="62" t="str">
        <f>_xlfn.CONCAT("https://www.digikey.ch/products/en?keywords=",Table1[[#This Row],[Digikey]])</f>
        <v>https://www.digikey.ch/products/en?keywords=732-8886-1-ND</v>
      </c>
      <c r="Q24" s="57"/>
      <c r="R24" s="59"/>
      <c r="S24" s="61" t="str">
        <f>IF(Table1[[#This Row],[Farnell]]="","", HYPERLINK(Table1[[#This Row],[Destination - Farnell]],_xlfn.CONCAT("Link (",Table1[[#This Row],[Farnell]],")")))</f>
        <v/>
      </c>
      <c r="T24" s="62" t="str">
        <f>_xlfn.CONCAT("https://ch.farnell.com/fr-CH/",Table1[[#This Row],[Farnell]])</f>
        <v>https://ch.farnell.com/fr-CH/</v>
      </c>
      <c r="U24" s="57"/>
      <c r="V24" s="59"/>
      <c r="W24" s="61" t="str">
        <f>IF(Table1[[#This Row],[Distrelec]]="","", HYPERLINK(Table1[[#This Row],[Destination - Distrelec]],_xlfn.CONCAT("Link (",Table1[[#This Row],[Distrelec]],")")))</f>
        <v/>
      </c>
      <c r="X24" s="62" t="str">
        <f>_xlfn.CONCAT("https://www.distrelec.ch/search?q=",Table1[[#This Row],[Distrelec]])</f>
        <v>https://www.distrelec.ch/search?q=</v>
      </c>
      <c r="Y24" s="57"/>
      <c r="Z24" s="59"/>
      <c r="AA24" s="61" t="str">
        <f>IF(Table1[[#This Row],[Conrad]]="","", HYPERLINK(Table1[[#This Row],[Destination - Conrad]],_xlfn.CONCAT("Link (",Table1[[#This Row],[Conrad]],")")))</f>
        <v/>
      </c>
      <c r="AB24" s="62"/>
      <c r="AC24" s="57"/>
      <c r="AD24" s="59"/>
      <c r="AE24" s="61" t="str">
        <f>IF(Table1[[#This Row],[Mouser]]="","", HYPERLINK(Table1[[#This Row],[Destination - Mouser]],_xlfn.CONCAT("Link (",Table1[[#This Row],[Mouser]],")")))</f>
        <v/>
      </c>
      <c r="AF24" s="62" t="str">
        <f>_xlfn.CONCAT("https://www.mouser.ch/ProductDetail/",Table1[[#This Row],[Mouser]])</f>
        <v>https://www.mouser.ch/ProductDetail/</v>
      </c>
      <c r="AG24" s="57"/>
      <c r="AH24" s="59"/>
      <c r="AI24" s="61" t="str">
        <f>IF(Table1[[#This Row],[Bauhaus]]="","", HYPERLINK(Table1[[#This Row],[Destination - Bauhaus]],_xlfn.CONCAT("Link (",Table1[[#This Row],[Bauhaus]],")")))</f>
        <v/>
      </c>
      <c r="AJ24" s="62" t="str">
        <f>_xlfn.CONCAT("https://www.bauhaus.ch/fr/search?query=",Table1[[#This Row],[Bauhaus]])</f>
        <v>https://www.bauhaus.ch/fr/search?query=</v>
      </c>
      <c r="AK24" s="59"/>
      <c r="AL24" s="59"/>
      <c r="AM24" s="61" t="str">
        <f>IF(Table1[[#This Row],[BricoEtLoisirs]]="","", HYPERLINK(Table1[[#This Row],[Destination - BricoEtLoisirs]],_xlfn.CONCAT("Link (",Table1[[#This Row],[BricoEtLoisirs]],")")))</f>
        <v/>
      </c>
      <c r="AN24" s="62" t="str">
        <f>_xlfn.CONCAT("https://bricoetloisirs.ch/p/",Table1[[#This Row],[BricoEtLoisirs]])</f>
        <v>https://bricoetloisirs.ch/p/</v>
      </c>
      <c r="AO24" s="57"/>
      <c r="AP24" s="59"/>
      <c r="AQ24" s="61" t="str">
        <f>IF(Table1[[#This Row],[Aliexpress]]="","", HYPERLINK(Table1[[#This Row],[Destination - Aliexpress]],_xlfn.CONCAT("Link (",Table1[[#This Row],[Aliexpress]],")")))</f>
        <v/>
      </c>
      <c r="AR24" s="62" t="str">
        <f>_xlfn.CONCAT("https://www.aliexpress.com/item/",Table1[[#This Row],[Aliexpress]],".html")</f>
        <v>https://www.aliexpress.com/item/.html</v>
      </c>
      <c r="AS24" s="57"/>
      <c r="AT24" s="59"/>
      <c r="AU24" s="61" t="str">
        <f>IF(Table1[[#This Row],[Banggood]]="","", HYPERLINK(Table1[[#This Row],[Destination - Banggood]],_xlfn.CONCAT("Link (",Table1[[#This Row],[Banggood]],")")))</f>
        <v/>
      </c>
      <c r="AV24" s="62" t="str">
        <f>_xlfn.CONCAT("https://www.banggood.com/search/",Table1[[#This Row],[Banggood]],".html")</f>
        <v>https://www.banggood.com/search/.html</v>
      </c>
      <c r="AW24" s="59" t="str">
        <f>IF(Table1[[#This Row],[Other]]&lt;&gt;"","Other","")</f>
        <v/>
      </c>
      <c r="AX24" s="57"/>
      <c r="AY24" s="59"/>
      <c r="AZ24" s="61" t="str">
        <f>IF(Table1[[#This Row],[Other]]="","",IF(Table1[[#This Row],[Destination - Other]]="","",HYPERLINK(Table1[[#This Row],[Destination - Other]],_xlfn.CONCAT("Link ("&amp;Table1[[#This Row],[Other]]&amp;")"))))</f>
        <v/>
      </c>
      <c r="BA24" s="59"/>
      <c r="BB24" s="58" t="str">
        <f>IF(AND( Table1[[#This Row],[Auto Order]]=1,Table1[[#This Row],[Obsolete]]=""),IF(Table1[[#This Row],[In stock]]&lt;Table1[[#This Row],[Min in stock]],1,""),"")</f>
        <v/>
      </c>
      <c r="BC24" s="64"/>
      <c r="BD24" s="66" t="str">
        <f>IF(Table1[[#This Row],[Obsolete]],Table1[[#This Row],[Art. Number]],"")</f>
        <v/>
      </c>
    </row>
    <row r="25" spans="1:56" x14ac:dyDescent="0.25">
      <c r="A25" s="65" t="s">
        <v>231</v>
      </c>
      <c r="B25" s="57" t="s">
        <v>396</v>
      </c>
      <c r="C25" s="57" t="s">
        <v>400</v>
      </c>
      <c r="D25" s="57" t="s">
        <v>401</v>
      </c>
      <c r="E25" s="57" t="s">
        <v>303</v>
      </c>
      <c r="F25" s="58">
        <v>6</v>
      </c>
      <c r="G25" s="58"/>
      <c r="H25" s="58"/>
      <c r="I2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732-7620-1-ND</v>
      </c>
      <c r="J2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0.18</v>
      </c>
      <c r="K2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(732-7620-1-ND)</v>
      </c>
      <c r="M25" s="57" t="s">
        <v>402</v>
      </c>
      <c r="N25" s="59">
        <v>0.18</v>
      </c>
      <c r="O25" s="61" t="str">
        <f>IF(Table1[[#This Row],[Digikey]]="","", HYPERLINK(Table1[[#This Row],[Destination - Digikey]],_xlfn.CONCAT("Link (",Table1[[#This Row],[Digikey]],")")))</f>
        <v>Link (732-7620-1-ND)</v>
      </c>
      <c r="P25" s="62" t="str">
        <f>_xlfn.CONCAT("https://www.digikey.ch/products/en?keywords=",Table1[[#This Row],[Digikey]])</f>
        <v>https://www.digikey.ch/products/en?keywords=732-7620-1-ND</v>
      </c>
      <c r="Q25" s="57"/>
      <c r="R25" s="59"/>
      <c r="S25" s="61" t="str">
        <f>IF(Table1[[#This Row],[Farnell]]="","", HYPERLINK(Table1[[#This Row],[Destination - Farnell]],_xlfn.CONCAT("Link (",Table1[[#This Row],[Farnell]],")")))</f>
        <v/>
      </c>
      <c r="T25" s="62" t="str">
        <f>_xlfn.CONCAT("https://ch.farnell.com/fr-CH/",Table1[[#This Row],[Farnell]])</f>
        <v>https://ch.farnell.com/fr-CH/</v>
      </c>
      <c r="U25" s="57"/>
      <c r="V25" s="59"/>
      <c r="W25" s="61" t="str">
        <f>IF(Table1[[#This Row],[Distrelec]]="","", HYPERLINK(Table1[[#This Row],[Destination - Distrelec]],_xlfn.CONCAT("Link (",Table1[[#This Row],[Distrelec]],")")))</f>
        <v/>
      </c>
      <c r="X25" s="62" t="str">
        <f>_xlfn.CONCAT("https://www.distrelec.ch/search?q=",Table1[[#This Row],[Distrelec]])</f>
        <v>https://www.distrelec.ch/search?q=</v>
      </c>
      <c r="Y25" s="57"/>
      <c r="Z25" s="59"/>
      <c r="AA25" s="61" t="str">
        <f>IF(Table1[[#This Row],[Conrad]]="","", HYPERLINK(Table1[[#This Row],[Destination - Conrad]],_xlfn.CONCAT("Link (",Table1[[#This Row],[Conrad]],")")))</f>
        <v/>
      </c>
      <c r="AB25" s="62"/>
      <c r="AC25" s="57"/>
      <c r="AD25" s="59"/>
      <c r="AE25" s="61" t="str">
        <f>IF(Table1[[#This Row],[Mouser]]="","", HYPERLINK(Table1[[#This Row],[Destination - Mouser]],_xlfn.CONCAT("Link (",Table1[[#This Row],[Mouser]],")")))</f>
        <v/>
      </c>
      <c r="AF25" s="62" t="str">
        <f>_xlfn.CONCAT("https://www.mouser.ch/ProductDetail/",Table1[[#This Row],[Mouser]])</f>
        <v>https://www.mouser.ch/ProductDetail/</v>
      </c>
      <c r="AG25" s="57"/>
      <c r="AH25" s="59"/>
      <c r="AI25" s="61" t="str">
        <f>IF(Table1[[#This Row],[Bauhaus]]="","", HYPERLINK(Table1[[#This Row],[Destination - Bauhaus]],_xlfn.CONCAT("Link (",Table1[[#This Row],[Bauhaus]],")")))</f>
        <v/>
      </c>
      <c r="AJ25" s="62" t="str">
        <f>_xlfn.CONCAT("https://www.bauhaus.ch/fr/search?query=",Table1[[#This Row],[Bauhaus]])</f>
        <v>https://www.bauhaus.ch/fr/search?query=</v>
      </c>
      <c r="AK25" s="59"/>
      <c r="AL25" s="59"/>
      <c r="AM25" s="61" t="str">
        <f>IF(Table1[[#This Row],[BricoEtLoisirs]]="","", HYPERLINK(Table1[[#This Row],[Destination - BricoEtLoisirs]],_xlfn.CONCAT("Link (",Table1[[#This Row],[BricoEtLoisirs]],")")))</f>
        <v/>
      </c>
      <c r="AN25" s="62" t="str">
        <f>_xlfn.CONCAT("https://bricoetloisirs.ch/p/",Table1[[#This Row],[BricoEtLoisirs]])</f>
        <v>https://bricoetloisirs.ch/p/</v>
      </c>
      <c r="AO25" s="57"/>
      <c r="AP25" s="59"/>
      <c r="AQ25" s="61" t="str">
        <f>IF(Table1[[#This Row],[Aliexpress]]="","", HYPERLINK(Table1[[#This Row],[Destination - Aliexpress]],_xlfn.CONCAT("Link (",Table1[[#This Row],[Aliexpress]],")")))</f>
        <v/>
      </c>
      <c r="AR25" s="62" t="str">
        <f>_xlfn.CONCAT("https://www.aliexpress.com/item/",Table1[[#This Row],[Aliexpress]],".html")</f>
        <v>https://www.aliexpress.com/item/.html</v>
      </c>
      <c r="AS25" s="57"/>
      <c r="AT25" s="59"/>
      <c r="AU25" s="61" t="str">
        <f>IF(Table1[[#This Row],[Banggood]]="","", HYPERLINK(Table1[[#This Row],[Destination - Banggood]],_xlfn.CONCAT("Link (",Table1[[#This Row],[Banggood]],")")))</f>
        <v/>
      </c>
      <c r="AV25" s="62" t="str">
        <f>_xlfn.CONCAT("https://www.banggood.com/search/",Table1[[#This Row],[Banggood]],".html")</f>
        <v>https://www.banggood.com/search/.html</v>
      </c>
      <c r="AW25" s="59" t="str">
        <f>IF(Table1[[#This Row],[Other]]&lt;&gt;"","Other","")</f>
        <v/>
      </c>
      <c r="AX25" s="57"/>
      <c r="AY25" s="59"/>
      <c r="AZ25" s="61" t="str">
        <f>IF(Table1[[#This Row],[Other]]="","",IF(Table1[[#This Row],[Destination - Other]]="","",HYPERLINK(Table1[[#This Row],[Destination - Other]],_xlfn.CONCAT("Link ("&amp;Table1[[#This Row],[Other]]&amp;")"))))</f>
        <v/>
      </c>
      <c r="BA25" s="59"/>
      <c r="BB25" s="58" t="str">
        <f>IF(AND( Table1[[#This Row],[Auto Order]]=1,Table1[[#This Row],[Obsolete]]=""),IF(Table1[[#This Row],[In stock]]&lt;Table1[[#This Row],[Min in stock]],1,""),"")</f>
        <v/>
      </c>
      <c r="BC25" s="64"/>
      <c r="BD25" s="66" t="str">
        <f>IF(Table1[[#This Row],[Obsolete]],Table1[[#This Row],[Art. Number]],"")</f>
        <v/>
      </c>
    </row>
    <row r="26" spans="1:56" x14ac:dyDescent="0.25">
      <c r="A26" s="65" t="s">
        <v>160</v>
      </c>
      <c r="B26" s="57" t="s">
        <v>396</v>
      </c>
      <c r="C26" s="57" t="s">
        <v>404</v>
      </c>
      <c r="D26" s="57" t="s">
        <v>405</v>
      </c>
      <c r="E26" s="57" t="s">
        <v>303</v>
      </c>
      <c r="F26" s="58">
        <v>7</v>
      </c>
      <c r="G26" s="58"/>
      <c r="H26" s="58"/>
      <c r="I2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732-7628-1-ND</v>
      </c>
      <c r="J2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0.151</v>
      </c>
      <c r="K2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(732-7628-1-ND)</v>
      </c>
      <c r="M26" s="57" t="s">
        <v>406</v>
      </c>
      <c r="N26" s="59">
        <v>0.151</v>
      </c>
      <c r="O26" s="61" t="str">
        <f>IF(Table1[[#This Row],[Digikey]]="","", HYPERLINK(Table1[[#This Row],[Destination - Digikey]],_xlfn.CONCAT("Link (",Table1[[#This Row],[Digikey]],")")))</f>
        <v>Link (732-7628-1-ND)</v>
      </c>
      <c r="P26" s="62" t="str">
        <f>_xlfn.CONCAT("https://www.digikey.ch/products/en?keywords=",Table1[[#This Row],[Digikey]])</f>
        <v>https://www.digikey.ch/products/en?keywords=732-7628-1-ND</v>
      </c>
      <c r="Q26" s="57"/>
      <c r="R26" s="59"/>
      <c r="S26" s="61" t="str">
        <f>IF(Table1[[#This Row],[Farnell]]="","", HYPERLINK(Table1[[#This Row],[Destination - Farnell]],_xlfn.CONCAT("Link (",Table1[[#This Row],[Farnell]],")")))</f>
        <v/>
      </c>
      <c r="T26" s="62" t="str">
        <f>_xlfn.CONCAT("https://ch.farnell.com/fr-CH/",Table1[[#This Row],[Farnell]])</f>
        <v>https://ch.farnell.com/fr-CH/</v>
      </c>
      <c r="U26" s="57"/>
      <c r="V26" s="59"/>
      <c r="W26" s="61" t="str">
        <f>IF(Table1[[#This Row],[Distrelec]]="","", HYPERLINK(Table1[[#This Row],[Destination - Distrelec]],_xlfn.CONCAT("Link (",Table1[[#This Row],[Distrelec]],")")))</f>
        <v/>
      </c>
      <c r="X26" s="62" t="str">
        <f>_xlfn.CONCAT("https://www.distrelec.ch/search?q=",Table1[[#This Row],[Distrelec]])</f>
        <v>https://www.distrelec.ch/search?q=</v>
      </c>
      <c r="Y26" s="57"/>
      <c r="Z26" s="59"/>
      <c r="AA26" s="61" t="str">
        <f>IF(Table1[[#This Row],[Conrad]]="","", HYPERLINK(Table1[[#This Row],[Destination - Conrad]],_xlfn.CONCAT("Link (",Table1[[#This Row],[Conrad]],")")))</f>
        <v/>
      </c>
      <c r="AB26" s="62"/>
      <c r="AC26" s="57"/>
      <c r="AD26" s="59"/>
      <c r="AE26" s="61" t="str">
        <f>IF(Table1[[#This Row],[Mouser]]="","", HYPERLINK(Table1[[#This Row],[Destination - Mouser]],_xlfn.CONCAT("Link (",Table1[[#This Row],[Mouser]],")")))</f>
        <v/>
      </c>
      <c r="AF26" s="62" t="str">
        <f>_xlfn.CONCAT("https://www.mouser.ch/ProductDetail/",Table1[[#This Row],[Mouser]])</f>
        <v>https://www.mouser.ch/ProductDetail/</v>
      </c>
      <c r="AG26" s="57"/>
      <c r="AH26" s="59"/>
      <c r="AI26" s="61" t="str">
        <f>IF(Table1[[#This Row],[Bauhaus]]="","", HYPERLINK(Table1[[#This Row],[Destination - Bauhaus]],_xlfn.CONCAT("Link (",Table1[[#This Row],[Bauhaus]],")")))</f>
        <v/>
      </c>
      <c r="AJ26" s="62" t="str">
        <f>_xlfn.CONCAT("https://www.bauhaus.ch/fr/search?query=",Table1[[#This Row],[Bauhaus]])</f>
        <v>https://www.bauhaus.ch/fr/search?query=</v>
      </c>
      <c r="AK26" s="59"/>
      <c r="AL26" s="59"/>
      <c r="AM26" s="61" t="str">
        <f>IF(Table1[[#This Row],[BricoEtLoisirs]]="","", HYPERLINK(Table1[[#This Row],[Destination - BricoEtLoisirs]],_xlfn.CONCAT("Link (",Table1[[#This Row],[BricoEtLoisirs]],")")))</f>
        <v/>
      </c>
      <c r="AN26" s="62" t="str">
        <f>_xlfn.CONCAT("https://bricoetloisirs.ch/p/",Table1[[#This Row],[BricoEtLoisirs]])</f>
        <v>https://bricoetloisirs.ch/p/</v>
      </c>
      <c r="AO26" s="57"/>
      <c r="AP26" s="59"/>
      <c r="AQ26" s="61" t="str">
        <f>IF(Table1[[#This Row],[Aliexpress]]="","", HYPERLINK(Table1[[#This Row],[Destination - Aliexpress]],_xlfn.CONCAT("Link (",Table1[[#This Row],[Aliexpress]],")")))</f>
        <v/>
      </c>
      <c r="AR26" s="62" t="str">
        <f>_xlfn.CONCAT("https://www.aliexpress.com/item/",Table1[[#This Row],[Aliexpress]],".html")</f>
        <v>https://www.aliexpress.com/item/.html</v>
      </c>
      <c r="AS26" s="57"/>
      <c r="AT26" s="59"/>
      <c r="AU26" s="61" t="str">
        <f>IF(Table1[[#This Row],[Banggood]]="","", HYPERLINK(Table1[[#This Row],[Destination - Banggood]],_xlfn.CONCAT("Link (",Table1[[#This Row],[Banggood]],")")))</f>
        <v/>
      </c>
      <c r="AV26" s="62" t="str">
        <f>_xlfn.CONCAT("https://www.banggood.com/search/",Table1[[#This Row],[Banggood]],".html")</f>
        <v>https://www.banggood.com/search/.html</v>
      </c>
      <c r="AW26" s="59" t="str">
        <f>IF(Table1[[#This Row],[Other]]&lt;&gt;"","Other","")</f>
        <v/>
      </c>
      <c r="AX26" s="57"/>
      <c r="AY26" s="59"/>
      <c r="AZ26" s="61" t="str">
        <f>IF(Table1[[#This Row],[Other]]="","",IF(Table1[[#This Row],[Destination - Other]]="","",HYPERLINK(Table1[[#This Row],[Destination - Other]],_xlfn.CONCAT("Link ("&amp;Table1[[#This Row],[Other]]&amp;")"))))</f>
        <v/>
      </c>
      <c r="BA26" s="59"/>
      <c r="BB26" s="58" t="str">
        <f>IF(AND( Table1[[#This Row],[Auto Order]]=1,Table1[[#This Row],[Obsolete]]=""),IF(Table1[[#This Row],[In stock]]&lt;Table1[[#This Row],[Min in stock]],1,""),"")</f>
        <v/>
      </c>
      <c r="BC26" s="64"/>
      <c r="BD26" s="66" t="str">
        <f>IF(Table1[[#This Row],[Obsolete]],Table1[[#This Row],[Art. Number]],"")</f>
        <v/>
      </c>
    </row>
    <row r="27" spans="1:56" x14ac:dyDescent="0.25">
      <c r="A27" s="65" t="s">
        <v>162</v>
      </c>
      <c r="B27" s="57" t="s">
        <v>396</v>
      </c>
      <c r="C27" s="57" t="s">
        <v>410</v>
      </c>
      <c r="D27" s="57" t="s">
        <v>411</v>
      </c>
      <c r="E27" s="57" t="s">
        <v>303</v>
      </c>
      <c r="F27" s="58">
        <v>8</v>
      </c>
      <c r="G27" s="58"/>
      <c r="H27" s="58"/>
      <c r="I2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732-8053-1-ND</v>
      </c>
      <c r="J2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3.5999999999999997E-2</v>
      </c>
      <c r="K2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(732-8053-1-ND)</v>
      </c>
      <c r="M27" s="57" t="s">
        <v>412</v>
      </c>
      <c r="N27" s="59">
        <v>3.5999999999999997E-2</v>
      </c>
      <c r="O27" s="61" t="str">
        <f>IF(Table1[[#This Row],[Digikey]]="","", HYPERLINK(Table1[[#This Row],[Destination - Digikey]],_xlfn.CONCAT("Link (",Table1[[#This Row],[Digikey]],")")))</f>
        <v>Link (732-8053-1-ND)</v>
      </c>
      <c r="P27" s="62" t="str">
        <f>_xlfn.CONCAT("https://www.digikey.ch/products/en?keywords=",Table1[[#This Row],[Digikey]])</f>
        <v>https://www.digikey.ch/products/en?keywords=732-8053-1-ND</v>
      </c>
      <c r="Q27" s="57"/>
      <c r="R27" s="59"/>
      <c r="S27" s="61" t="str">
        <f>IF(Table1[[#This Row],[Farnell]]="","", HYPERLINK(Table1[[#This Row],[Destination - Farnell]],_xlfn.CONCAT("Link (",Table1[[#This Row],[Farnell]],")")))</f>
        <v/>
      </c>
      <c r="T27" s="62" t="str">
        <f>_xlfn.CONCAT("https://ch.farnell.com/fr-CH/",Table1[[#This Row],[Farnell]])</f>
        <v>https://ch.farnell.com/fr-CH/</v>
      </c>
      <c r="U27" s="57"/>
      <c r="V27" s="59"/>
      <c r="W27" s="61" t="str">
        <f>IF(Table1[[#This Row],[Distrelec]]="","", HYPERLINK(Table1[[#This Row],[Destination - Distrelec]],_xlfn.CONCAT("Link (",Table1[[#This Row],[Distrelec]],")")))</f>
        <v/>
      </c>
      <c r="X27" s="62" t="str">
        <f>_xlfn.CONCAT("https://www.distrelec.ch/search?q=",Table1[[#This Row],[Distrelec]])</f>
        <v>https://www.distrelec.ch/search?q=</v>
      </c>
      <c r="Y27" s="57"/>
      <c r="Z27" s="59"/>
      <c r="AA27" s="61" t="str">
        <f>IF(Table1[[#This Row],[Conrad]]="","", HYPERLINK(Table1[[#This Row],[Destination - Conrad]],_xlfn.CONCAT("Link (",Table1[[#This Row],[Conrad]],")")))</f>
        <v/>
      </c>
      <c r="AB27" s="62"/>
      <c r="AC27" s="57"/>
      <c r="AD27" s="59"/>
      <c r="AE27" s="61" t="str">
        <f>IF(Table1[[#This Row],[Mouser]]="","", HYPERLINK(Table1[[#This Row],[Destination - Mouser]],_xlfn.CONCAT("Link (",Table1[[#This Row],[Mouser]],")")))</f>
        <v/>
      </c>
      <c r="AF27" s="62" t="str">
        <f>_xlfn.CONCAT("https://www.mouser.ch/ProductDetail/",Table1[[#This Row],[Mouser]])</f>
        <v>https://www.mouser.ch/ProductDetail/</v>
      </c>
      <c r="AG27" s="57"/>
      <c r="AH27" s="59"/>
      <c r="AI27" s="61" t="str">
        <f>IF(Table1[[#This Row],[Bauhaus]]="","", HYPERLINK(Table1[[#This Row],[Destination - Bauhaus]],_xlfn.CONCAT("Link (",Table1[[#This Row],[Bauhaus]],")")))</f>
        <v/>
      </c>
      <c r="AJ27" s="62" t="str">
        <f>_xlfn.CONCAT("https://www.bauhaus.ch/fr/search?query=",Table1[[#This Row],[Bauhaus]])</f>
        <v>https://www.bauhaus.ch/fr/search?query=</v>
      </c>
      <c r="AK27" s="59"/>
      <c r="AL27" s="59"/>
      <c r="AM27" s="61" t="str">
        <f>IF(Table1[[#This Row],[BricoEtLoisirs]]="","", HYPERLINK(Table1[[#This Row],[Destination - BricoEtLoisirs]],_xlfn.CONCAT("Link (",Table1[[#This Row],[BricoEtLoisirs]],")")))</f>
        <v/>
      </c>
      <c r="AN27" s="62" t="str">
        <f>_xlfn.CONCAT("https://bricoetloisirs.ch/p/",Table1[[#This Row],[BricoEtLoisirs]])</f>
        <v>https://bricoetloisirs.ch/p/</v>
      </c>
      <c r="AO27" s="57"/>
      <c r="AP27" s="59"/>
      <c r="AQ27" s="61" t="str">
        <f>IF(Table1[[#This Row],[Aliexpress]]="","", HYPERLINK(Table1[[#This Row],[Destination - Aliexpress]],_xlfn.CONCAT("Link (",Table1[[#This Row],[Aliexpress]],")")))</f>
        <v/>
      </c>
      <c r="AR27" s="62" t="str">
        <f>_xlfn.CONCAT("https://www.aliexpress.com/item/",Table1[[#This Row],[Aliexpress]],".html")</f>
        <v>https://www.aliexpress.com/item/.html</v>
      </c>
      <c r="AS27" s="57"/>
      <c r="AT27" s="59"/>
      <c r="AU27" s="61" t="str">
        <f>IF(Table1[[#This Row],[Banggood]]="","", HYPERLINK(Table1[[#This Row],[Destination - Banggood]],_xlfn.CONCAT("Link (",Table1[[#This Row],[Banggood]],")")))</f>
        <v/>
      </c>
      <c r="AV27" s="62" t="str">
        <f>_xlfn.CONCAT("https://www.banggood.com/search/",Table1[[#This Row],[Banggood]],".html")</f>
        <v>https://www.banggood.com/search/.html</v>
      </c>
      <c r="AW27" s="59" t="str">
        <f>IF(Table1[[#This Row],[Other]]&lt;&gt;"","Other","")</f>
        <v/>
      </c>
      <c r="AX27" s="57"/>
      <c r="AY27" s="59"/>
      <c r="AZ27" s="61" t="str">
        <f>IF(Table1[[#This Row],[Other]]="","",IF(Table1[[#This Row],[Destination - Other]]="","",HYPERLINK(Table1[[#This Row],[Destination - Other]],_xlfn.CONCAT("Link ("&amp;Table1[[#This Row],[Other]]&amp;")"))))</f>
        <v/>
      </c>
      <c r="BA27" s="59"/>
      <c r="BB27" s="58" t="str">
        <f>IF(AND( Table1[[#This Row],[Auto Order]]=1,Table1[[#This Row],[Obsolete]]=""),IF(Table1[[#This Row],[In stock]]&lt;Table1[[#This Row],[Min in stock]],1,""),"")</f>
        <v/>
      </c>
      <c r="BC27" s="64"/>
      <c r="BD27" s="66" t="str">
        <f>IF(Table1[[#This Row],[Obsolete]],Table1[[#This Row],[Art. Number]],"")</f>
        <v/>
      </c>
    </row>
    <row r="28" spans="1:56" x14ac:dyDescent="0.25">
      <c r="A28" s="65" t="s">
        <v>159</v>
      </c>
      <c r="B28" s="57" t="s">
        <v>396</v>
      </c>
      <c r="C28" s="57" t="s">
        <v>414</v>
      </c>
      <c r="D28" s="57" t="s">
        <v>415</v>
      </c>
      <c r="E28" s="57" t="s">
        <v>303</v>
      </c>
      <c r="F28" s="58">
        <v>9</v>
      </c>
      <c r="G28" s="58"/>
      <c r="H28" s="58"/>
      <c r="I2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732-7670-1-ND</v>
      </c>
      <c r="J2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0.10199999999999999</v>
      </c>
      <c r="K2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(732-7670-1-ND)</v>
      </c>
      <c r="M28" s="57" t="s">
        <v>416</v>
      </c>
      <c r="N28" s="59">
        <v>0.10199999999999999</v>
      </c>
      <c r="O28" s="61" t="str">
        <f>IF(Table1[[#This Row],[Digikey]]="","", HYPERLINK(Table1[[#This Row],[Destination - Digikey]],_xlfn.CONCAT("Link (",Table1[[#This Row],[Digikey]],")")))</f>
        <v>Link (732-7670-1-ND)</v>
      </c>
      <c r="P28" s="62" t="str">
        <f>_xlfn.CONCAT("https://www.digikey.ch/products/en?keywords=",Table1[[#This Row],[Digikey]])</f>
        <v>https://www.digikey.ch/products/en?keywords=732-7670-1-ND</v>
      </c>
      <c r="Q28" s="57"/>
      <c r="R28" s="59"/>
      <c r="S28" s="61" t="str">
        <f>IF(Table1[[#This Row],[Farnell]]="","", HYPERLINK(Table1[[#This Row],[Destination - Farnell]],_xlfn.CONCAT("Link (",Table1[[#This Row],[Farnell]],")")))</f>
        <v/>
      </c>
      <c r="T28" s="62" t="str">
        <f>_xlfn.CONCAT("https://ch.farnell.com/fr-CH/",Table1[[#This Row],[Farnell]])</f>
        <v>https://ch.farnell.com/fr-CH/</v>
      </c>
      <c r="U28" s="57"/>
      <c r="V28" s="59"/>
      <c r="W28" s="61" t="str">
        <f>IF(Table1[[#This Row],[Distrelec]]="","", HYPERLINK(Table1[[#This Row],[Destination - Distrelec]],_xlfn.CONCAT("Link (",Table1[[#This Row],[Distrelec]],")")))</f>
        <v/>
      </c>
      <c r="X28" s="62" t="str">
        <f>_xlfn.CONCAT("https://www.distrelec.ch/search?q=",Table1[[#This Row],[Distrelec]])</f>
        <v>https://www.distrelec.ch/search?q=</v>
      </c>
      <c r="Y28" s="57"/>
      <c r="Z28" s="59"/>
      <c r="AA28" s="61" t="str">
        <f>IF(Table1[[#This Row],[Conrad]]="","", HYPERLINK(Table1[[#This Row],[Destination - Conrad]],_xlfn.CONCAT("Link (",Table1[[#This Row],[Conrad]],")")))</f>
        <v/>
      </c>
      <c r="AB28" s="62"/>
      <c r="AC28" s="57"/>
      <c r="AD28" s="59"/>
      <c r="AE28" s="61" t="str">
        <f>IF(Table1[[#This Row],[Mouser]]="","", HYPERLINK(Table1[[#This Row],[Destination - Mouser]],_xlfn.CONCAT("Link (",Table1[[#This Row],[Mouser]],")")))</f>
        <v/>
      </c>
      <c r="AF28" s="62" t="str">
        <f>_xlfn.CONCAT("https://www.mouser.ch/ProductDetail/",Table1[[#This Row],[Mouser]])</f>
        <v>https://www.mouser.ch/ProductDetail/</v>
      </c>
      <c r="AG28" s="57"/>
      <c r="AH28" s="59"/>
      <c r="AI28" s="61" t="str">
        <f>IF(Table1[[#This Row],[Bauhaus]]="","", HYPERLINK(Table1[[#This Row],[Destination - Bauhaus]],_xlfn.CONCAT("Link (",Table1[[#This Row],[Bauhaus]],")")))</f>
        <v/>
      </c>
      <c r="AJ28" s="62" t="str">
        <f>_xlfn.CONCAT("https://www.bauhaus.ch/fr/search?query=",Table1[[#This Row],[Bauhaus]])</f>
        <v>https://www.bauhaus.ch/fr/search?query=</v>
      </c>
      <c r="AK28" s="59"/>
      <c r="AL28" s="59"/>
      <c r="AM28" s="61" t="str">
        <f>IF(Table1[[#This Row],[BricoEtLoisirs]]="","", HYPERLINK(Table1[[#This Row],[Destination - BricoEtLoisirs]],_xlfn.CONCAT("Link (",Table1[[#This Row],[BricoEtLoisirs]],")")))</f>
        <v/>
      </c>
      <c r="AN28" s="62" t="str">
        <f>_xlfn.CONCAT("https://bricoetloisirs.ch/p/",Table1[[#This Row],[BricoEtLoisirs]])</f>
        <v>https://bricoetloisirs.ch/p/</v>
      </c>
      <c r="AO28" s="57"/>
      <c r="AP28" s="59"/>
      <c r="AQ28" s="61" t="str">
        <f>IF(Table1[[#This Row],[Aliexpress]]="","", HYPERLINK(Table1[[#This Row],[Destination - Aliexpress]],_xlfn.CONCAT("Link (",Table1[[#This Row],[Aliexpress]],")")))</f>
        <v/>
      </c>
      <c r="AR28" s="62" t="str">
        <f>_xlfn.CONCAT("https://www.aliexpress.com/item/",Table1[[#This Row],[Aliexpress]],".html")</f>
        <v>https://www.aliexpress.com/item/.html</v>
      </c>
      <c r="AS28" s="57"/>
      <c r="AT28" s="59"/>
      <c r="AU28" s="61" t="str">
        <f>IF(Table1[[#This Row],[Banggood]]="","", HYPERLINK(Table1[[#This Row],[Destination - Banggood]],_xlfn.CONCAT("Link (",Table1[[#This Row],[Banggood]],")")))</f>
        <v/>
      </c>
      <c r="AV28" s="62" t="str">
        <f>_xlfn.CONCAT("https://www.banggood.com/search/",Table1[[#This Row],[Banggood]],".html")</f>
        <v>https://www.banggood.com/search/.html</v>
      </c>
      <c r="AW28" s="59" t="str">
        <f>IF(Table1[[#This Row],[Other]]&lt;&gt;"","Other","")</f>
        <v/>
      </c>
      <c r="AX28" s="57"/>
      <c r="AY28" s="59"/>
      <c r="AZ28" s="61" t="str">
        <f>IF(Table1[[#This Row],[Other]]="","",IF(Table1[[#This Row],[Destination - Other]]="","",HYPERLINK(Table1[[#This Row],[Destination - Other]],_xlfn.CONCAT("Link ("&amp;Table1[[#This Row],[Other]]&amp;")"))))</f>
        <v/>
      </c>
      <c r="BA28" s="59"/>
      <c r="BB28" s="58" t="str">
        <f>IF(AND( Table1[[#This Row],[Auto Order]]=1,Table1[[#This Row],[Obsolete]]=""),IF(Table1[[#This Row],[In stock]]&lt;Table1[[#This Row],[Min in stock]],1,""),"")</f>
        <v/>
      </c>
      <c r="BC28" s="64"/>
      <c r="BD28" s="66" t="str">
        <f>IF(Table1[[#This Row],[Obsolete]],Table1[[#This Row],[Art. Number]],"")</f>
        <v/>
      </c>
    </row>
    <row r="29" spans="1:56" x14ac:dyDescent="0.25">
      <c r="A29" s="65" t="s">
        <v>161</v>
      </c>
      <c r="B29" s="57" t="s">
        <v>396</v>
      </c>
      <c r="C29" s="57" t="s">
        <v>418</v>
      </c>
      <c r="D29" s="57" t="s">
        <v>419</v>
      </c>
      <c r="E29" s="57" t="s">
        <v>303</v>
      </c>
      <c r="F29" s="58">
        <v>27</v>
      </c>
      <c r="G29" s="58">
        <v>10</v>
      </c>
      <c r="H29" s="58">
        <v>1</v>
      </c>
      <c r="I2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732-7672-1-ND</v>
      </c>
      <c r="J2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0.08</v>
      </c>
      <c r="K2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(732-7672-1-ND)</v>
      </c>
      <c r="M29" s="57" t="s">
        <v>420</v>
      </c>
      <c r="N29" s="59">
        <v>0.08</v>
      </c>
      <c r="O29" s="61" t="str">
        <f>IF(Table1[[#This Row],[Digikey]]="","", HYPERLINK(Table1[[#This Row],[Destination - Digikey]],_xlfn.CONCAT("Link (",Table1[[#This Row],[Digikey]],")")))</f>
        <v>Link (732-7672-1-ND)</v>
      </c>
      <c r="P29" s="62" t="str">
        <f>_xlfn.CONCAT("https://www.digikey.ch/products/en?keywords=",Table1[[#This Row],[Digikey]])</f>
        <v>https://www.digikey.ch/products/en?keywords=732-7672-1-ND</v>
      </c>
      <c r="Q29" s="57"/>
      <c r="R29" s="59"/>
      <c r="S29" s="61" t="str">
        <f>IF(Table1[[#This Row],[Farnell]]="","", HYPERLINK(Table1[[#This Row],[Destination - Farnell]],_xlfn.CONCAT("Link (",Table1[[#This Row],[Farnell]],")")))</f>
        <v/>
      </c>
      <c r="T29" s="62" t="str">
        <f>_xlfn.CONCAT("https://ch.farnell.com/fr-CH/",Table1[[#This Row],[Farnell]])</f>
        <v>https://ch.farnell.com/fr-CH/</v>
      </c>
      <c r="U29" s="57"/>
      <c r="V29" s="59"/>
      <c r="W29" s="61" t="str">
        <f>IF(Table1[[#This Row],[Distrelec]]="","", HYPERLINK(Table1[[#This Row],[Destination - Distrelec]],_xlfn.CONCAT("Link (",Table1[[#This Row],[Distrelec]],")")))</f>
        <v/>
      </c>
      <c r="X29" s="62" t="str">
        <f>_xlfn.CONCAT("https://www.distrelec.ch/search?q=",Table1[[#This Row],[Distrelec]])</f>
        <v>https://www.distrelec.ch/search?q=</v>
      </c>
      <c r="Y29" s="57"/>
      <c r="Z29" s="59"/>
      <c r="AA29" s="61" t="str">
        <f>IF(Table1[[#This Row],[Conrad]]="","", HYPERLINK(Table1[[#This Row],[Destination - Conrad]],_xlfn.CONCAT("Link (",Table1[[#This Row],[Conrad]],")")))</f>
        <v/>
      </c>
      <c r="AB29" s="62"/>
      <c r="AC29" s="57"/>
      <c r="AD29" s="59"/>
      <c r="AE29" s="61" t="str">
        <f>IF(Table1[[#This Row],[Mouser]]="","", HYPERLINK(Table1[[#This Row],[Destination - Mouser]],_xlfn.CONCAT("Link (",Table1[[#This Row],[Mouser]],")")))</f>
        <v/>
      </c>
      <c r="AF29" s="62" t="str">
        <f>_xlfn.CONCAT("https://www.mouser.ch/ProductDetail/",Table1[[#This Row],[Mouser]])</f>
        <v>https://www.mouser.ch/ProductDetail/</v>
      </c>
      <c r="AG29" s="57"/>
      <c r="AH29" s="59"/>
      <c r="AI29" s="61" t="str">
        <f>IF(Table1[[#This Row],[Bauhaus]]="","", HYPERLINK(Table1[[#This Row],[Destination - Bauhaus]],_xlfn.CONCAT("Link (",Table1[[#This Row],[Bauhaus]],")")))</f>
        <v/>
      </c>
      <c r="AJ29" s="62" t="str">
        <f>_xlfn.CONCAT("https://www.bauhaus.ch/fr/search?query=",Table1[[#This Row],[Bauhaus]])</f>
        <v>https://www.bauhaus.ch/fr/search?query=</v>
      </c>
      <c r="AK29" s="59"/>
      <c r="AL29" s="59"/>
      <c r="AM29" s="61" t="str">
        <f>IF(Table1[[#This Row],[BricoEtLoisirs]]="","", HYPERLINK(Table1[[#This Row],[Destination - BricoEtLoisirs]],_xlfn.CONCAT("Link (",Table1[[#This Row],[BricoEtLoisirs]],")")))</f>
        <v/>
      </c>
      <c r="AN29" s="62" t="str">
        <f>_xlfn.CONCAT("https://bricoetloisirs.ch/p/",Table1[[#This Row],[BricoEtLoisirs]])</f>
        <v>https://bricoetloisirs.ch/p/</v>
      </c>
      <c r="AO29" s="57"/>
      <c r="AP29" s="59"/>
      <c r="AQ29" s="61" t="str">
        <f>IF(Table1[[#This Row],[Aliexpress]]="","", HYPERLINK(Table1[[#This Row],[Destination - Aliexpress]],_xlfn.CONCAT("Link (",Table1[[#This Row],[Aliexpress]],")")))</f>
        <v/>
      </c>
      <c r="AR29" s="62" t="str">
        <f>_xlfn.CONCAT("https://www.aliexpress.com/item/",Table1[[#This Row],[Aliexpress]],".html")</f>
        <v>https://www.aliexpress.com/item/.html</v>
      </c>
      <c r="AS29" s="57"/>
      <c r="AT29" s="59"/>
      <c r="AU29" s="61" t="str">
        <f>IF(Table1[[#This Row],[Banggood]]="","", HYPERLINK(Table1[[#This Row],[Destination - Banggood]],_xlfn.CONCAT("Link (",Table1[[#This Row],[Banggood]],")")))</f>
        <v/>
      </c>
      <c r="AV29" s="62" t="str">
        <f>_xlfn.CONCAT("https://www.banggood.com/search/",Table1[[#This Row],[Banggood]],".html")</f>
        <v>https://www.banggood.com/search/.html</v>
      </c>
      <c r="AW29" s="59" t="str">
        <f>IF(Table1[[#This Row],[Other]]&lt;&gt;"","Other","")</f>
        <v/>
      </c>
      <c r="AX29" s="57"/>
      <c r="AY29" s="59"/>
      <c r="AZ29" s="61" t="str">
        <f>IF(Table1[[#This Row],[Other]]="","",IF(Table1[[#This Row],[Destination - Other]]="","",HYPERLINK(Table1[[#This Row],[Destination - Other]],_xlfn.CONCAT("Link ("&amp;Table1[[#This Row],[Other]]&amp;")"))))</f>
        <v/>
      </c>
      <c r="BA29" s="59"/>
      <c r="BB29" s="58" t="str">
        <f>IF(AND( Table1[[#This Row],[Auto Order]]=1,Table1[[#This Row],[Obsolete]]=""),IF(Table1[[#This Row],[In stock]]&lt;Table1[[#This Row],[Min in stock]],1,""),"")</f>
        <v/>
      </c>
      <c r="BC29" s="64"/>
      <c r="BD29" s="66" t="str">
        <f>IF(Table1[[#This Row],[Obsolete]],Table1[[#This Row],[Art. Number]],"")</f>
        <v/>
      </c>
    </row>
    <row r="30" spans="1:56" x14ac:dyDescent="0.25">
      <c r="A30" s="65" t="s">
        <v>206</v>
      </c>
      <c r="B30" s="57" t="s">
        <v>424</v>
      </c>
      <c r="C30" s="57" t="s">
        <v>425</v>
      </c>
      <c r="D30" s="57" t="s">
        <v>426</v>
      </c>
      <c r="E30" s="57" t="s">
        <v>303</v>
      </c>
      <c r="F30" s="58">
        <v>133</v>
      </c>
      <c r="G30" s="58">
        <v>100</v>
      </c>
      <c r="H30" s="58">
        <v>1</v>
      </c>
      <c r="I3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1276-6468-1-ND</v>
      </c>
      <c r="J3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2.7E-2</v>
      </c>
      <c r="K3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(1276-6468-1-ND)</v>
      </c>
      <c r="M30" s="57" t="s">
        <v>427</v>
      </c>
      <c r="N30" s="59">
        <v>2.7E-2</v>
      </c>
      <c r="O30" s="61" t="str">
        <f>IF(Table1[[#This Row],[Digikey]]="","", HYPERLINK(Table1[[#This Row],[Destination - Digikey]],_xlfn.CONCAT("Link (",Table1[[#This Row],[Digikey]],")")))</f>
        <v>Link (1276-6468-1-ND)</v>
      </c>
      <c r="P30" s="62" t="str">
        <f>_xlfn.CONCAT("https://www.digikey.ch/products/en?keywords=",Table1[[#This Row],[Digikey]])</f>
        <v>https://www.digikey.ch/products/en?keywords=1276-6468-1-ND</v>
      </c>
      <c r="Q30" s="57"/>
      <c r="R30" s="59"/>
      <c r="S30" s="61" t="str">
        <f>IF(Table1[[#This Row],[Farnell]]="","", HYPERLINK(Table1[[#This Row],[Destination - Farnell]],_xlfn.CONCAT("Link (",Table1[[#This Row],[Farnell]],")")))</f>
        <v/>
      </c>
      <c r="T30" s="62" t="str">
        <f>_xlfn.CONCAT("https://ch.farnell.com/fr-CH/",Table1[[#This Row],[Farnell]])</f>
        <v>https://ch.farnell.com/fr-CH/</v>
      </c>
      <c r="U30" s="57"/>
      <c r="V30" s="59"/>
      <c r="W30" s="61" t="str">
        <f>IF(Table1[[#This Row],[Distrelec]]="","", HYPERLINK(Table1[[#This Row],[Destination - Distrelec]],_xlfn.CONCAT("Link (",Table1[[#This Row],[Distrelec]],")")))</f>
        <v/>
      </c>
      <c r="X30" s="62" t="str">
        <f>_xlfn.CONCAT("https://www.distrelec.ch/search?q=",Table1[[#This Row],[Distrelec]])</f>
        <v>https://www.distrelec.ch/search?q=</v>
      </c>
      <c r="Y30" s="57"/>
      <c r="Z30" s="59"/>
      <c r="AA30" s="61" t="str">
        <f>IF(Table1[[#This Row],[Conrad]]="","", HYPERLINK(Table1[[#This Row],[Destination - Conrad]],_xlfn.CONCAT("Link (",Table1[[#This Row],[Conrad]],")")))</f>
        <v/>
      </c>
      <c r="AB30" s="62"/>
      <c r="AC30" s="57"/>
      <c r="AD30" s="59"/>
      <c r="AE30" s="61" t="str">
        <f>IF(Table1[[#This Row],[Mouser]]="","", HYPERLINK(Table1[[#This Row],[Destination - Mouser]],_xlfn.CONCAT("Link (",Table1[[#This Row],[Mouser]],")")))</f>
        <v/>
      </c>
      <c r="AF30" s="62" t="str">
        <f>_xlfn.CONCAT("https://www.mouser.ch/ProductDetail/",Table1[[#This Row],[Mouser]])</f>
        <v>https://www.mouser.ch/ProductDetail/</v>
      </c>
      <c r="AG30" s="57"/>
      <c r="AH30" s="59"/>
      <c r="AI30" s="61" t="str">
        <f>IF(Table1[[#This Row],[Bauhaus]]="","", HYPERLINK(Table1[[#This Row],[Destination - Bauhaus]],_xlfn.CONCAT("Link (",Table1[[#This Row],[Bauhaus]],")")))</f>
        <v/>
      </c>
      <c r="AJ30" s="62" t="str">
        <f>_xlfn.CONCAT("https://www.bauhaus.ch/fr/search?query=",Table1[[#This Row],[Bauhaus]])</f>
        <v>https://www.bauhaus.ch/fr/search?query=</v>
      </c>
      <c r="AK30" s="59"/>
      <c r="AL30" s="59"/>
      <c r="AM30" s="61" t="str">
        <f>IF(Table1[[#This Row],[BricoEtLoisirs]]="","", HYPERLINK(Table1[[#This Row],[Destination - BricoEtLoisirs]],_xlfn.CONCAT("Link (",Table1[[#This Row],[BricoEtLoisirs]],")")))</f>
        <v/>
      </c>
      <c r="AN30" s="62" t="str">
        <f>_xlfn.CONCAT("https://bricoetloisirs.ch/p/",Table1[[#This Row],[BricoEtLoisirs]])</f>
        <v>https://bricoetloisirs.ch/p/</v>
      </c>
      <c r="AO30" s="57"/>
      <c r="AP30" s="59"/>
      <c r="AQ30" s="61" t="str">
        <f>IF(Table1[[#This Row],[Aliexpress]]="","", HYPERLINK(Table1[[#This Row],[Destination - Aliexpress]],_xlfn.CONCAT("Link (",Table1[[#This Row],[Aliexpress]],")")))</f>
        <v/>
      </c>
      <c r="AR30" s="62" t="str">
        <f>_xlfn.CONCAT("https://www.aliexpress.com/item/",Table1[[#This Row],[Aliexpress]],".html")</f>
        <v>https://www.aliexpress.com/item/.html</v>
      </c>
      <c r="AS30" s="57"/>
      <c r="AT30" s="59"/>
      <c r="AU30" s="61" t="str">
        <f>IF(Table1[[#This Row],[Banggood]]="","", HYPERLINK(Table1[[#This Row],[Destination - Banggood]],_xlfn.CONCAT("Link (",Table1[[#This Row],[Banggood]],")")))</f>
        <v/>
      </c>
      <c r="AV30" s="62" t="str">
        <f>_xlfn.CONCAT("https://www.banggood.com/search/",Table1[[#This Row],[Banggood]],".html")</f>
        <v>https://www.banggood.com/search/.html</v>
      </c>
      <c r="AW30" s="59" t="str">
        <f>IF(Table1[[#This Row],[Other]]&lt;&gt;"","Other","")</f>
        <v/>
      </c>
      <c r="AX30" s="57"/>
      <c r="AY30" s="59"/>
      <c r="AZ30" s="61" t="str">
        <f>IF(Table1[[#This Row],[Other]]="","",IF(Table1[[#This Row],[Destination - Other]]="","",HYPERLINK(Table1[[#This Row],[Destination - Other]],_xlfn.CONCAT("Link ("&amp;Table1[[#This Row],[Other]]&amp;")"))))</f>
        <v/>
      </c>
      <c r="BA30" s="59"/>
      <c r="BB30" s="58" t="str">
        <f>IF(AND( Table1[[#This Row],[Auto Order]]=1,Table1[[#This Row],[Obsolete]]=""),IF(Table1[[#This Row],[In stock]]&lt;Table1[[#This Row],[Min in stock]],1,""),"")</f>
        <v/>
      </c>
      <c r="BC30" s="64"/>
      <c r="BD30" s="66" t="str">
        <f>IF(Table1[[#This Row],[Obsolete]],Table1[[#This Row],[Art. Number]],"")</f>
        <v/>
      </c>
    </row>
    <row r="31" spans="1:56" x14ac:dyDescent="0.25">
      <c r="A31" s="65" t="s">
        <v>60</v>
      </c>
      <c r="B31" s="57" t="s">
        <v>424</v>
      </c>
      <c r="C31" s="57" t="s">
        <v>429</v>
      </c>
      <c r="D31" s="57" t="s">
        <v>430</v>
      </c>
      <c r="E31" s="57" t="s">
        <v>303</v>
      </c>
      <c r="F31" s="58">
        <v>16</v>
      </c>
      <c r="G31" s="58"/>
      <c r="H31" s="58"/>
      <c r="I3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1276-3178-1-ND</v>
      </c>
      <c r="J3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0.27</v>
      </c>
      <c r="K3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(1276-3178-1-ND)</v>
      </c>
      <c r="M31" s="57" t="s">
        <v>431</v>
      </c>
      <c r="N31" s="59">
        <v>0.27</v>
      </c>
      <c r="O31" s="61" t="str">
        <f>IF(Table1[[#This Row],[Digikey]]="","", HYPERLINK(Table1[[#This Row],[Destination - Digikey]],_xlfn.CONCAT("Link (",Table1[[#This Row],[Digikey]],")")))</f>
        <v>Link (1276-3178-1-ND)</v>
      </c>
      <c r="P31" s="62" t="str">
        <f>_xlfn.CONCAT("https://www.digikey.ch/products/en?keywords=",Table1[[#This Row],[Digikey]])</f>
        <v>https://www.digikey.ch/products/en?keywords=1276-3178-1-ND</v>
      </c>
      <c r="Q31" s="57"/>
      <c r="R31" s="59"/>
      <c r="S31" s="61" t="str">
        <f>IF(Table1[[#This Row],[Farnell]]="","", HYPERLINK(Table1[[#This Row],[Destination - Farnell]],_xlfn.CONCAT("Link (",Table1[[#This Row],[Farnell]],")")))</f>
        <v/>
      </c>
      <c r="T31" s="62" t="str">
        <f>_xlfn.CONCAT("https://ch.farnell.com/fr-CH/",Table1[[#This Row],[Farnell]])</f>
        <v>https://ch.farnell.com/fr-CH/</v>
      </c>
      <c r="U31" s="57"/>
      <c r="V31" s="59"/>
      <c r="W31" s="61" t="str">
        <f>IF(Table1[[#This Row],[Distrelec]]="","", HYPERLINK(Table1[[#This Row],[Destination - Distrelec]],_xlfn.CONCAT("Link (",Table1[[#This Row],[Distrelec]],")")))</f>
        <v/>
      </c>
      <c r="X31" s="62" t="str">
        <f>_xlfn.CONCAT("https://www.distrelec.ch/search?q=",Table1[[#This Row],[Distrelec]])</f>
        <v>https://www.distrelec.ch/search?q=</v>
      </c>
      <c r="Y31" s="57"/>
      <c r="Z31" s="59"/>
      <c r="AA31" s="61" t="str">
        <f>IF(Table1[[#This Row],[Conrad]]="","", HYPERLINK(Table1[[#This Row],[Destination - Conrad]],_xlfn.CONCAT("Link (",Table1[[#This Row],[Conrad]],")")))</f>
        <v/>
      </c>
      <c r="AB31" s="62"/>
      <c r="AC31" s="57"/>
      <c r="AD31" s="59"/>
      <c r="AE31" s="61" t="str">
        <f>IF(Table1[[#This Row],[Mouser]]="","", HYPERLINK(Table1[[#This Row],[Destination - Mouser]],_xlfn.CONCAT("Link (",Table1[[#This Row],[Mouser]],")")))</f>
        <v/>
      </c>
      <c r="AF31" s="62" t="str">
        <f>_xlfn.CONCAT("https://www.mouser.ch/ProductDetail/",Table1[[#This Row],[Mouser]])</f>
        <v>https://www.mouser.ch/ProductDetail/</v>
      </c>
      <c r="AG31" s="57"/>
      <c r="AH31" s="59"/>
      <c r="AI31" s="61" t="str">
        <f>IF(Table1[[#This Row],[Bauhaus]]="","", HYPERLINK(Table1[[#This Row],[Destination - Bauhaus]],_xlfn.CONCAT("Link (",Table1[[#This Row],[Bauhaus]],")")))</f>
        <v/>
      </c>
      <c r="AJ31" s="62" t="str">
        <f>_xlfn.CONCAT("https://www.bauhaus.ch/fr/search?query=",Table1[[#This Row],[Bauhaus]])</f>
        <v>https://www.bauhaus.ch/fr/search?query=</v>
      </c>
      <c r="AK31" s="59"/>
      <c r="AL31" s="59"/>
      <c r="AM31" s="61" t="str">
        <f>IF(Table1[[#This Row],[BricoEtLoisirs]]="","", HYPERLINK(Table1[[#This Row],[Destination - BricoEtLoisirs]],_xlfn.CONCAT("Link (",Table1[[#This Row],[BricoEtLoisirs]],")")))</f>
        <v/>
      </c>
      <c r="AN31" s="62" t="str">
        <f>_xlfn.CONCAT("https://bricoetloisirs.ch/p/",Table1[[#This Row],[BricoEtLoisirs]])</f>
        <v>https://bricoetloisirs.ch/p/</v>
      </c>
      <c r="AO31" s="57"/>
      <c r="AP31" s="59"/>
      <c r="AQ31" s="61" t="str">
        <f>IF(Table1[[#This Row],[Aliexpress]]="","", HYPERLINK(Table1[[#This Row],[Destination - Aliexpress]],_xlfn.CONCAT("Link (",Table1[[#This Row],[Aliexpress]],")")))</f>
        <v/>
      </c>
      <c r="AR31" s="62" t="str">
        <f>_xlfn.CONCAT("https://www.aliexpress.com/item/",Table1[[#This Row],[Aliexpress]],".html")</f>
        <v>https://www.aliexpress.com/item/.html</v>
      </c>
      <c r="AS31" s="57"/>
      <c r="AT31" s="59"/>
      <c r="AU31" s="61" t="str">
        <f>IF(Table1[[#This Row],[Banggood]]="","", HYPERLINK(Table1[[#This Row],[Destination - Banggood]],_xlfn.CONCAT("Link (",Table1[[#This Row],[Banggood]],")")))</f>
        <v/>
      </c>
      <c r="AV31" s="62" t="str">
        <f>_xlfn.CONCAT("https://www.banggood.com/search/",Table1[[#This Row],[Banggood]],".html")</f>
        <v>https://www.banggood.com/search/.html</v>
      </c>
      <c r="AW31" s="59" t="str">
        <f>IF(Table1[[#This Row],[Other]]&lt;&gt;"","Other","")</f>
        <v/>
      </c>
      <c r="AX31" s="57"/>
      <c r="AY31" s="59"/>
      <c r="AZ31" s="61" t="str">
        <f>IF(Table1[[#This Row],[Other]]="","",IF(Table1[[#This Row],[Destination - Other]]="","",HYPERLINK(Table1[[#This Row],[Destination - Other]],_xlfn.CONCAT("Link ("&amp;Table1[[#This Row],[Other]]&amp;")"))))</f>
        <v/>
      </c>
      <c r="BA31" s="59"/>
      <c r="BB31" s="58" t="str">
        <f>IF(AND( Table1[[#This Row],[Auto Order]]=1,Table1[[#This Row],[Obsolete]]=""),IF(Table1[[#This Row],[In stock]]&lt;Table1[[#This Row],[Min in stock]],1,""),"")</f>
        <v/>
      </c>
      <c r="BC31" s="64"/>
      <c r="BD31" s="66" t="str">
        <f>IF(Table1[[#This Row],[Obsolete]],Table1[[#This Row],[Art. Number]],"")</f>
        <v/>
      </c>
    </row>
    <row r="32" spans="1:56" x14ac:dyDescent="0.25">
      <c r="A32" s="65" t="s">
        <v>19</v>
      </c>
      <c r="B32" s="57" t="s">
        <v>443</v>
      </c>
      <c r="C32" s="57" t="s">
        <v>444</v>
      </c>
      <c r="D32" s="57" t="s">
        <v>445</v>
      </c>
      <c r="E32" s="57" t="s">
        <v>303</v>
      </c>
      <c r="F32" s="58">
        <v>83</v>
      </c>
      <c r="G32" s="58"/>
      <c r="H32" s="58"/>
      <c r="I3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720-1805-1-ND</v>
      </c>
      <c r="J3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0.42</v>
      </c>
      <c r="K3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(720-1805-1-ND)</v>
      </c>
      <c r="M32" s="57" t="s">
        <v>446</v>
      </c>
      <c r="N32" s="59">
        <v>0.42</v>
      </c>
      <c r="O32" s="61" t="str">
        <f>IF(Table1[[#This Row],[Digikey]]="","", HYPERLINK(Table1[[#This Row],[Destination - Digikey]],_xlfn.CONCAT("Link (",Table1[[#This Row],[Digikey]],")")))</f>
        <v>Link (720-1805-1-ND)</v>
      </c>
      <c r="P32" s="62" t="str">
        <f>_xlfn.CONCAT("https://www.digikey.ch/products/en?keywords=",Table1[[#This Row],[Digikey]])</f>
        <v>https://www.digikey.ch/products/en?keywords=720-1805-1-ND</v>
      </c>
      <c r="Q32" s="57"/>
      <c r="R32" s="59"/>
      <c r="S32" s="61" t="str">
        <f>IF(Table1[[#This Row],[Farnell]]="","", HYPERLINK(Table1[[#This Row],[Destination - Farnell]],_xlfn.CONCAT("Link (",Table1[[#This Row],[Farnell]],")")))</f>
        <v/>
      </c>
      <c r="T32" s="62" t="str">
        <f>_xlfn.CONCAT("https://ch.farnell.com/fr-CH/",Table1[[#This Row],[Farnell]])</f>
        <v>https://ch.farnell.com/fr-CH/</v>
      </c>
      <c r="U32" s="57"/>
      <c r="V32" s="59"/>
      <c r="W32" s="61" t="str">
        <f>IF(Table1[[#This Row],[Distrelec]]="","", HYPERLINK(Table1[[#This Row],[Destination - Distrelec]],_xlfn.CONCAT("Link (",Table1[[#This Row],[Distrelec]],")")))</f>
        <v/>
      </c>
      <c r="X32" s="62" t="str">
        <f>_xlfn.CONCAT("https://www.distrelec.ch/search?q=",Table1[[#This Row],[Distrelec]])</f>
        <v>https://www.distrelec.ch/search?q=</v>
      </c>
      <c r="Y32" s="57"/>
      <c r="Z32" s="59"/>
      <c r="AA32" s="61" t="str">
        <f>IF(Table1[[#This Row],[Conrad]]="","", HYPERLINK(Table1[[#This Row],[Destination - Conrad]],_xlfn.CONCAT("Link (",Table1[[#This Row],[Conrad]],")")))</f>
        <v/>
      </c>
      <c r="AB32" s="62"/>
      <c r="AC32" s="57"/>
      <c r="AD32" s="59"/>
      <c r="AE32" s="61" t="str">
        <f>IF(Table1[[#This Row],[Mouser]]="","", HYPERLINK(Table1[[#This Row],[Destination - Mouser]],_xlfn.CONCAT("Link (",Table1[[#This Row],[Mouser]],")")))</f>
        <v/>
      </c>
      <c r="AF32" s="62" t="str">
        <f>_xlfn.CONCAT("https://www.mouser.ch/ProductDetail/",Table1[[#This Row],[Mouser]])</f>
        <v>https://www.mouser.ch/ProductDetail/</v>
      </c>
      <c r="AG32" s="57"/>
      <c r="AH32" s="59"/>
      <c r="AI32" s="61" t="str">
        <f>IF(Table1[[#This Row],[Bauhaus]]="","", HYPERLINK(Table1[[#This Row],[Destination - Bauhaus]],_xlfn.CONCAT("Link (",Table1[[#This Row],[Bauhaus]],")")))</f>
        <v/>
      </c>
      <c r="AJ32" s="62" t="str">
        <f>_xlfn.CONCAT("https://www.bauhaus.ch/fr/search?query=",Table1[[#This Row],[Bauhaus]])</f>
        <v>https://www.bauhaus.ch/fr/search?query=</v>
      </c>
      <c r="AK32" s="59"/>
      <c r="AL32" s="59"/>
      <c r="AM32" s="61" t="str">
        <f>IF(Table1[[#This Row],[BricoEtLoisirs]]="","", HYPERLINK(Table1[[#This Row],[Destination - BricoEtLoisirs]],_xlfn.CONCAT("Link (",Table1[[#This Row],[BricoEtLoisirs]],")")))</f>
        <v/>
      </c>
      <c r="AN32" s="62" t="str">
        <f>_xlfn.CONCAT("https://bricoetloisirs.ch/p/",Table1[[#This Row],[BricoEtLoisirs]])</f>
        <v>https://bricoetloisirs.ch/p/</v>
      </c>
      <c r="AO32" s="57"/>
      <c r="AP32" s="59"/>
      <c r="AQ32" s="61" t="str">
        <f>IF(Table1[[#This Row],[Aliexpress]]="","", HYPERLINK(Table1[[#This Row],[Destination - Aliexpress]],_xlfn.CONCAT("Link (",Table1[[#This Row],[Aliexpress]],")")))</f>
        <v/>
      </c>
      <c r="AR32" s="62" t="str">
        <f>_xlfn.CONCAT("https://www.aliexpress.com/item/",Table1[[#This Row],[Aliexpress]],".html")</f>
        <v>https://www.aliexpress.com/item/.html</v>
      </c>
      <c r="AS32" s="57"/>
      <c r="AT32" s="59"/>
      <c r="AU32" s="61" t="str">
        <f>IF(Table1[[#This Row],[Banggood]]="","", HYPERLINK(Table1[[#This Row],[Destination - Banggood]],_xlfn.CONCAT("Link (",Table1[[#This Row],[Banggood]],")")))</f>
        <v/>
      </c>
      <c r="AV32" s="62" t="str">
        <f>_xlfn.CONCAT("https://www.banggood.com/search/",Table1[[#This Row],[Banggood]],".html")</f>
        <v>https://www.banggood.com/search/.html</v>
      </c>
      <c r="AW32" s="59" t="str">
        <f>IF(Table1[[#This Row],[Other]]&lt;&gt;"","Other","")</f>
        <v/>
      </c>
      <c r="AX32" s="57"/>
      <c r="AY32" s="59"/>
      <c r="AZ32" s="61" t="str">
        <f>IF(Table1[[#This Row],[Other]]="","",IF(Table1[[#This Row],[Destination - Other]]="","",HYPERLINK(Table1[[#This Row],[Destination - Other]],_xlfn.CONCAT("Link ("&amp;Table1[[#This Row],[Other]]&amp;")"))))</f>
        <v/>
      </c>
      <c r="BA32" s="59"/>
      <c r="BB32" s="58" t="str">
        <f>IF(AND( Table1[[#This Row],[Auto Order]]=1,Table1[[#This Row],[Obsolete]]=""),IF(Table1[[#This Row],[In stock]]&lt;Table1[[#This Row],[Min in stock]],1,""),"")</f>
        <v/>
      </c>
      <c r="BC32" s="64"/>
      <c r="BD32" s="66" t="str">
        <f>IF(Table1[[#This Row],[Obsolete]],Table1[[#This Row],[Art. Number]],"")</f>
        <v/>
      </c>
    </row>
    <row r="33" spans="1:56" x14ac:dyDescent="0.25">
      <c r="A33" s="65" t="s">
        <v>164</v>
      </c>
      <c r="B33" s="57" t="s">
        <v>459</v>
      </c>
      <c r="C33" s="57" t="s">
        <v>97</v>
      </c>
      <c r="D33" s="57" t="s">
        <v>2443</v>
      </c>
      <c r="E33" s="57" t="s">
        <v>460</v>
      </c>
      <c r="F33" s="58">
        <v>2.5</v>
      </c>
      <c r="G33" s="58"/>
      <c r="H33" s="58"/>
      <c r="I3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WM50014-36-ND</v>
      </c>
      <c r="J3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1.02</v>
      </c>
      <c r="K3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(WM50014-36-ND)</v>
      </c>
      <c r="M33" s="57" t="s">
        <v>461</v>
      </c>
      <c r="N33" s="59">
        <v>1.02</v>
      </c>
      <c r="O33" s="61" t="str">
        <f>IF(Table1[[#This Row],[Digikey]]="","", HYPERLINK(Table1[[#This Row],[Destination - Digikey]],_xlfn.CONCAT("Link (",Table1[[#This Row],[Digikey]],")")))</f>
        <v>Link (WM50014-36-ND)</v>
      </c>
      <c r="P33" s="62" t="str">
        <f>_xlfn.CONCAT("https://www.digikey.ch/products/en?keywords=",Table1[[#This Row],[Digikey]])</f>
        <v>https://www.digikey.ch/products/en?keywords=WM50014-36-ND</v>
      </c>
      <c r="Q33" s="57"/>
      <c r="R33" s="59"/>
      <c r="S33" s="61" t="str">
        <f>IF(Table1[[#This Row],[Farnell]]="","", HYPERLINK(Table1[[#This Row],[Destination - Farnell]],_xlfn.CONCAT("Link (",Table1[[#This Row],[Farnell]],")")))</f>
        <v/>
      </c>
      <c r="T33" s="62" t="str">
        <f>_xlfn.CONCAT("https://ch.farnell.com/fr-CH/",Table1[[#This Row],[Farnell]])</f>
        <v>https://ch.farnell.com/fr-CH/</v>
      </c>
      <c r="U33" s="57"/>
      <c r="V33" s="59"/>
      <c r="W33" s="61" t="str">
        <f>IF(Table1[[#This Row],[Distrelec]]="","", HYPERLINK(Table1[[#This Row],[Destination - Distrelec]],_xlfn.CONCAT("Link (",Table1[[#This Row],[Distrelec]],")")))</f>
        <v/>
      </c>
      <c r="X33" s="62" t="str">
        <f>_xlfn.CONCAT("https://www.distrelec.ch/search?q=",Table1[[#This Row],[Distrelec]])</f>
        <v>https://www.distrelec.ch/search?q=</v>
      </c>
      <c r="Y33" s="57"/>
      <c r="Z33" s="59"/>
      <c r="AA33" s="61" t="str">
        <f>IF(Table1[[#This Row],[Conrad]]="","", HYPERLINK(Table1[[#This Row],[Destination - Conrad]],_xlfn.CONCAT("Link (",Table1[[#This Row],[Conrad]],")")))</f>
        <v/>
      </c>
      <c r="AB33" s="62"/>
      <c r="AC33" s="57"/>
      <c r="AD33" s="59"/>
      <c r="AE33" s="61" t="str">
        <f>IF(Table1[[#This Row],[Mouser]]="","", HYPERLINK(Table1[[#This Row],[Destination - Mouser]],_xlfn.CONCAT("Link (",Table1[[#This Row],[Mouser]],")")))</f>
        <v/>
      </c>
      <c r="AF33" s="62" t="str">
        <f>_xlfn.CONCAT("https://www.mouser.ch/ProductDetail/",Table1[[#This Row],[Mouser]])</f>
        <v>https://www.mouser.ch/ProductDetail/</v>
      </c>
      <c r="AG33" s="57"/>
      <c r="AH33" s="59"/>
      <c r="AI33" s="61" t="str">
        <f>IF(Table1[[#This Row],[Bauhaus]]="","", HYPERLINK(Table1[[#This Row],[Destination - Bauhaus]],_xlfn.CONCAT("Link (",Table1[[#This Row],[Bauhaus]],")")))</f>
        <v/>
      </c>
      <c r="AJ33" s="62" t="str">
        <f>_xlfn.CONCAT("https://www.bauhaus.ch/fr/search?query=",Table1[[#This Row],[Bauhaus]])</f>
        <v>https://www.bauhaus.ch/fr/search?query=</v>
      </c>
      <c r="AK33" s="59"/>
      <c r="AL33" s="59"/>
      <c r="AM33" s="61" t="str">
        <f>IF(Table1[[#This Row],[BricoEtLoisirs]]="","", HYPERLINK(Table1[[#This Row],[Destination - BricoEtLoisirs]],_xlfn.CONCAT("Link (",Table1[[#This Row],[BricoEtLoisirs]],")")))</f>
        <v/>
      </c>
      <c r="AN33" s="62" t="str">
        <f>_xlfn.CONCAT("https://bricoetloisirs.ch/p/",Table1[[#This Row],[BricoEtLoisirs]])</f>
        <v>https://bricoetloisirs.ch/p/</v>
      </c>
      <c r="AO33" s="57"/>
      <c r="AP33" s="59"/>
      <c r="AQ33" s="61" t="str">
        <f>IF(Table1[[#This Row],[Aliexpress]]="","", HYPERLINK(Table1[[#This Row],[Destination - Aliexpress]],_xlfn.CONCAT("Link (",Table1[[#This Row],[Aliexpress]],")")))</f>
        <v/>
      </c>
      <c r="AR33" s="62" t="str">
        <f>_xlfn.CONCAT("https://www.aliexpress.com/item/",Table1[[#This Row],[Aliexpress]],".html")</f>
        <v>https://www.aliexpress.com/item/.html</v>
      </c>
      <c r="AS33" s="57"/>
      <c r="AT33" s="59"/>
      <c r="AU33" s="61" t="str">
        <f>IF(Table1[[#This Row],[Banggood]]="","", HYPERLINK(Table1[[#This Row],[Destination - Banggood]],_xlfn.CONCAT("Link (",Table1[[#This Row],[Banggood]],")")))</f>
        <v/>
      </c>
      <c r="AV33" s="62" t="str">
        <f>_xlfn.CONCAT("https://www.banggood.com/search/",Table1[[#This Row],[Banggood]],".html")</f>
        <v>https://www.banggood.com/search/.html</v>
      </c>
      <c r="AW33" s="59" t="str">
        <f>IF(Table1[[#This Row],[Other]]&lt;&gt;"","Other","")</f>
        <v/>
      </c>
      <c r="AX33" s="57"/>
      <c r="AY33" s="59"/>
      <c r="AZ33" s="61" t="str">
        <f>IF(Table1[[#This Row],[Other]]="","",IF(Table1[[#This Row],[Destination - Other]]="","",HYPERLINK(Table1[[#This Row],[Destination - Other]],_xlfn.CONCAT("Link ("&amp;Table1[[#This Row],[Other]]&amp;")"))))</f>
        <v/>
      </c>
      <c r="BA33" s="59"/>
      <c r="BB33" s="58" t="str">
        <f>IF(AND( Table1[[#This Row],[Auto Order]]=1,Table1[[#This Row],[Obsolete]]=""),IF(Table1[[#This Row],[In stock]]&lt;Table1[[#This Row],[Min in stock]],1,""),"")</f>
        <v/>
      </c>
      <c r="BC33" s="64"/>
      <c r="BD33" s="66" t="str">
        <f>IF(Table1[[#This Row],[Obsolete]],Table1[[#This Row],[Art. Number]],"")</f>
        <v/>
      </c>
    </row>
    <row r="34" spans="1:56" x14ac:dyDescent="0.25">
      <c r="A34" s="65" t="s">
        <v>464</v>
      </c>
      <c r="B34" s="57" t="s">
        <v>465</v>
      </c>
      <c r="C34" s="57" t="s">
        <v>97</v>
      </c>
      <c r="D34" s="57" t="s">
        <v>466</v>
      </c>
      <c r="E34" s="57" t="s">
        <v>460</v>
      </c>
      <c r="F34" s="58">
        <v>5</v>
      </c>
      <c r="G34" s="58"/>
      <c r="H34" s="58"/>
      <c r="I3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32845729569</v>
      </c>
      <c r="J3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0.127</v>
      </c>
      <c r="K3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3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(32845729569)</v>
      </c>
      <c r="M34" s="57"/>
      <c r="N34" s="59"/>
      <c r="O34" s="61" t="str">
        <f>IF(Table1[[#This Row],[Digikey]]="","", HYPERLINK(Table1[[#This Row],[Destination - Digikey]],_xlfn.CONCAT("Link (",Table1[[#This Row],[Digikey]],")")))</f>
        <v/>
      </c>
      <c r="P34" s="62" t="str">
        <f>_xlfn.CONCAT("https://www.digikey.ch/products/en?keywords=",Table1[[#This Row],[Digikey]])</f>
        <v>https://www.digikey.ch/products/en?keywords=</v>
      </c>
      <c r="Q34" s="57"/>
      <c r="R34" s="59"/>
      <c r="S34" s="61" t="str">
        <f>IF(Table1[[#This Row],[Farnell]]="","", HYPERLINK(Table1[[#This Row],[Destination - Farnell]],_xlfn.CONCAT("Link (",Table1[[#This Row],[Farnell]],")")))</f>
        <v/>
      </c>
      <c r="T34" s="62" t="str">
        <f>_xlfn.CONCAT("https://ch.farnell.com/fr-CH/",Table1[[#This Row],[Farnell]])</f>
        <v>https://ch.farnell.com/fr-CH/</v>
      </c>
      <c r="U34" s="57"/>
      <c r="V34" s="59"/>
      <c r="W34" s="61" t="str">
        <f>IF(Table1[[#This Row],[Distrelec]]="","", HYPERLINK(Table1[[#This Row],[Destination - Distrelec]],_xlfn.CONCAT("Link (",Table1[[#This Row],[Distrelec]],")")))</f>
        <v/>
      </c>
      <c r="X34" s="62" t="str">
        <f>_xlfn.CONCAT("https://www.distrelec.ch/search?q=",Table1[[#This Row],[Distrelec]])</f>
        <v>https://www.distrelec.ch/search?q=</v>
      </c>
      <c r="Y34" s="57"/>
      <c r="Z34" s="59"/>
      <c r="AA34" s="61" t="str">
        <f>IF(Table1[[#This Row],[Conrad]]="","", HYPERLINK(Table1[[#This Row],[Destination - Conrad]],_xlfn.CONCAT("Link (",Table1[[#This Row],[Conrad]],")")))</f>
        <v/>
      </c>
      <c r="AB34" s="62"/>
      <c r="AC34" s="57"/>
      <c r="AD34" s="59"/>
      <c r="AE34" s="61" t="str">
        <f>IF(Table1[[#This Row],[Mouser]]="","", HYPERLINK(Table1[[#This Row],[Destination - Mouser]],_xlfn.CONCAT("Link (",Table1[[#This Row],[Mouser]],")")))</f>
        <v/>
      </c>
      <c r="AF34" s="62" t="str">
        <f>_xlfn.CONCAT("https://www.mouser.ch/ProductDetail/",Table1[[#This Row],[Mouser]])</f>
        <v>https://www.mouser.ch/ProductDetail/</v>
      </c>
      <c r="AG34" s="57"/>
      <c r="AH34" s="59"/>
      <c r="AI34" s="61" t="str">
        <f>IF(Table1[[#This Row],[Bauhaus]]="","", HYPERLINK(Table1[[#This Row],[Destination - Bauhaus]],_xlfn.CONCAT("Link (",Table1[[#This Row],[Bauhaus]],")")))</f>
        <v/>
      </c>
      <c r="AJ34" s="62" t="str">
        <f>_xlfn.CONCAT("https://www.bauhaus.ch/fr/search?query=",Table1[[#This Row],[Bauhaus]])</f>
        <v>https://www.bauhaus.ch/fr/search?query=</v>
      </c>
      <c r="AK34" s="59"/>
      <c r="AL34" s="59"/>
      <c r="AM34" s="61" t="str">
        <f>IF(Table1[[#This Row],[BricoEtLoisirs]]="","", HYPERLINK(Table1[[#This Row],[Destination - BricoEtLoisirs]],_xlfn.CONCAT("Link (",Table1[[#This Row],[BricoEtLoisirs]],")")))</f>
        <v/>
      </c>
      <c r="AN34" s="62" t="str">
        <f>_xlfn.CONCAT("https://bricoetloisirs.ch/p/",Table1[[#This Row],[BricoEtLoisirs]])</f>
        <v>https://bricoetloisirs.ch/p/</v>
      </c>
      <c r="AO34" s="57" t="s">
        <v>2371</v>
      </c>
      <c r="AP34" s="59">
        <v>0.127</v>
      </c>
      <c r="AQ34" s="61" t="str">
        <f>IF(Table1[[#This Row],[Aliexpress]]="","", HYPERLINK(Table1[[#This Row],[Destination - Aliexpress]],_xlfn.CONCAT("Link (",Table1[[#This Row],[Aliexpress]],")")))</f>
        <v>Link (32845729569)</v>
      </c>
      <c r="AR34" s="62" t="str">
        <f>_xlfn.CONCAT("https://www.aliexpress.com/item/",Table1[[#This Row],[Aliexpress]],".html")</f>
        <v>https://www.aliexpress.com/item/32845729569.html</v>
      </c>
      <c r="AS34" s="57"/>
      <c r="AT34" s="59"/>
      <c r="AU34" s="61" t="str">
        <f>IF(Table1[[#This Row],[Banggood]]="","", HYPERLINK(Table1[[#This Row],[Destination - Banggood]],_xlfn.CONCAT("Link (",Table1[[#This Row],[Banggood]],")")))</f>
        <v/>
      </c>
      <c r="AV34" s="62" t="str">
        <f>_xlfn.CONCAT("https://www.banggood.com/search/",Table1[[#This Row],[Banggood]],".html")</f>
        <v>https://www.banggood.com/search/.html</v>
      </c>
      <c r="AW34" s="59" t="str">
        <f>IF(Table1[[#This Row],[Other]]&lt;&gt;"","Other","")</f>
        <v/>
      </c>
      <c r="AX34" s="57"/>
      <c r="AY34" s="59"/>
      <c r="AZ34" s="61" t="str">
        <f>IF(Table1[[#This Row],[Other]]="","",IF(Table1[[#This Row],[Destination - Other]]="","",HYPERLINK(Table1[[#This Row],[Destination - Other]],_xlfn.CONCAT("Link ("&amp;Table1[[#This Row],[Other]]&amp;")"))))</f>
        <v/>
      </c>
      <c r="BA34" s="59"/>
      <c r="BB34" s="58" t="str">
        <f>IF(AND( Table1[[#This Row],[Auto Order]]=1,Table1[[#This Row],[Obsolete]]=""),IF(Table1[[#This Row],[In stock]]&lt;Table1[[#This Row],[Min in stock]],1,""),"")</f>
        <v/>
      </c>
      <c r="BC34" s="64"/>
      <c r="BD34" s="66" t="str">
        <f>IF(Table1[[#This Row],[Obsolete]],Table1[[#This Row],[Art. Number]],"")</f>
        <v/>
      </c>
    </row>
    <row r="35" spans="1:56" x14ac:dyDescent="0.25">
      <c r="A35" s="65" t="s">
        <v>468</v>
      </c>
      <c r="B35" s="57" t="s">
        <v>465</v>
      </c>
      <c r="C35" s="57" t="s">
        <v>97</v>
      </c>
      <c r="D35" s="57" t="s">
        <v>469</v>
      </c>
      <c r="E35" s="57" t="s">
        <v>460</v>
      </c>
      <c r="F35" s="58">
        <v>5</v>
      </c>
      <c r="G35" s="58"/>
      <c r="H35" s="58"/>
      <c r="I3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32845729569</v>
      </c>
      <c r="J3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0.127</v>
      </c>
      <c r="K3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3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(32845729569)</v>
      </c>
      <c r="M35" s="57"/>
      <c r="N35" s="59"/>
      <c r="O35" s="61" t="str">
        <f>IF(Table1[[#This Row],[Digikey]]="","", HYPERLINK(Table1[[#This Row],[Destination - Digikey]],_xlfn.CONCAT("Link (",Table1[[#This Row],[Digikey]],")")))</f>
        <v/>
      </c>
      <c r="P35" s="62" t="str">
        <f>_xlfn.CONCAT("https://www.digikey.ch/products/en?keywords=",Table1[[#This Row],[Digikey]])</f>
        <v>https://www.digikey.ch/products/en?keywords=</v>
      </c>
      <c r="Q35" s="57"/>
      <c r="R35" s="59"/>
      <c r="S35" s="61" t="str">
        <f>IF(Table1[[#This Row],[Farnell]]="","", HYPERLINK(Table1[[#This Row],[Destination - Farnell]],_xlfn.CONCAT("Link (",Table1[[#This Row],[Farnell]],")")))</f>
        <v/>
      </c>
      <c r="T35" s="62" t="str">
        <f>_xlfn.CONCAT("https://ch.farnell.com/fr-CH/",Table1[[#This Row],[Farnell]])</f>
        <v>https://ch.farnell.com/fr-CH/</v>
      </c>
      <c r="U35" s="57"/>
      <c r="V35" s="59"/>
      <c r="W35" s="61" t="str">
        <f>IF(Table1[[#This Row],[Distrelec]]="","", HYPERLINK(Table1[[#This Row],[Destination - Distrelec]],_xlfn.CONCAT("Link (",Table1[[#This Row],[Distrelec]],")")))</f>
        <v/>
      </c>
      <c r="X35" s="62" t="str">
        <f>_xlfn.CONCAT("https://www.distrelec.ch/search?q=",Table1[[#This Row],[Distrelec]])</f>
        <v>https://www.distrelec.ch/search?q=</v>
      </c>
      <c r="Y35" s="57"/>
      <c r="Z35" s="59"/>
      <c r="AA35" s="61" t="str">
        <f>IF(Table1[[#This Row],[Conrad]]="","", HYPERLINK(Table1[[#This Row],[Destination - Conrad]],_xlfn.CONCAT("Link (",Table1[[#This Row],[Conrad]],")")))</f>
        <v/>
      </c>
      <c r="AB35" s="62"/>
      <c r="AC35" s="57"/>
      <c r="AD35" s="59"/>
      <c r="AE35" s="61" t="str">
        <f>IF(Table1[[#This Row],[Mouser]]="","", HYPERLINK(Table1[[#This Row],[Destination - Mouser]],_xlfn.CONCAT("Link (",Table1[[#This Row],[Mouser]],")")))</f>
        <v/>
      </c>
      <c r="AF35" s="62" t="str">
        <f>_xlfn.CONCAT("https://www.mouser.ch/ProductDetail/",Table1[[#This Row],[Mouser]])</f>
        <v>https://www.mouser.ch/ProductDetail/</v>
      </c>
      <c r="AG35" s="57"/>
      <c r="AH35" s="59"/>
      <c r="AI35" s="61" t="str">
        <f>IF(Table1[[#This Row],[Bauhaus]]="","", HYPERLINK(Table1[[#This Row],[Destination - Bauhaus]],_xlfn.CONCAT("Link (",Table1[[#This Row],[Bauhaus]],")")))</f>
        <v/>
      </c>
      <c r="AJ35" s="62" t="str">
        <f>_xlfn.CONCAT("https://www.bauhaus.ch/fr/search?query=",Table1[[#This Row],[Bauhaus]])</f>
        <v>https://www.bauhaus.ch/fr/search?query=</v>
      </c>
      <c r="AK35" s="59"/>
      <c r="AL35" s="59"/>
      <c r="AM35" s="61" t="str">
        <f>IF(Table1[[#This Row],[BricoEtLoisirs]]="","", HYPERLINK(Table1[[#This Row],[Destination - BricoEtLoisirs]],_xlfn.CONCAT("Link (",Table1[[#This Row],[BricoEtLoisirs]],")")))</f>
        <v/>
      </c>
      <c r="AN35" s="62" t="str">
        <f>_xlfn.CONCAT("https://bricoetloisirs.ch/p/",Table1[[#This Row],[BricoEtLoisirs]])</f>
        <v>https://bricoetloisirs.ch/p/</v>
      </c>
      <c r="AO35" s="57" t="s">
        <v>2371</v>
      </c>
      <c r="AP35" s="59">
        <v>0.127</v>
      </c>
      <c r="AQ35" s="61" t="str">
        <f>IF(Table1[[#This Row],[Aliexpress]]="","", HYPERLINK(Table1[[#This Row],[Destination - Aliexpress]],_xlfn.CONCAT("Link (",Table1[[#This Row],[Aliexpress]],")")))</f>
        <v>Link (32845729569)</v>
      </c>
      <c r="AR35" s="62" t="str">
        <f>_xlfn.CONCAT("https://www.aliexpress.com/item/",Table1[[#This Row],[Aliexpress]],".html")</f>
        <v>https://www.aliexpress.com/item/32845729569.html</v>
      </c>
      <c r="AS35" s="57"/>
      <c r="AT35" s="59"/>
      <c r="AU35" s="61" t="str">
        <f>IF(Table1[[#This Row],[Banggood]]="","", HYPERLINK(Table1[[#This Row],[Destination - Banggood]],_xlfn.CONCAT("Link (",Table1[[#This Row],[Banggood]],")")))</f>
        <v/>
      </c>
      <c r="AV35" s="62" t="str">
        <f>_xlfn.CONCAT("https://www.banggood.com/search/",Table1[[#This Row],[Banggood]],".html")</f>
        <v>https://www.banggood.com/search/.html</v>
      </c>
      <c r="AW35" s="59" t="str">
        <f>IF(Table1[[#This Row],[Other]]&lt;&gt;"","Other","")</f>
        <v/>
      </c>
      <c r="AX35" s="57"/>
      <c r="AY35" s="59"/>
      <c r="AZ35" s="61" t="str">
        <f>IF(Table1[[#This Row],[Other]]="","",IF(Table1[[#This Row],[Destination - Other]]="","",HYPERLINK(Table1[[#This Row],[Destination - Other]],_xlfn.CONCAT("Link ("&amp;Table1[[#This Row],[Other]]&amp;")"))))</f>
        <v/>
      </c>
      <c r="BA35" s="59"/>
      <c r="BB35" s="58" t="str">
        <f>IF(AND( Table1[[#This Row],[Auto Order]]=1,Table1[[#This Row],[Obsolete]]=""),IF(Table1[[#This Row],[In stock]]&lt;Table1[[#This Row],[Min in stock]],1,""),"")</f>
        <v/>
      </c>
      <c r="BC35" s="64"/>
      <c r="BD35" s="66" t="str">
        <f>IF(Table1[[#This Row],[Obsolete]],Table1[[#This Row],[Art. Number]],"")</f>
        <v/>
      </c>
    </row>
    <row r="36" spans="1:56" x14ac:dyDescent="0.25">
      <c r="A36" s="65" t="s">
        <v>165</v>
      </c>
      <c r="B36" s="57" t="s">
        <v>470</v>
      </c>
      <c r="C36" s="57" t="s">
        <v>97</v>
      </c>
      <c r="D36" s="57" t="s">
        <v>471</v>
      </c>
      <c r="E36" s="57" t="s">
        <v>460</v>
      </c>
      <c r="F36" s="58">
        <v>9.65</v>
      </c>
      <c r="G36" s="58">
        <v>2</v>
      </c>
      <c r="H36" s="58">
        <v>1</v>
      </c>
      <c r="I3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732-5350-ND</v>
      </c>
      <c r="J3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1.44</v>
      </c>
      <c r="K3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(732-5350-ND)</v>
      </c>
      <c r="M36" s="57" t="s">
        <v>472</v>
      </c>
      <c r="N36" s="59">
        <v>1.44</v>
      </c>
      <c r="O36" s="61" t="str">
        <f>IF(Table1[[#This Row],[Digikey]]="","", HYPERLINK(Table1[[#This Row],[Destination - Digikey]],_xlfn.CONCAT("Link (",Table1[[#This Row],[Digikey]],")")))</f>
        <v>Link (732-5350-ND)</v>
      </c>
      <c r="P36" s="62" t="str">
        <f>_xlfn.CONCAT("https://www.digikey.ch/products/en?keywords=",Table1[[#This Row],[Digikey]])</f>
        <v>https://www.digikey.ch/products/en?keywords=732-5350-ND</v>
      </c>
      <c r="Q36" s="57"/>
      <c r="R36" s="59"/>
      <c r="S36" s="61" t="str">
        <f>IF(Table1[[#This Row],[Farnell]]="","", HYPERLINK(Table1[[#This Row],[Destination - Farnell]],_xlfn.CONCAT("Link (",Table1[[#This Row],[Farnell]],")")))</f>
        <v/>
      </c>
      <c r="T36" s="62" t="str">
        <f>_xlfn.CONCAT("https://ch.farnell.com/fr-CH/",Table1[[#This Row],[Farnell]])</f>
        <v>https://ch.farnell.com/fr-CH/</v>
      </c>
      <c r="U36" s="57"/>
      <c r="V36" s="59"/>
      <c r="W36" s="61" t="str">
        <f>IF(Table1[[#This Row],[Distrelec]]="","", HYPERLINK(Table1[[#This Row],[Destination - Distrelec]],_xlfn.CONCAT("Link (",Table1[[#This Row],[Distrelec]],")")))</f>
        <v/>
      </c>
      <c r="X36" s="62" t="str">
        <f>_xlfn.CONCAT("https://www.distrelec.ch/search?q=",Table1[[#This Row],[Distrelec]])</f>
        <v>https://www.distrelec.ch/search?q=</v>
      </c>
      <c r="Y36" s="57"/>
      <c r="Z36" s="59"/>
      <c r="AA36" s="61" t="str">
        <f>IF(Table1[[#This Row],[Conrad]]="","", HYPERLINK(Table1[[#This Row],[Destination - Conrad]],_xlfn.CONCAT("Link (",Table1[[#This Row],[Conrad]],")")))</f>
        <v/>
      </c>
      <c r="AB36" s="62"/>
      <c r="AC36" s="57"/>
      <c r="AD36" s="59"/>
      <c r="AE36" s="61" t="str">
        <f>IF(Table1[[#This Row],[Mouser]]="","", HYPERLINK(Table1[[#This Row],[Destination - Mouser]],_xlfn.CONCAT("Link (",Table1[[#This Row],[Mouser]],")")))</f>
        <v/>
      </c>
      <c r="AF36" s="62" t="str">
        <f>_xlfn.CONCAT("https://www.mouser.ch/ProductDetail/",Table1[[#This Row],[Mouser]])</f>
        <v>https://www.mouser.ch/ProductDetail/</v>
      </c>
      <c r="AG36" s="57"/>
      <c r="AH36" s="59"/>
      <c r="AI36" s="61" t="str">
        <f>IF(Table1[[#This Row],[Bauhaus]]="","", HYPERLINK(Table1[[#This Row],[Destination - Bauhaus]],_xlfn.CONCAT("Link (",Table1[[#This Row],[Bauhaus]],")")))</f>
        <v/>
      </c>
      <c r="AJ36" s="62" t="str">
        <f>_xlfn.CONCAT("https://www.bauhaus.ch/fr/search?query=",Table1[[#This Row],[Bauhaus]])</f>
        <v>https://www.bauhaus.ch/fr/search?query=</v>
      </c>
      <c r="AK36" s="59"/>
      <c r="AL36" s="59"/>
      <c r="AM36" s="61" t="str">
        <f>IF(Table1[[#This Row],[BricoEtLoisirs]]="","", HYPERLINK(Table1[[#This Row],[Destination - BricoEtLoisirs]],_xlfn.CONCAT("Link (",Table1[[#This Row],[BricoEtLoisirs]],")")))</f>
        <v/>
      </c>
      <c r="AN36" s="62" t="str">
        <f>_xlfn.CONCAT("https://bricoetloisirs.ch/p/",Table1[[#This Row],[BricoEtLoisirs]])</f>
        <v>https://bricoetloisirs.ch/p/</v>
      </c>
      <c r="AO36" s="57"/>
      <c r="AP36" s="59"/>
      <c r="AQ36" s="61" t="str">
        <f>IF(Table1[[#This Row],[Aliexpress]]="","", HYPERLINK(Table1[[#This Row],[Destination - Aliexpress]],_xlfn.CONCAT("Link (",Table1[[#This Row],[Aliexpress]],")")))</f>
        <v/>
      </c>
      <c r="AR36" s="62" t="str">
        <f>_xlfn.CONCAT("https://www.aliexpress.com/item/",Table1[[#This Row],[Aliexpress]],".html")</f>
        <v>https://www.aliexpress.com/item/.html</v>
      </c>
      <c r="AS36" s="57"/>
      <c r="AT36" s="59"/>
      <c r="AU36" s="61" t="str">
        <f>IF(Table1[[#This Row],[Banggood]]="","", HYPERLINK(Table1[[#This Row],[Destination - Banggood]],_xlfn.CONCAT("Link (",Table1[[#This Row],[Banggood]],")")))</f>
        <v/>
      </c>
      <c r="AV36" s="62" t="str">
        <f>_xlfn.CONCAT("https://www.banggood.com/search/",Table1[[#This Row],[Banggood]],".html")</f>
        <v>https://www.banggood.com/search/.html</v>
      </c>
      <c r="AW36" s="59" t="str">
        <f>IF(Table1[[#This Row],[Other]]&lt;&gt;"","Other","")</f>
        <v/>
      </c>
      <c r="AX36" s="57"/>
      <c r="AY36" s="59"/>
      <c r="AZ36" s="61" t="str">
        <f>IF(Table1[[#This Row],[Other]]="","",IF(Table1[[#This Row],[Destination - Other]]="","",HYPERLINK(Table1[[#This Row],[Destination - Other]],_xlfn.CONCAT("Link ("&amp;Table1[[#This Row],[Other]]&amp;")"))))</f>
        <v/>
      </c>
      <c r="BA36" s="59"/>
      <c r="BB36" s="58" t="str">
        <f>IF(AND( Table1[[#This Row],[Auto Order]]=1,Table1[[#This Row],[Obsolete]]=""),IF(Table1[[#This Row],[In stock]]&lt;Table1[[#This Row],[Min in stock]],1,""),"")</f>
        <v/>
      </c>
      <c r="BC36" s="64"/>
      <c r="BD36" s="66" t="str">
        <f>IF(Table1[[#This Row],[Obsolete]],Table1[[#This Row],[Art. Number]],"")</f>
        <v/>
      </c>
    </row>
    <row r="37" spans="1:56" x14ac:dyDescent="0.25">
      <c r="A37" s="65" t="s">
        <v>2374</v>
      </c>
      <c r="B37" s="57" t="s">
        <v>29</v>
      </c>
      <c r="C37" s="57" t="s">
        <v>97</v>
      </c>
      <c r="D37" s="57" t="s">
        <v>485</v>
      </c>
      <c r="E37" s="57" t="s">
        <v>460</v>
      </c>
      <c r="F37" s="58">
        <v>1.8</v>
      </c>
      <c r="G37" s="58">
        <v>1</v>
      </c>
      <c r="H37" s="58">
        <v>1</v>
      </c>
      <c r="I3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965083</v>
      </c>
      <c r="J3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3.18</v>
      </c>
      <c r="K3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Banggood</v>
      </c>
      <c r="L3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(965083)</v>
      </c>
      <c r="M37" s="57"/>
      <c r="N37" s="59"/>
      <c r="O37" s="61" t="str">
        <f>IF(Table1[[#This Row],[Digikey]]="","", HYPERLINK(Table1[[#This Row],[Destination - Digikey]],_xlfn.CONCAT("Link (",Table1[[#This Row],[Digikey]],")")))</f>
        <v/>
      </c>
      <c r="P37" s="62" t="str">
        <f>_xlfn.CONCAT("https://www.digikey.ch/products/en?keywords=",Table1[[#This Row],[Digikey]])</f>
        <v>https://www.digikey.ch/products/en?keywords=</v>
      </c>
      <c r="Q37" s="57"/>
      <c r="R37" s="59"/>
      <c r="S37" s="61" t="str">
        <f>IF(Table1[[#This Row],[Farnell]]="","", HYPERLINK(Table1[[#This Row],[Destination - Farnell]],_xlfn.CONCAT("Link (",Table1[[#This Row],[Farnell]],")")))</f>
        <v/>
      </c>
      <c r="T37" s="62" t="str">
        <f>_xlfn.CONCAT("https://ch.farnell.com/fr-CH/",Table1[[#This Row],[Farnell]])</f>
        <v>https://ch.farnell.com/fr-CH/</v>
      </c>
      <c r="U37" s="57"/>
      <c r="V37" s="59"/>
      <c r="W37" s="61" t="str">
        <f>IF(Table1[[#This Row],[Distrelec]]="","", HYPERLINK(Table1[[#This Row],[Destination - Distrelec]],_xlfn.CONCAT("Link (",Table1[[#This Row],[Distrelec]],")")))</f>
        <v/>
      </c>
      <c r="X37" s="62" t="str">
        <f>_xlfn.CONCAT("https://www.distrelec.ch/search?q=",Table1[[#This Row],[Distrelec]])</f>
        <v>https://www.distrelec.ch/search?q=</v>
      </c>
      <c r="Y37" s="57"/>
      <c r="Z37" s="59"/>
      <c r="AA37" s="61" t="str">
        <f>IF(Table1[[#This Row],[Conrad]]="","", HYPERLINK(Table1[[#This Row],[Destination - Conrad]],_xlfn.CONCAT("Link (",Table1[[#This Row],[Conrad]],")")))</f>
        <v/>
      </c>
      <c r="AB37" s="62"/>
      <c r="AC37" s="57"/>
      <c r="AD37" s="59"/>
      <c r="AE37" s="61" t="str">
        <f>IF(Table1[[#This Row],[Mouser]]="","", HYPERLINK(Table1[[#This Row],[Destination - Mouser]],_xlfn.CONCAT("Link (",Table1[[#This Row],[Mouser]],")")))</f>
        <v/>
      </c>
      <c r="AF37" s="62" t="str">
        <f>_xlfn.CONCAT("https://www.mouser.ch/ProductDetail/",Table1[[#This Row],[Mouser]])</f>
        <v>https://www.mouser.ch/ProductDetail/</v>
      </c>
      <c r="AG37" s="57"/>
      <c r="AH37" s="59"/>
      <c r="AI37" s="61" t="str">
        <f>IF(Table1[[#This Row],[Bauhaus]]="","", HYPERLINK(Table1[[#This Row],[Destination - Bauhaus]],_xlfn.CONCAT("Link (",Table1[[#This Row],[Bauhaus]],")")))</f>
        <v/>
      </c>
      <c r="AJ37" s="62" t="str">
        <f>_xlfn.CONCAT("https://www.bauhaus.ch/fr/search?query=",Table1[[#This Row],[Bauhaus]])</f>
        <v>https://www.bauhaus.ch/fr/search?query=</v>
      </c>
      <c r="AK37" s="59"/>
      <c r="AL37" s="59"/>
      <c r="AM37" s="61" t="str">
        <f>IF(Table1[[#This Row],[BricoEtLoisirs]]="","", HYPERLINK(Table1[[#This Row],[Destination - BricoEtLoisirs]],_xlfn.CONCAT("Link (",Table1[[#This Row],[BricoEtLoisirs]],")")))</f>
        <v/>
      </c>
      <c r="AN37" s="62" t="str">
        <f>_xlfn.CONCAT("https://bricoetloisirs.ch/p/",Table1[[#This Row],[BricoEtLoisirs]])</f>
        <v>https://bricoetloisirs.ch/p/</v>
      </c>
      <c r="AO37" s="57"/>
      <c r="AP37" s="59"/>
      <c r="AQ37" s="61" t="str">
        <f>IF(Table1[[#This Row],[Aliexpress]]="","", HYPERLINK(Table1[[#This Row],[Destination - Aliexpress]],_xlfn.CONCAT("Link (",Table1[[#This Row],[Aliexpress]],")")))</f>
        <v/>
      </c>
      <c r="AR37" s="62" t="str">
        <f>_xlfn.CONCAT("https://www.aliexpress.com/item/",Table1[[#This Row],[Aliexpress]],".html")</f>
        <v>https://www.aliexpress.com/item/.html</v>
      </c>
      <c r="AS37" s="57" t="s">
        <v>2374</v>
      </c>
      <c r="AT37" s="59">
        <v>3.18</v>
      </c>
      <c r="AU37" s="61" t="str">
        <f>IF(Table1[[#This Row],[Banggood]]="","", HYPERLINK(Table1[[#This Row],[Destination - Banggood]],_xlfn.CONCAT("Link (",Table1[[#This Row],[Banggood]],")")))</f>
        <v>Link (965083)</v>
      </c>
      <c r="AV37" s="62" t="str">
        <f>_xlfn.CONCAT("https://www.banggood.com/search/",Table1[[#This Row],[Banggood]],".html")</f>
        <v>https://www.banggood.com/search/965083.html</v>
      </c>
      <c r="AW37" s="59" t="str">
        <f>IF(Table1[[#This Row],[Other]]&lt;&gt;"","Other","")</f>
        <v/>
      </c>
      <c r="AX37" s="57"/>
      <c r="AY37" s="59"/>
      <c r="AZ37" s="61" t="str">
        <f>IF(Table1[[#This Row],[Other]]="","",IF(Table1[[#This Row],[Destination - Other]]="","",HYPERLINK(Table1[[#This Row],[Destination - Other]],_xlfn.CONCAT("Link ("&amp;Table1[[#This Row],[Other]]&amp;")"))))</f>
        <v/>
      </c>
      <c r="BA37" s="59"/>
      <c r="BB37" s="58" t="str">
        <f>IF(AND( Table1[[#This Row],[Auto Order]]=1,Table1[[#This Row],[Obsolete]]=""),IF(Table1[[#This Row],[In stock]]&lt;Table1[[#This Row],[Min in stock]],1,""),"")</f>
        <v/>
      </c>
      <c r="BC37" s="64"/>
      <c r="BD37" s="66" t="str">
        <f>IF(Table1[[#This Row],[Obsolete]],Table1[[#This Row],[Art. Number]],"")</f>
        <v/>
      </c>
    </row>
    <row r="38" spans="1:56" x14ac:dyDescent="0.25">
      <c r="A38" s="65" t="s">
        <v>487</v>
      </c>
      <c r="B38" s="57" t="s">
        <v>488</v>
      </c>
      <c r="C38" s="57" t="s">
        <v>97</v>
      </c>
      <c r="D38" s="57" t="s">
        <v>2444</v>
      </c>
      <c r="E38" s="57" t="s">
        <v>460</v>
      </c>
      <c r="F38" s="58">
        <v>0</v>
      </c>
      <c r="G38" s="58"/>
      <c r="H38" s="58"/>
      <c r="I3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952-1782-ND</v>
      </c>
      <c r="J3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0.89</v>
      </c>
      <c r="K3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(952-1782-ND)</v>
      </c>
      <c r="M38" s="57" t="s">
        <v>489</v>
      </c>
      <c r="N38" s="59">
        <v>0.89</v>
      </c>
      <c r="O38" s="61" t="str">
        <f>IF(Table1[[#This Row],[Digikey]]="","", HYPERLINK(Table1[[#This Row],[Destination - Digikey]],_xlfn.CONCAT("Link (",Table1[[#This Row],[Digikey]],")")))</f>
        <v>Link (952-1782-ND)</v>
      </c>
      <c r="P38" s="62" t="str">
        <f>_xlfn.CONCAT("https://www.digikey.ch/products/en?keywords=",Table1[[#This Row],[Digikey]])</f>
        <v>https://www.digikey.ch/products/en?keywords=952-1782-ND</v>
      </c>
      <c r="Q38" s="57"/>
      <c r="R38" s="59"/>
      <c r="S38" s="61" t="str">
        <f>IF(Table1[[#This Row],[Farnell]]="","", HYPERLINK(Table1[[#This Row],[Destination - Farnell]],_xlfn.CONCAT("Link (",Table1[[#This Row],[Farnell]],")")))</f>
        <v/>
      </c>
      <c r="T38" s="62" t="str">
        <f>_xlfn.CONCAT("https://ch.farnell.com/fr-CH/",Table1[[#This Row],[Farnell]])</f>
        <v>https://ch.farnell.com/fr-CH/</v>
      </c>
      <c r="U38" s="57"/>
      <c r="V38" s="59"/>
      <c r="W38" s="61" t="str">
        <f>IF(Table1[[#This Row],[Distrelec]]="","", HYPERLINK(Table1[[#This Row],[Destination - Distrelec]],_xlfn.CONCAT("Link (",Table1[[#This Row],[Distrelec]],")")))</f>
        <v/>
      </c>
      <c r="X38" s="62" t="str">
        <f>_xlfn.CONCAT("https://www.distrelec.ch/search?q=",Table1[[#This Row],[Distrelec]])</f>
        <v>https://www.distrelec.ch/search?q=</v>
      </c>
      <c r="Y38" s="57"/>
      <c r="Z38" s="59"/>
      <c r="AA38" s="61" t="str">
        <f>IF(Table1[[#This Row],[Conrad]]="","", HYPERLINK(Table1[[#This Row],[Destination - Conrad]],_xlfn.CONCAT("Link (",Table1[[#This Row],[Conrad]],")")))</f>
        <v/>
      </c>
      <c r="AB38" s="62"/>
      <c r="AC38" s="57"/>
      <c r="AD38" s="59"/>
      <c r="AE38" s="61" t="str">
        <f>IF(Table1[[#This Row],[Mouser]]="","", HYPERLINK(Table1[[#This Row],[Destination - Mouser]],_xlfn.CONCAT("Link (",Table1[[#This Row],[Mouser]],")")))</f>
        <v/>
      </c>
      <c r="AF38" s="62" t="str">
        <f>_xlfn.CONCAT("https://www.mouser.ch/ProductDetail/",Table1[[#This Row],[Mouser]])</f>
        <v>https://www.mouser.ch/ProductDetail/</v>
      </c>
      <c r="AG38" s="57"/>
      <c r="AH38" s="59"/>
      <c r="AI38" s="61" t="str">
        <f>IF(Table1[[#This Row],[Bauhaus]]="","", HYPERLINK(Table1[[#This Row],[Destination - Bauhaus]],_xlfn.CONCAT("Link (",Table1[[#This Row],[Bauhaus]],")")))</f>
        <v/>
      </c>
      <c r="AJ38" s="62" t="str">
        <f>_xlfn.CONCAT("https://www.bauhaus.ch/fr/search?query=",Table1[[#This Row],[Bauhaus]])</f>
        <v>https://www.bauhaus.ch/fr/search?query=</v>
      </c>
      <c r="AK38" s="59"/>
      <c r="AL38" s="59"/>
      <c r="AM38" s="61" t="str">
        <f>IF(Table1[[#This Row],[BricoEtLoisirs]]="","", HYPERLINK(Table1[[#This Row],[Destination - BricoEtLoisirs]],_xlfn.CONCAT("Link (",Table1[[#This Row],[BricoEtLoisirs]],")")))</f>
        <v/>
      </c>
      <c r="AN38" s="62" t="str">
        <f>_xlfn.CONCAT("https://bricoetloisirs.ch/p/",Table1[[#This Row],[BricoEtLoisirs]])</f>
        <v>https://bricoetloisirs.ch/p/</v>
      </c>
      <c r="AO38" s="57"/>
      <c r="AP38" s="59"/>
      <c r="AQ38" s="61" t="str">
        <f>IF(Table1[[#This Row],[Aliexpress]]="","", HYPERLINK(Table1[[#This Row],[Destination - Aliexpress]],_xlfn.CONCAT("Link (",Table1[[#This Row],[Aliexpress]],")")))</f>
        <v/>
      </c>
      <c r="AR38" s="62" t="str">
        <f>_xlfn.CONCAT("https://www.aliexpress.com/item/",Table1[[#This Row],[Aliexpress]],".html")</f>
        <v>https://www.aliexpress.com/item/.html</v>
      </c>
      <c r="AS38" s="57"/>
      <c r="AT38" s="59"/>
      <c r="AU38" s="61" t="str">
        <f>IF(Table1[[#This Row],[Banggood]]="","", HYPERLINK(Table1[[#This Row],[Destination - Banggood]],_xlfn.CONCAT("Link (",Table1[[#This Row],[Banggood]],")")))</f>
        <v/>
      </c>
      <c r="AV38" s="62" t="str">
        <f>_xlfn.CONCAT("https://www.banggood.com/search/",Table1[[#This Row],[Banggood]],".html")</f>
        <v>https://www.banggood.com/search/.html</v>
      </c>
      <c r="AW38" s="59" t="str">
        <f>IF(Table1[[#This Row],[Other]]&lt;&gt;"","Other","")</f>
        <v/>
      </c>
      <c r="AX38" s="57"/>
      <c r="AY38" s="59"/>
      <c r="AZ38" s="61" t="str">
        <f>IF(Table1[[#This Row],[Other]]="","",IF(Table1[[#This Row],[Destination - Other]]="","",HYPERLINK(Table1[[#This Row],[Destination - Other]],_xlfn.CONCAT("Link ("&amp;Table1[[#This Row],[Other]]&amp;")"))))</f>
        <v/>
      </c>
      <c r="BA38" s="59"/>
      <c r="BB38" s="58" t="str">
        <f>IF(AND( Table1[[#This Row],[Auto Order]]=1,Table1[[#This Row],[Obsolete]]=""),IF(Table1[[#This Row],[In stock]]&lt;Table1[[#This Row],[Min in stock]],1,""),"")</f>
        <v/>
      </c>
      <c r="BC38" s="64"/>
      <c r="BD38" s="66" t="str">
        <f>IF(Table1[[#This Row],[Obsolete]],Table1[[#This Row],[Art. Number]],"")</f>
        <v/>
      </c>
    </row>
    <row r="39" spans="1:56" x14ac:dyDescent="0.25">
      <c r="A39" s="65" t="s">
        <v>491</v>
      </c>
      <c r="B39" s="57" t="s">
        <v>342</v>
      </c>
      <c r="C39" s="57" t="s">
        <v>97</v>
      </c>
      <c r="D39" s="57" t="s">
        <v>2445</v>
      </c>
      <c r="E39" s="57" t="s">
        <v>460</v>
      </c>
      <c r="F39" s="58">
        <v>0</v>
      </c>
      <c r="G39" s="58"/>
      <c r="H39" s="58"/>
      <c r="I3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S2012E-08-ND</v>
      </c>
      <c r="J3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0.72</v>
      </c>
      <c r="K3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(S2012E-08-ND)</v>
      </c>
      <c r="M39" s="57" t="s">
        <v>492</v>
      </c>
      <c r="N39" s="59">
        <v>0.72</v>
      </c>
      <c r="O39" s="61" t="str">
        <f>IF(Table1[[#This Row],[Digikey]]="","", HYPERLINK(Table1[[#This Row],[Destination - Digikey]],_xlfn.CONCAT("Link (",Table1[[#This Row],[Digikey]],")")))</f>
        <v>Link (S2012E-08-ND)</v>
      </c>
      <c r="P39" s="62" t="str">
        <f>_xlfn.CONCAT("https://www.digikey.ch/products/en?keywords=",Table1[[#This Row],[Digikey]])</f>
        <v>https://www.digikey.ch/products/en?keywords=S2012E-08-ND</v>
      </c>
      <c r="Q39" s="57"/>
      <c r="R39" s="59"/>
      <c r="S39" s="61" t="str">
        <f>IF(Table1[[#This Row],[Farnell]]="","", HYPERLINK(Table1[[#This Row],[Destination - Farnell]],_xlfn.CONCAT("Link (",Table1[[#This Row],[Farnell]],")")))</f>
        <v/>
      </c>
      <c r="T39" s="62" t="str">
        <f>_xlfn.CONCAT("https://ch.farnell.com/fr-CH/",Table1[[#This Row],[Farnell]])</f>
        <v>https://ch.farnell.com/fr-CH/</v>
      </c>
      <c r="U39" s="57"/>
      <c r="V39" s="59"/>
      <c r="W39" s="61" t="str">
        <f>IF(Table1[[#This Row],[Distrelec]]="","", HYPERLINK(Table1[[#This Row],[Destination - Distrelec]],_xlfn.CONCAT("Link (",Table1[[#This Row],[Distrelec]],")")))</f>
        <v/>
      </c>
      <c r="X39" s="62" t="str">
        <f>_xlfn.CONCAT("https://www.distrelec.ch/search?q=",Table1[[#This Row],[Distrelec]])</f>
        <v>https://www.distrelec.ch/search?q=</v>
      </c>
      <c r="Y39" s="57"/>
      <c r="Z39" s="59"/>
      <c r="AA39" s="61" t="str">
        <f>IF(Table1[[#This Row],[Conrad]]="","", HYPERLINK(Table1[[#This Row],[Destination - Conrad]],_xlfn.CONCAT("Link (",Table1[[#This Row],[Conrad]],")")))</f>
        <v/>
      </c>
      <c r="AB39" s="62"/>
      <c r="AC39" s="57"/>
      <c r="AD39" s="59"/>
      <c r="AE39" s="61" t="str">
        <f>IF(Table1[[#This Row],[Mouser]]="","", HYPERLINK(Table1[[#This Row],[Destination - Mouser]],_xlfn.CONCAT("Link (",Table1[[#This Row],[Mouser]],")")))</f>
        <v/>
      </c>
      <c r="AF39" s="62" t="str">
        <f>_xlfn.CONCAT("https://www.mouser.ch/ProductDetail/",Table1[[#This Row],[Mouser]])</f>
        <v>https://www.mouser.ch/ProductDetail/</v>
      </c>
      <c r="AG39" s="57"/>
      <c r="AH39" s="59"/>
      <c r="AI39" s="61" t="str">
        <f>IF(Table1[[#This Row],[Bauhaus]]="","", HYPERLINK(Table1[[#This Row],[Destination - Bauhaus]],_xlfn.CONCAT("Link (",Table1[[#This Row],[Bauhaus]],")")))</f>
        <v/>
      </c>
      <c r="AJ39" s="62" t="str">
        <f>_xlfn.CONCAT("https://www.bauhaus.ch/fr/search?query=",Table1[[#This Row],[Bauhaus]])</f>
        <v>https://www.bauhaus.ch/fr/search?query=</v>
      </c>
      <c r="AK39" s="59"/>
      <c r="AL39" s="59"/>
      <c r="AM39" s="61" t="str">
        <f>IF(Table1[[#This Row],[BricoEtLoisirs]]="","", HYPERLINK(Table1[[#This Row],[Destination - BricoEtLoisirs]],_xlfn.CONCAT("Link (",Table1[[#This Row],[BricoEtLoisirs]],")")))</f>
        <v/>
      </c>
      <c r="AN39" s="62" t="str">
        <f>_xlfn.CONCAT("https://bricoetloisirs.ch/p/",Table1[[#This Row],[BricoEtLoisirs]])</f>
        <v>https://bricoetloisirs.ch/p/</v>
      </c>
      <c r="AO39" s="57"/>
      <c r="AP39" s="59"/>
      <c r="AQ39" s="61" t="str">
        <f>IF(Table1[[#This Row],[Aliexpress]]="","", HYPERLINK(Table1[[#This Row],[Destination - Aliexpress]],_xlfn.CONCAT("Link (",Table1[[#This Row],[Aliexpress]],")")))</f>
        <v/>
      </c>
      <c r="AR39" s="62" t="str">
        <f>_xlfn.CONCAT("https://www.aliexpress.com/item/",Table1[[#This Row],[Aliexpress]],".html")</f>
        <v>https://www.aliexpress.com/item/.html</v>
      </c>
      <c r="AS39" s="57"/>
      <c r="AT39" s="59"/>
      <c r="AU39" s="61" t="str">
        <f>IF(Table1[[#This Row],[Banggood]]="","", HYPERLINK(Table1[[#This Row],[Destination - Banggood]],_xlfn.CONCAT("Link (",Table1[[#This Row],[Banggood]],")")))</f>
        <v/>
      </c>
      <c r="AV39" s="62" t="str">
        <f>_xlfn.CONCAT("https://www.banggood.com/search/",Table1[[#This Row],[Banggood]],".html")</f>
        <v>https://www.banggood.com/search/.html</v>
      </c>
      <c r="AW39" s="59" t="str">
        <f>IF(Table1[[#This Row],[Other]]&lt;&gt;"","Other","")</f>
        <v/>
      </c>
      <c r="AX39" s="57"/>
      <c r="AY39" s="59"/>
      <c r="AZ39" s="61" t="str">
        <f>IF(Table1[[#This Row],[Other]]="","",IF(Table1[[#This Row],[Destination - Other]]="","",HYPERLINK(Table1[[#This Row],[Destination - Other]],_xlfn.CONCAT("Link ("&amp;Table1[[#This Row],[Other]]&amp;")"))))</f>
        <v/>
      </c>
      <c r="BA39" s="59"/>
      <c r="BB39" s="58" t="str">
        <f>IF(AND( Table1[[#This Row],[Auto Order]]=1,Table1[[#This Row],[Obsolete]]=""),IF(Table1[[#This Row],[In stock]]&lt;Table1[[#This Row],[Min in stock]],1,""),"")</f>
        <v/>
      </c>
      <c r="BC39" s="64"/>
      <c r="BD39" s="66" t="str">
        <f>IF(Table1[[#This Row],[Obsolete]],Table1[[#This Row],[Art. Number]],"")</f>
        <v/>
      </c>
    </row>
    <row r="40" spans="1:56" x14ac:dyDescent="0.25">
      <c r="A40" s="65" t="s">
        <v>494</v>
      </c>
      <c r="B40" s="57" t="s">
        <v>342</v>
      </c>
      <c r="C40" s="57" t="s">
        <v>97</v>
      </c>
      <c r="D40" s="57" t="s">
        <v>2446</v>
      </c>
      <c r="E40" s="57" t="s">
        <v>460</v>
      </c>
      <c r="F40" s="58">
        <v>0</v>
      </c>
      <c r="G40" s="58"/>
      <c r="H40" s="58"/>
      <c r="I4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S7076-ND</v>
      </c>
      <c r="J4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0.98</v>
      </c>
      <c r="K4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(S7076-ND)</v>
      </c>
      <c r="M40" s="57" t="s">
        <v>495</v>
      </c>
      <c r="N40" s="59">
        <v>0.98</v>
      </c>
      <c r="O40" s="61" t="str">
        <f>IF(Table1[[#This Row],[Digikey]]="","", HYPERLINK(Table1[[#This Row],[Destination - Digikey]],_xlfn.CONCAT("Link (",Table1[[#This Row],[Digikey]],")")))</f>
        <v>Link (S7076-ND)</v>
      </c>
      <c r="P40" s="62" t="str">
        <f>_xlfn.CONCAT("https://www.digikey.ch/products/en?keywords=",Table1[[#This Row],[Digikey]])</f>
        <v>https://www.digikey.ch/products/en?keywords=S7076-ND</v>
      </c>
      <c r="Q40" s="57"/>
      <c r="R40" s="59"/>
      <c r="S40" s="61" t="str">
        <f>IF(Table1[[#This Row],[Farnell]]="","", HYPERLINK(Table1[[#This Row],[Destination - Farnell]],_xlfn.CONCAT("Link (",Table1[[#This Row],[Farnell]],")")))</f>
        <v/>
      </c>
      <c r="T40" s="62" t="str">
        <f>_xlfn.CONCAT("https://ch.farnell.com/fr-CH/",Table1[[#This Row],[Farnell]])</f>
        <v>https://ch.farnell.com/fr-CH/</v>
      </c>
      <c r="U40" s="57"/>
      <c r="V40" s="59"/>
      <c r="W40" s="61" t="str">
        <f>IF(Table1[[#This Row],[Distrelec]]="","", HYPERLINK(Table1[[#This Row],[Destination - Distrelec]],_xlfn.CONCAT("Link (",Table1[[#This Row],[Distrelec]],")")))</f>
        <v/>
      </c>
      <c r="X40" s="62" t="str">
        <f>_xlfn.CONCAT("https://www.distrelec.ch/search?q=",Table1[[#This Row],[Distrelec]])</f>
        <v>https://www.distrelec.ch/search?q=</v>
      </c>
      <c r="Y40" s="57"/>
      <c r="Z40" s="59"/>
      <c r="AA40" s="61" t="str">
        <f>IF(Table1[[#This Row],[Conrad]]="","", HYPERLINK(Table1[[#This Row],[Destination - Conrad]],_xlfn.CONCAT("Link (",Table1[[#This Row],[Conrad]],")")))</f>
        <v/>
      </c>
      <c r="AB40" s="62"/>
      <c r="AC40" s="57"/>
      <c r="AD40" s="59"/>
      <c r="AE40" s="61" t="str">
        <f>IF(Table1[[#This Row],[Mouser]]="","", HYPERLINK(Table1[[#This Row],[Destination - Mouser]],_xlfn.CONCAT("Link (",Table1[[#This Row],[Mouser]],")")))</f>
        <v/>
      </c>
      <c r="AF40" s="62" t="str">
        <f>_xlfn.CONCAT("https://www.mouser.ch/ProductDetail/",Table1[[#This Row],[Mouser]])</f>
        <v>https://www.mouser.ch/ProductDetail/</v>
      </c>
      <c r="AG40" s="57"/>
      <c r="AH40" s="59"/>
      <c r="AI40" s="61" t="str">
        <f>IF(Table1[[#This Row],[Bauhaus]]="","", HYPERLINK(Table1[[#This Row],[Destination - Bauhaus]],_xlfn.CONCAT("Link (",Table1[[#This Row],[Bauhaus]],")")))</f>
        <v/>
      </c>
      <c r="AJ40" s="62" t="str">
        <f>_xlfn.CONCAT("https://www.bauhaus.ch/fr/search?query=",Table1[[#This Row],[Bauhaus]])</f>
        <v>https://www.bauhaus.ch/fr/search?query=</v>
      </c>
      <c r="AK40" s="59"/>
      <c r="AL40" s="59"/>
      <c r="AM40" s="61" t="str">
        <f>IF(Table1[[#This Row],[BricoEtLoisirs]]="","", HYPERLINK(Table1[[#This Row],[Destination - BricoEtLoisirs]],_xlfn.CONCAT("Link (",Table1[[#This Row],[BricoEtLoisirs]],")")))</f>
        <v/>
      </c>
      <c r="AN40" s="62" t="str">
        <f>_xlfn.CONCAT("https://bricoetloisirs.ch/p/",Table1[[#This Row],[BricoEtLoisirs]])</f>
        <v>https://bricoetloisirs.ch/p/</v>
      </c>
      <c r="AO40" s="57"/>
      <c r="AP40" s="59"/>
      <c r="AQ40" s="61" t="str">
        <f>IF(Table1[[#This Row],[Aliexpress]]="","", HYPERLINK(Table1[[#This Row],[Destination - Aliexpress]],_xlfn.CONCAT("Link (",Table1[[#This Row],[Aliexpress]],")")))</f>
        <v/>
      </c>
      <c r="AR40" s="62" t="str">
        <f>_xlfn.CONCAT("https://www.aliexpress.com/item/",Table1[[#This Row],[Aliexpress]],".html")</f>
        <v>https://www.aliexpress.com/item/.html</v>
      </c>
      <c r="AS40" s="57"/>
      <c r="AT40" s="59"/>
      <c r="AU40" s="61" t="str">
        <f>IF(Table1[[#This Row],[Banggood]]="","", HYPERLINK(Table1[[#This Row],[Destination - Banggood]],_xlfn.CONCAT("Link (",Table1[[#This Row],[Banggood]],")")))</f>
        <v/>
      </c>
      <c r="AV40" s="62" t="str">
        <f>_xlfn.CONCAT("https://www.banggood.com/search/",Table1[[#This Row],[Banggood]],".html")</f>
        <v>https://www.banggood.com/search/.html</v>
      </c>
      <c r="AW40" s="59" t="str">
        <f>IF(Table1[[#This Row],[Other]]&lt;&gt;"","Other","")</f>
        <v/>
      </c>
      <c r="AX40" s="57"/>
      <c r="AY40" s="59"/>
      <c r="AZ40" s="61" t="str">
        <f>IF(Table1[[#This Row],[Other]]="","",IF(Table1[[#This Row],[Destination - Other]]="","",HYPERLINK(Table1[[#This Row],[Destination - Other]],_xlfn.CONCAT("Link ("&amp;Table1[[#This Row],[Other]]&amp;")"))))</f>
        <v/>
      </c>
      <c r="BA40" s="59"/>
      <c r="BB40" s="58" t="str">
        <f>IF(AND( Table1[[#This Row],[Auto Order]]=1,Table1[[#This Row],[Obsolete]]=""),IF(Table1[[#This Row],[In stock]]&lt;Table1[[#This Row],[Min in stock]],1,""),"")</f>
        <v/>
      </c>
      <c r="BC40" s="64"/>
      <c r="BD40" s="66" t="str">
        <f>IF(Table1[[#This Row],[Obsolete]],Table1[[#This Row],[Art. Number]],"")</f>
        <v/>
      </c>
    </row>
    <row r="41" spans="1:56" x14ac:dyDescent="0.25">
      <c r="A41" s="65" t="s">
        <v>497</v>
      </c>
      <c r="B41" s="57" t="s">
        <v>498</v>
      </c>
      <c r="C41" s="57" t="s">
        <v>97</v>
      </c>
      <c r="D41" s="57" t="s">
        <v>499</v>
      </c>
      <c r="E41" s="57" t="s">
        <v>460</v>
      </c>
      <c r="F41" s="58">
        <v>0</v>
      </c>
      <c r="G41" s="58"/>
      <c r="H41" s="58"/>
      <c r="I4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KLB 4</v>
      </c>
      <c r="J4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2.8</v>
      </c>
      <c r="K4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4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(KLB 4)</v>
      </c>
      <c r="M41" s="57"/>
      <c r="N41" s="59"/>
      <c r="O41" s="61" t="str">
        <f>IF(Table1[[#This Row],[Digikey]]="","", HYPERLINK(Table1[[#This Row],[Destination - Digikey]],_xlfn.CONCAT("Link (",Table1[[#This Row],[Digikey]],")")))</f>
        <v/>
      </c>
      <c r="P41" s="62" t="str">
        <f>_xlfn.CONCAT("https://www.digikey.ch/products/en?keywords=",Table1[[#This Row],[Digikey]])</f>
        <v>https://www.digikey.ch/products/en?keywords=</v>
      </c>
      <c r="Q41" s="57"/>
      <c r="R41" s="59"/>
      <c r="S41" s="61" t="str">
        <f>IF(Table1[[#This Row],[Farnell]]="","", HYPERLINK(Table1[[#This Row],[Destination - Farnell]],_xlfn.CONCAT("Link (",Table1[[#This Row],[Farnell]],")")))</f>
        <v/>
      </c>
      <c r="T41" s="62" t="str">
        <f>_xlfn.CONCAT("https://ch.farnell.com/fr-CH/",Table1[[#This Row],[Farnell]])</f>
        <v>https://ch.farnell.com/fr-CH/</v>
      </c>
      <c r="U41" s="57" t="s">
        <v>500</v>
      </c>
      <c r="V41" s="59">
        <v>2.8</v>
      </c>
      <c r="W41" s="61" t="str">
        <f>IF(Table1[[#This Row],[Distrelec]]="","", HYPERLINK(Table1[[#This Row],[Destination - Distrelec]],_xlfn.CONCAT("Link (",Table1[[#This Row],[Distrelec]],")")))</f>
        <v>Link (KLB 4)</v>
      </c>
      <c r="X41" s="62" t="str">
        <f>_xlfn.CONCAT("https://www.distrelec.ch/search?q=",Table1[[#This Row],[Distrelec]])</f>
        <v>https://www.distrelec.ch/search?q=KLB 4</v>
      </c>
      <c r="Y41" s="57"/>
      <c r="Z41" s="59"/>
      <c r="AA41" s="61" t="str">
        <f>IF(Table1[[#This Row],[Conrad]]="","", HYPERLINK(Table1[[#This Row],[Destination - Conrad]],_xlfn.CONCAT("Link (",Table1[[#This Row],[Conrad]],")")))</f>
        <v/>
      </c>
      <c r="AB41" s="62"/>
      <c r="AC41" s="57"/>
      <c r="AD41" s="59"/>
      <c r="AE41" s="61" t="str">
        <f>IF(Table1[[#This Row],[Mouser]]="","", HYPERLINK(Table1[[#This Row],[Destination - Mouser]],_xlfn.CONCAT("Link (",Table1[[#This Row],[Mouser]],")")))</f>
        <v/>
      </c>
      <c r="AF41" s="62" t="str">
        <f>_xlfn.CONCAT("https://www.mouser.ch/ProductDetail/",Table1[[#This Row],[Mouser]])</f>
        <v>https://www.mouser.ch/ProductDetail/</v>
      </c>
      <c r="AG41" s="57"/>
      <c r="AH41" s="59"/>
      <c r="AI41" s="61" t="str">
        <f>IF(Table1[[#This Row],[Bauhaus]]="","", HYPERLINK(Table1[[#This Row],[Destination - Bauhaus]],_xlfn.CONCAT("Link (",Table1[[#This Row],[Bauhaus]],")")))</f>
        <v/>
      </c>
      <c r="AJ41" s="62" t="str">
        <f>_xlfn.CONCAT("https://www.bauhaus.ch/fr/search?query=",Table1[[#This Row],[Bauhaus]])</f>
        <v>https://www.bauhaus.ch/fr/search?query=</v>
      </c>
      <c r="AK41" s="59"/>
      <c r="AL41" s="59"/>
      <c r="AM41" s="61" t="str">
        <f>IF(Table1[[#This Row],[BricoEtLoisirs]]="","", HYPERLINK(Table1[[#This Row],[Destination - BricoEtLoisirs]],_xlfn.CONCAT("Link (",Table1[[#This Row],[BricoEtLoisirs]],")")))</f>
        <v/>
      </c>
      <c r="AN41" s="62" t="str">
        <f>_xlfn.CONCAT("https://bricoetloisirs.ch/p/",Table1[[#This Row],[BricoEtLoisirs]])</f>
        <v>https://bricoetloisirs.ch/p/</v>
      </c>
      <c r="AO41" s="57"/>
      <c r="AP41" s="59"/>
      <c r="AQ41" s="61" t="str">
        <f>IF(Table1[[#This Row],[Aliexpress]]="","", HYPERLINK(Table1[[#This Row],[Destination - Aliexpress]],_xlfn.CONCAT("Link (",Table1[[#This Row],[Aliexpress]],")")))</f>
        <v/>
      </c>
      <c r="AR41" s="62" t="str">
        <f>_xlfn.CONCAT("https://www.aliexpress.com/item/",Table1[[#This Row],[Aliexpress]],".html")</f>
        <v>https://www.aliexpress.com/item/.html</v>
      </c>
      <c r="AS41" s="57"/>
      <c r="AT41" s="59"/>
      <c r="AU41" s="61" t="str">
        <f>IF(Table1[[#This Row],[Banggood]]="","", HYPERLINK(Table1[[#This Row],[Destination - Banggood]],_xlfn.CONCAT("Link (",Table1[[#This Row],[Banggood]],")")))</f>
        <v/>
      </c>
      <c r="AV41" s="62" t="str">
        <f>_xlfn.CONCAT("https://www.banggood.com/search/",Table1[[#This Row],[Banggood]],".html")</f>
        <v>https://www.banggood.com/search/.html</v>
      </c>
      <c r="AW41" s="59" t="str">
        <f>IF(Table1[[#This Row],[Other]]&lt;&gt;"","Other","")</f>
        <v/>
      </c>
      <c r="AX41" s="57"/>
      <c r="AY41" s="59"/>
      <c r="AZ41" s="61" t="str">
        <f>IF(Table1[[#This Row],[Other]]="","",IF(Table1[[#This Row],[Destination - Other]]="","",HYPERLINK(Table1[[#This Row],[Destination - Other]],_xlfn.CONCAT("Link ("&amp;Table1[[#This Row],[Other]]&amp;")"))))</f>
        <v/>
      </c>
      <c r="BA41" s="59"/>
      <c r="BB41" s="58" t="str">
        <f>IF(AND( Table1[[#This Row],[Auto Order]]=1,Table1[[#This Row],[Obsolete]]=""),IF(Table1[[#This Row],[In stock]]&lt;Table1[[#This Row],[Min in stock]],1,""),"")</f>
        <v/>
      </c>
      <c r="BC41" s="64"/>
      <c r="BD41" s="66" t="str">
        <f>IF(Table1[[#This Row],[Obsolete]],Table1[[#This Row],[Art. Number]],"")</f>
        <v/>
      </c>
    </row>
    <row r="42" spans="1:56" x14ac:dyDescent="0.25">
      <c r="A42" s="65" t="s">
        <v>502</v>
      </c>
      <c r="B42" s="57" t="s">
        <v>503</v>
      </c>
      <c r="C42" s="57" t="s">
        <v>504</v>
      </c>
      <c r="D42" s="57" t="s">
        <v>505</v>
      </c>
      <c r="E42" s="57" t="s">
        <v>460</v>
      </c>
      <c r="F42" s="58">
        <v>2</v>
      </c>
      <c r="G42" s="58"/>
      <c r="H42" s="58"/>
      <c r="I4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SAM15136-ND</v>
      </c>
      <c r="J4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0.62</v>
      </c>
      <c r="K4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(SAM15136-ND)</v>
      </c>
      <c r="M42" s="57" t="s">
        <v>506</v>
      </c>
      <c r="N42" s="59">
        <v>0.62</v>
      </c>
      <c r="O42" s="61" t="str">
        <f>IF(Table1[[#This Row],[Digikey]]="","", HYPERLINK(Table1[[#This Row],[Destination - Digikey]],_xlfn.CONCAT("Link (",Table1[[#This Row],[Digikey]],")")))</f>
        <v>Link (SAM15136-ND)</v>
      </c>
      <c r="P42" s="62" t="str">
        <f>_xlfn.CONCAT("https://www.digikey.ch/products/en?keywords=",Table1[[#This Row],[Digikey]])</f>
        <v>https://www.digikey.ch/products/en?keywords=SAM15136-ND</v>
      </c>
      <c r="Q42" s="57"/>
      <c r="R42" s="59"/>
      <c r="S42" s="61" t="str">
        <f>IF(Table1[[#This Row],[Farnell]]="","", HYPERLINK(Table1[[#This Row],[Destination - Farnell]],_xlfn.CONCAT("Link (",Table1[[#This Row],[Farnell]],")")))</f>
        <v/>
      </c>
      <c r="T42" s="62" t="str">
        <f>_xlfn.CONCAT("https://ch.farnell.com/fr-CH/",Table1[[#This Row],[Farnell]])</f>
        <v>https://ch.farnell.com/fr-CH/</v>
      </c>
      <c r="U42" s="57"/>
      <c r="V42" s="59"/>
      <c r="W42" s="61" t="str">
        <f>IF(Table1[[#This Row],[Distrelec]]="","", HYPERLINK(Table1[[#This Row],[Destination - Distrelec]],_xlfn.CONCAT("Link (",Table1[[#This Row],[Distrelec]],")")))</f>
        <v/>
      </c>
      <c r="X42" s="62" t="str">
        <f>_xlfn.CONCAT("https://www.distrelec.ch/search?q=",Table1[[#This Row],[Distrelec]])</f>
        <v>https://www.distrelec.ch/search?q=</v>
      </c>
      <c r="Y42" s="57"/>
      <c r="Z42" s="59"/>
      <c r="AA42" s="61" t="str">
        <f>IF(Table1[[#This Row],[Conrad]]="","", HYPERLINK(Table1[[#This Row],[Destination - Conrad]],_xlfn.CONCAT("Link (",Table1[[#This Row],[Conrad]],")")))</f>
        <v/>
      </c>
      <c r="AB42" s="62"/>
      <c r="AC42" s="57"/>
      <c r="AD42" s="59"/>
      <c r="AE42" s="61" t="str">
        <f>IF(Table1[[#This Row],[Mouser]]="","", HYPERLINK(Table1[[#This Row],[Destination - Mouser]],_xlfn.CONCAT("Link (",Table1[[#This Row],[Mouser]],")")))</f>
        <v/>
      </c>
      <c r="AF42" s="62" t="str">
        <f>_xlfn.CONCAT("https://www.mouser.ch/ProductDetail/",Table1[[#This Row],[Mouser]])</f>
        <v>https://www.mouser.ch/ProductDetail/</v>
      </c>
      <c r="AG42" s="57"/>
      <c r="AH42" s="59"/>
      <c r="AI42" s="61" t="str">
        <f>IF(Table1[[#This Row],[Bauhaus]]="","", HYPERLINK(Table1[[#This Row],[Destination - Bauhaus]],_xlfn.CONCAT("Link (",Table1[[#This Row],[Bauhaus]],")")))</f>
        <v/>
      </c>
      <c r="AJ42" s="62" t="str">
        <f>_xlfn.CONCAT("https://www.bauhaus.ch/fr/search?query=",Table1[[#This Row],[Bauhaus]])</f>
        <v>https://www.bauhaus.ch/fr/search?query=</v>
      </c>
      <c r="AK42" s="59"/>
      <c r="AL42" s="59"/>
      <c r="AM42" s="61" t="str">
        <f>IF(Table1[[#This Row],[BricoEtLoisirs]]="","", HYPERLINK(Table1[[#This Row],[Destination - BricoEtLoisirs]],_xlfn.CONCAT("Link (",Table1[[#This Row],[BricoEtLoisirs]],")")))</f>
        <v/>
      </c>
      <c r="AN42" s="62" t="str">
        <f>_xlfn.CONCAT("https://bricoetloisirs.ch/p/",Table1[[#This Row],[BricoEtLoisirs]])</f>
        <v>https://bricoetloisirs.ch/p/</v>
      </c>
      <c r="AO42" s="57"/>
      <c r="AP42" s="59"/>
      <c r="AQ42" s="61" t="str">
        <f>IF(Table1[[#This Row],[Aliexpress]]="","", HYPERLINK(Table1[[#This Row],[Destination - Aliexpress]],_xlfn.CONCAT("Link (",Table1[[#This Row],[Aliexpress]],")")))</f>
        <v/>
      </c>
      <c r="AR42" s="62" t="str">
        <f>_xlfn.CONCAT("https://www.aliexpress.com/item/",Table1[[#This Row],[Aliexpress]],".html")</f>
        <v>https://www.aliexpress.com/item/.html</v>
      </c>
      <c r="AS42" s="57"/>
      <c r="AT42" s="59"/>
      <c r="AU42" s="61" t="str">
        <f>IF(Table1[[#This Row],[Banggood]]="","", HYPERLINK(Table1[[#This Row],[Destination - Banggood]],_xlfn.CONCAT("Link (",Table1[[#This Row],[Banggood]],")")))</f>
        <v/>
      </c>
      <c r="AV42" s="62" t="str">
        <f>_xlfn.CONCAT("https://www.banggood.com/search/",Table1[[#This Row],[Banggood]],".html")</f>
        <v>https://www.banggood.com/search/.html</v>
      </c>
      <c r="AW42" s="59" t="str">
        <f>IF(Table1[[#This Row],[Other]]&lt;&gt;"","Other","")</f>
        <v/>
      </c>
      <c r="AX42" s="57"/>
      <c r="AY42" s="59"/>
      <c r="AZ42" s="61" t="str">
        <f>IF(Table1[[#This Row],[Other]]="","",IF(Table1[[#This Row],[Destination - Other]]="","",HYPERLINK(Table1[[#This Row],[Destination - Other]],_xlfn.CONCAT("Link ("&amp;Table1[[#This Row],[Other]]&amp;")"))))</f>
        <v/>
      </c>
      <c r="BA42" s="59"/>
      <c r="BB42" s="58" t="str">
        <f>IF(AND( Table1[[#This Row],[Auto Order]]=1,Table1[[#This Row],[Obsolete]]=""),IF(Table1[[#This Row],[In stock]]&lt;Table1[[#This Row],[Min in stock]],1,""),"")</f>
        <v/>
      </c>
      <c r="BC42" s="64"/>
      <c r="BD42" s="66" t="str">
        <f>IF(Table1[[#This Row],[Obsolete]],Table1[[#This Row],[Art. Number]],"")</f>
        <v/>
      </c>
    </row>
    <row r="43" spans="1:56" x14ac:dyDescent="0.25">
      <c r="A43" s="65" t="s">
        <v>41</v>
      </c>
      <c r="B43" s="57" t="s">
        <v>709</v>
      </c>
      <c r="C43" s="57" t="s">
        <v>480</v>
      </c>
      <c r="D43" s="57" t="s">
        <v>710</v>
      </c>
      <c r="E43" s="57" t="s">
        <v>460</v>
      </c>
      <c r="F43" s="58">
        <v>8</v>
      </c>
      <c r="G43" s="58">
        <v>2</v>
      </c>
      <c r="H43" s="58">
        <v>1</v>
      </c>
      <c r="I4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609-4052-1-ND</v>
      </c>
      <c r="J4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0.66500000000000004</v>
      </c>
      <c r="K4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(609-4052-1-ND)</v>
      </c>
      <c r="M43" s="57" t="s">
        <v>711</v>
      </c>
      <c r="N43" s="59">
        <v>0.66500000000000004</v>
      </c>
      <c r="O43" s="61" t="str">
        <f>IF(Table1[[#This Row],[Digikey]]="","", HYPERLINK(Table1[[#This Row],[Destination - Digikey]],_xlfn.CONCAT("Link (",Table1[[#This Row],[Digikey]],")")))</f>
        <v>Link (609-4052-1-ND)</v>
      </c>
      <c r="P43" s="62" t="str">
        <f>_xlfn.CONCAT("https://www.digikey.ch/products/en?keywords=",Table1[[#This Row],[Digikey]])</f>
        <v>https://www.digikey.ch/products/en?keywords=609-4052-1-ND</v>
      </c>
      <c r="Q43" s="57"/>
      <c r="R43" s="59"/>
      <c r="S43" s="61" t="str">
        <f>IF(Table1[[#This Row],[Farnell]]="","", HYPERLINK(Table1[[#This Row],[Destination - Farnell]],_xlfn.CONCAT("Link (",Table1[[#This Row],[Farnell]],")")))</f>
        <v/>
      </c>
      <c r="T43" s="62" t="str">
        <f>_xlfn.CONCAT("https://ch.farnell.com/fr-CH/",Table1[[#This Row],[Farnell]])</f>
        <v>https://ch.farnell.com/fr-CH/</v>
      </c>
      <c r="U43" s="57"/>
      <c r="V43" s="59"/>
      <c r="W43" s="61" t="str">
        <f>IF(Table1[[#This Row],[Distrelec]]="","", HYPERLINK(Table1[[#This Row],[Destination - Distrelec]],_xlfn.CONCAT("Link (",Table1[[#This Row],[Distrelec]],")")))</f>
        <v/>
      </c>
      <c r="X43" s="62" t="str">
        <f>_xlfn.CONCAT("https://www.distrelec.ch/search?q=",Table1[[#This Row],[Distrelec]])</f>
        <v>https://www.distrelec.ch/search?q=</v>
      </c>
      <c r="Y43" s="57"/>
      <c r="Z43" s="59"/>
      <c r="AA43" s="61" t="str">
        <f>IF(Table1[[#This Row],[Conrad]]="","", HYPERLINK(Table1[[#This Row],[Destination - Conrad]],_xlfn.CONCAT("Link (",Table1[[#This Row],[Conrad]],")")))</f>
        <v/>
      </c>
      <c r="AB43" s="62"/>
      <c r="AC43" s="57"/>
      <c r="AD43" s="59"/>
      <c r="AE43" s="61" t="str">
        <f>IF(Table1[[#This Row],[Mouser]]="","", HYPERLINK(Table1[[#This Row],[Destination - Mouser]],_xlfn.CONCAT("Link (",Table1[[#This Row],[Mouser]],")")))</f>
        <v/>
      </c>
      <c r="AF43" s="62" t="str">
        <f>_xlfn.CONCAT("https://www.mouser.ch/ProductDetail/",Table1[[#This Row],[Mouser]])</f>
        <v>https://www.mouser.ch/ProductDetail/</v>
      </c>
      <c r="AG43" s="57"/>
      <c r="AH43" s="59"/>
      <c r="AI43" s="61" t="str">
        <f>IF(Table1[[#This Row],[Bauhaus]]="","", HYPERLINK(Table1[[#This Row],[Destination - Bauhaus]],_xlfn.CONCAT("Link (",Table1[[#This Row],[Bauhaus]],")")))</f>
        <v/>
      </c>
      <c r="AJ43" s="62" t="str">
        <f>_xlfn.CONCAT("https://www.bauhaus.ch/fr/search?query=",Table1[[#This Row],[Bauhaus]])</f>
        <v>https://www.bauhaus.ch/fr/search?query=</v>
      </c>
      <c r="AK43" s="59"/>
      <c r="AL43" s="59"/>
      <c r="AM43" s="61" t="str">
        <f>IF(Table1[[#This Row],[BricoEtLoisirs]]="","", HYPERLINK(Table1[[#This Row],[Destination - BricoEtLoisirs]],_xlfn.CONCAT("Link (",Table1[[#This Row],[BricoEtLoisirs]],")")))</f>
        <v/>
      </c>
      <c r="AN43" s="62" t="str">
        <f>_xlfn.CONCAT("https://bricoetloisirs.ch/p/",Table1[[#This Row],[BricoEtLoisirs]])</f>
        <v>https://bricoetloisirs.ch/p/</v>
      </c>
      <c r="AO43" s="57"/>
      <c r="AP43" s="59"/>
      <c r="AQ43" s="61" t="str">
        <f>IF(Table1[[#This Row],[Aliexpress]]="","", HYPERLINK(Table1[[#This Row],[Destination - Aliexpress]],_xlfn.CONCAT("Link (",Table1[[#This Row],[Aliexpress]],")")))</f>
        <v/>
      </c>
      <c r="AR43" s="62" t="str">
        <f>_xlfn.CONCAT("https://www.aliexpress.com/item/",Table1[[#This Row],[Aliexpress]],".html")</f>
        <v>https://www.aliexpress.com/item/.html</v>
      </c>
      <c r="AS43" s="57"/>
      <c r="AT43" s="59"/>
      <c r="AU43" s="61" t="str">
        <f>IF(Table1[[#This Row],[Banggood]]="","", HYPERLINK(Table1[[#This Row],[Destination - Banggood]],_xlfn.CONCAT("Link (",Table1[[#This Row],[Banggood]],")")))</f>
        <v/>
      </c>
      <c r="AV43" s="62" t="str">
        <f>_xlfn.CONCAT("https://www.banggood.com/search/",Table1[[#This Row],[Banggood]],".html")</f>
        <v>https://www.banggood.com/search/.html</v>
      </c>
      <c r="AW43" s="59" t="str">
        <f>IF(Table1[[#This Row],[Other]]&lt;&gt;"","Other","")</f>
        <v/>
      </c>
      <c r="AX43" s="57"/>
      <c r="AY43" s="59"/>
      <c r="AZ43" s="61" t="str">
        <f>IF(Table1[[#This Row],[Other]]="","",IF(Table1[[#This Row],[Destination - Other]]="","",HYPERLINK(Table1[[#This Row],[Destination - Other]],_xlfn.CONCAT("Link ("&amp;Table1[[#This Row],[Other]]&amp;")"))))</f>
        <v/>
      </c>
      <c r="BA43" s="59"/>
      <c r="BB43" s="58" t="str">
        <f>IF(AND( Table1[[#This Row],[Auto Order]]=1,Table1[[#This Row],[Obsolete]]=""),IF(Table1[[#This Row],[In stock]]&lt;Table1[[#This Row],[Min in stock]],1,""),"")</f>
        <v/>
      </c>
      <c r="BC43" s="64"/>
      <c r="BD43" s="66" t="str">
        <f>IF(Table1[[#This Row],[Obsolete]],Table1[[#This Row],[Art. Number]],"")</f>
        <v/>
      </c>
    </row>
    <row r="44" spans="1:56" x14ac:dyDescent="0.25">
      <c r="A44" s="65" t="s">
        <v>713</v>
      </c>
      <c r="B44" s="57" t="s">
        <v>300</v>
      </c>
      <c r="C44" s="57" t="s">
        <v>714</v>
      </c>
      <c r="D44" s="57" t="s">
        <v>715</v>
      </c>
      <c r="E44" s="57" t="s">
        <v>460</v>
      </c>
      <c r="F44" s="58">
        <v>3.8</v>
      </c>
      <c r="G44" s="58"/>
      <c r="H44" s="58"/>
      <c r="I4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2725179</v>
      </c>
      <c r="J4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0.28699999999999998</v>
      </c>
      <c r="K4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4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(2725179)</v>
      </c>
      <c r="M44" s="57"/>
      <c r="N44" s="59"/>
      <c r="O44" s="61" t="str">
        <f>IF(Table1[[#This Row],[Digikey]]="","", HYPERLINK(Table1[[#This Row],[Destination - Digikey]],_xlfn.CONCAT("Link (",Table1[[#This Row],[Digikey]],")")))</f>
        <v/>
      </c>
      <c r="P44" s="62" t="str">
        <f>_xlfn.CONCAT("https://www.digikey.ch/products/en?keywords=",Table1[[#This Row],[Digikey]])</f>
        <v>https://www.digikey.ch/products/en?keywords=</v>
      </c>
      <c r="Q44" s="57" t="s">
        <v>2397</v>
      </c>
      <c r="R44" s="59">
        <v>0.28699999999999998</v>
      </c>
      <c r="S44" s="61" t="str">
        <f>IF(Table1[[#This Row],[Farnell]]="","", HYPERLINK(Table1[[#This Row],[Destination - Farnell]],_xlfn.CONCAT("Link (",Table1[[#This Row],[Farnell]],")")))</f>
        <v>Link (2725179)</v>
      </c>
      <c r="T44" s="62" t="str">
        <f>_xlfn.CONCAT("https://ch.farnell.com/fr-CH/",Table1[[#This Row],[Farnell]])</f>
        <v>https://ch.farnell.com/fr-CH/2725179</v>
      </c>
      <c r="U44" s="57"/>
      <c r="V44" s="59"/>
      <c r="W44" s="61" t="str">
        <f>IF(Table1[[#This Row],[Distrelec]]="","", HYPERLINK(Table1[[#This Row],[Destination - Distrelec]],_xlfn.CONCAT("Link (",Table1[[#This Row],[Distrelec]],")")))</f>
        <v/>
      </c>
      <c r="X44" s="62" t="str">
        <f>_xlfn.CONCAT("https://www.distrelec.ch/search?q=",Table1[[#This Row],[Distrelec]])</f>
        <v>https://www.distrelec.ch/search?q=</v>
      </c>
      <c r="Y44" s="57"/>
      <c r="Z44" s="59"/>
      <c r="AA44" s="61" t="str">
        <f>IF(Table1[[#This Row],[Conrad]]="","", HYPERLINK(Table1[[#This Row],[Destination - Conrad]],_xlfn.CONCAT("Link (",Table1[[#This Row],[Conrad]],")")))</f>
        <v/>
      </c>
      <c r="AB44" s="62"/>
      <c r="AC44" s="57"/>
      <c r="AD44" s="59"/>
      <c r="AE44" s="61" t="str">
        <f>IF(Table1[[#This Row],[Mouser]]="","", HYPERLINK(Table1[[#This Row],[Destination - Mouser]],_xlfn.CONCAT("Link (",Table1[[#This Row],[Mouser]],")")))</f>
        <v/>
      </c>
      <c r="AF44" s="62" t="str">
        <f>_xlfn.CONCAT("https://www.mouser.ch/ProductDetail/",Table1[[#This Row],[Mouser]])</f>
        <v>https://www.mouser.ch/ProductDetail/</v>
      </c>
      <c r="AG44" s="57"/>
      <c r="AH44" s="59"/>
      <c r="AI44" s="61" t="str">
        <f>IF(Table1[[#This Row],[Bauhaus]]="","", HYPERLINK(Table1[[#This Row],[Destination - Bauhaus]],_xlfn.CONCAT("Link (",Table1[[#This Row],[Bauhaus]],")")))</f>
        <v/>
      </c>
      <c r="AJ44" s="62" t="str">
        <f>_xlfn.CONCAT("https://www.bauhaus.ch/fr/search?query=",Table1[[#This Row],[Bauhaus]])</f>
        <v>https://www.bauhaus.ch/fr/search?query=</v>
      </c>
      <c r="AK44" s="59"/>
      <c r="AL44" s="59"/>
      <c r="AM44" s="61" t="str">
        <f>IF(Table1[[#This Row],[BricoEtLoisirs]]="","", HYPERLINK(Table1[[#This Row],[Destination - BricoEtLoisirs]],_xlfn.CONCAT("Link (",Table1[[#This Row],[BricoEtLoisirs]],")")))</f>
        <v/>
      </c>
      <c r="AN44" s="62" t="str">
        <f>_xlfn.CONCAT("https://bricoetloisirs.ch/p/",Table1[[#This Row],[BricoEtLoisirs]])</f>
        <v>https://bricoetloisirs.ch/p/</v>
      </c>
      <c r="AO44" s="57"/>
      <c r="AP44" s="59"/>
      <c r="AQ44" s="61" t="str">
        <f>IF(Table1[[#This Row],[Aliexpress]]="","", HYPERLINK(Table1[[#This Row],[Destination - Aliexpress]],_xlfn.CONCAT("Link (",Table1[[#This Row],[Aliexpress]],")")))</f>
        <v/>
      </c>
      <c r="AR44" s="62" t="str">
        <f>_xlfn.CONCAT("https://www.aliexpress.com/item/",Table1[[#This Row],[Aliexpress]],".html")</f>
        <v>https://www.aliexpress.com/item/.html</v>
      </c>
      <c r="AS44" s="57"/>
      <c r="AT44" s="59"/>
      <c r="AU44" s="61" t="str">
        <f>IF(Table1[[#This Row],[Banggood]]="","", HYPERLINK(Table1[[#This Row],[Destination - Banggood]],_xlfn.CONCAT("Link (",Table1[[#This Row],[Banggood]],")")))</f>
        <v/>
      </c>
      <c r="AV44" s="62" t="str">
        <f>_xlfn.CONCAT("https://www.banggood.com/search/",Table1[[#This Row],[Banggood]],".html")</f>
        <v>https://www.banggood.com/search/.html</v>
      </c>
      <c r="AW44" s="59" t="str">
        <f>IF(Table1[[#This Row],[Other]]&lt;&gt;"","Other","")</f>
        <v/>
      </c>
      <c r="AX44" s="57"/>
      <c r="AY44" s="59"/>
      <c r="AZ44" s="61" t="str">
        <f>IF(Table1[[#This Row],[Other]]="","",IF(Table1[[#This Row],[Destination - Other]]="","",HYPERLINK(Table1[[#This Row],[Destination - Other]],_xlfn.CONCAT("Link ("&amp;Table1[[#This Row],[Other]]&amp;")"))))</f>
        <v/>
      </c>
      <c r="BA44" s="59"/>
      <c r="BB44" s="58" t="str">
        <f>IF(AND( Table1[[#This Row],[Auto Order]]=1,Table1[[#This Row],[Obsolete]]=""),IF(Table1[[#This Row],[In stock]]&lt;Table1[[#This Row],[Min in stock]],1,""),"")</f>
        <v/>
      </c>
      <c r="BC44" s="64"/>
      <c r="BD44" s="66" t="str">
        <f>IF(Table1[[#This Row],[Obsolete]],Table1[[#This Row],[Art. Number]],"")</f>
        <v/>
      </c>
    </row>
    <row r="45" spans="1:56" x14ac:dyDescent="0.25">
      <c r="A45" s="65" t="s">
        <v>115</v>
      </c>
      <c r="B45" s="57" t="s">
        <v>717</v>
      </c>
      <c r="C45" s="57" t="s">
        <v>714</v>
      </c>
      <c r="D45" s="57" t="s">
        <v>718</v>
      </c>
      <c r="E45" s="57" t="s">
        <v>460</v>
      </c>
      <c r="F45" s="58">
        <v>2.3050000000000002</v>
      </c>
      <c r="G45" s="58">
        <v>2</v>
      </c>
      <c r="H45" s="58">
        <v>1</v>
      </c>
      <c r="I4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929974E-01-36-ND</v>
      </c>
      <c r="J4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3.12</v>
      </c>
      <c r="K4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(929974E-01-36-ND)</v>
      </c>
      <c r="M45" s="57" t="s">
        <v>719</v>
      </c>
      <c r="N45" s="59">
        <v>3.12</v>
      </c>
      <c r="O45" s="61" t="str">
        <f>IF(Table1[[#This Row],[Digikey]]="","", HYPERLINK(Table1[[#This Row],[Destination - Digikey]],_xlfn.CONCAT("Link (",Table1[[#This Row],[Digikey]],")")))</f>
        <v>Link (929974E-01-36-ND)</v>
      </c>
      <c r="P45" s="62" t="str">
        <f>_xlfn.CONCAT("https://www.digikey.ch/products/en?keywords=",Table1[[#This Row],[Digikey]])</f>
        <v>https://www.digikey.ch/products/en?keywords=929974E-01-36-ND</v>
      </c>
      <c r="Q45" s="57"/>
      <c r="R45" s="59"/>
      <c r="S45" s="61" t="str">
        <f>IF(Table1[[#This Row],[Farnell]]="","", HYPERLINK(Table1[[#This Row],[Destination - Farnell]],_xlfn.CONCAT("Link (",Table1[[#This Row],[Farnell]],")")))</f>
        <v/>
      </c>
      <c r="T45" s="62" t="str">
        <f>_xlfn.CONCAT("https://ch.farnell.com/fr-CH/",Table1[[#This Row],[Farnell]])</f>
        <v>https://ch.farnell.com/fr-CH/</v>
      </c>
      <c r="U45" s="57"/>
      <c r="V45" s="59"/>
      <c r="W45" s="61" t="str">
        <f>IF(Table1[[#This Row],[Distrelec]]="","", HYPERLINK(Table1[[#This Row],[Destination - Distrelec]],_xlfn.CONCAT("Link (",Table1[[#This Row],[Distrelec]],")")))</f>
        <v/>
      </c>
      <c r="X45" s="62" t="str">
        <f>_xlfn.CONCAT("https://www.distrelec.ch/search?q=",Table1[[#This Row],[Distrelec]])</f>
        <v>https://www.distrelec.ch/search?q=</v>
      </c>
      <c r="Y45" s="57"/>
      <c r="Z45" s="59"/>
      <c r="AA45" s="61" t="str">
        <f>IF(Table1[[#This Row],[Conrad]]="","", HYPERLINK(Table1[[#This Row],[Destination - Conrad]],_xlfn.CONCAT("Link (",Table1[[#This Row],[Conrad]],")")))</f>
        <v/>
      </c>
      <c r="AB45" s="62"/>
      <c r="AC45" s="57"/>
      <c r="AD45" s="59"/>
      <c r="AE45" s="61" t="str">
        <f>IF(Table1[[#This Row],[Mouser]]="","", HYPERLINK(Table1[[#This Row],[Destination - Mouser]],_xlfn.CONCAT("Link (",Table1[[#This Row],[Mouser]],")")))</f>
        <v/>
      </c>
      <c r="AF45" s="62" t="str">
        <f>_xlfn.CONCAT("https://www.mouser.ch/ProductDetail/",Table1[[#This Row],[Mouser]])</f>
        <v>https://www.mouser.ch/ProductDetail/</v>
      </c>
      <c r="AG45" s="57"/>
      <c r="AH45" s="59"/>
      <c r="AI45" s="61" t="str">
        <f>IF(Table1[[#This Row],[Bauhaus]]="","", HYPERLINK(Table1[[#This Row],[Destination - Bauhaus]],_xlfn.CONCAT("Link (",Table1[[#This Row],[Bauhaus]],")")))</f>
        <v/>
      </c>
      <c r="AJ45" s="62" t="str">
        <f>_xlfn.CONCAT("https://www.bauhaus.ch/fr/search?query=",Table1[[#This Row],[Bauhaus]])</f>
        <v>https://www.bauhaus.ch/fr/search?query=</v>
      </c>
      <c r="AK45" s="59"/>
      <c r="AL45" s="59"/>
      <c r="AM45" s="61" t="str">
        <f>IF(Table1[[#This Row],[BricoEtLoisirs]]="","", HYPERLINK(Table1[[#This Row],[Destination - BricoEtLoisirs]],_xlfn.CONCAT("Link (",Table1[[#This Row],[BricoEtLoisirs]],")")))</f>
        <v/>
      </c>
      <c r="AN45" s="62" t="str">
        <f>_xlfn.CONCAT("https://bricoetloisirs.ch/p/",Table1[[#This Row],[BricoEtLoisirs]])</f>
        <v>https://bricoetloisirs.ch/p/</v>
      </c>
      <c r="AO45" s="57"/>
      <c r="AP45" s="59"/>
      <c r="AQ45" s="61" t="str">
        <f>IF(Table1[[#This Row],[Aliexpress]]="","", HYPERLINK(Table1[[#This Row],[Destination - Aliexpress]],_xlfn.CONCAT("Link (",Table1[[#This Row],[Aliexpress]],")")))</f>
        <v/>
      </c>
      <c r="AR45" s="62" t="str">
        <f>_xlfn.CONCAT("https://www.aliexpress.com/item/",Table1[[#This Row],[Aliexpress]],".html")</f>
        <v>https://www.aliexpress.com/item/.html</v>
      </c>
      <c r="AS45" s="57"/>
      <c r="AT45" s="59"/>
      <c r="AU45" s="61" t="str">
        <f>IF(Table1[[#This Row],[Banggood]]="","", HYPERLINK(Table1[[#This Row],[Destination - Banggood]],_xlfn.CONCAT("Link (",Table1[[#This Row],[Banggood]],")")))</f>
        <v/>
      </c>
      <c r="AV45" s="62" t="str">
        <f>_xlfn.CONCAT("https://www.banggood.com/search/",Table1[[#This Row],[Banggood]],".html")</f>
        <v>https://www.banggood.com/search/.html</v>
      </c>
      <c r="AW45" s="59" t="str">
        <f>IF(Table1[[#This Row],[Other]]&lt;&gt;"","Other","")</f>
        <v/>
      </c>
      <c r="AX45" s="57"/>
      <c r="AY45" s="59"/>
      <c r="AZ45" s="61" t="str">
        <f>IF(Table1[[#This Row],[Other]]="","",IF(Table1[[#This Row],[Destination - Other]]="","",HYPERLINK(Table1[[#This Row],[Destination - Other]],_xlfn.CONCAT("Link ("&amp;Table1[[#This Row],[Other]]&amp;")"))))</f>
        <v/>
      </c>
      <c r="BA45" s="59"/>
      <c r="BB45" s="58" t="str">
        <f>IF(AND( Table1[[#This Row],[Auto Order]]=1,Table1[[#This Row],[Obsolete]]=""),IF(Table1[[#This Row],[In stock]]&lt;Table1[[#This Row],[Min in stock]],1,""),"")</f>
        <v/>
      </c>
      <c r="BC45" s="64"/>
      <c r="BD45" s="66" t="str">
        <f>IF(Table1[[#This Row],[Obsolete]],Table1[[#This Row],[Art. Number]],"")</f>
        <v/>
      </c>
    </row>
    <row r="46" spans="1:56" x14ac:dyDescent="0.25">
      <c r="A46" s="65" t="s">
        <v>749</v>
      </c>
      <c r="B46" s="57" t="s">
        <v>750</v>
      </c>
      <c r="C46" s="57" t="s">
        <v>714</v>
      </c>
      <c r="D46" s="57" t="s">
        <v>2447</v>
      </c>
      <c r="E46" s="57" t="s">
        <v>460</v>
      </c>
      <c r="F46" s="58">
        <v>3.3610000000000002</v>
      </c>
      <c r="G46" s="58">
        <v>2</v>
      </c>
      <c r="H46" s="58">
        <v>1</v>
      </c>
      <c r="I4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609-5544-ND</v>
      </c>
      <c r="J4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0.79</v>
      </c>
      <c r="K4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(609-5544-ND)</v>
      </c>
      <c r="M46" s="57" t="s">
        <v>751</v>
      </c>
      <c r="N46" s="59">
        <v>0.79</v>
      </c>
      <c r="O46" s="61" t="str">
        <f>IF(Table1[[#This Row],[Digikey]]="","", HYPERLINK(Table1[[#This Row],[Destination - Digikey]],_xlfn.CONCAT("Link (",Table1[[#This Row],[Digikey]],")")))</f>
        <v>Link (609-5544-ND)</v>
      </c>
      <c r="P46" s="62" t="str">
        <f>_xlfn.CONCAT("https://www.digikey.ch/products/en?keywords=",Table1[[#This Row],[Digikey]])</f>
        <v>https://www.digikey.ch/products/en?keywords=609-5544-ND</v>
      </c>
      <c r="Q46" s="57"/>
      <c r="R46" s="59"/>
      <c r="S46" s="61" t="str">
        <f>IF(Table1[[#This Row],[Farnell]]="","", HYPERLINK(Table1[[#This Row],[Destination - Farnell]],_xlfn.CONCAT("Link (",Table1[[#This Row],[Farnell]],")")))</f>
        <v/>
      </c>
      <c r="T46" s="62" t="str">
        <f>_xlfn.CONCAT("https://ch.farnell.com/fr-CH/",Table1[[#This Row],[Farnell]])</f>
        <v>https://ch.farnell.com/fr-CH/</v>
      </c>
      <c r="U46" s="57"/>
      <c r="V46" s="59"/>
      <c r="W46" s="61" t="str">
        <f>IF(Table1[[#This Row],[Distrelec]]="","", HYPERLINK(Table1[[#This Row],[Destination - Distrelec]],_xlfn.CONCAT("Link (",Table1[[#This Row],[Distrelec]],")")))</f>
        <v/>
      </c>
      <c r="X46" s="62" t="str">
        <f>_xlfn.CONCAT("https://www.distrelec.ch/search?q=",Table1[[#This Row],[Distrelec]])</f>
        <v>https://www.distrelec.ch/search?q=</v>
      </c>
      <c r="Y46" s="57"/>
      <c r="Z46" s="59"/>
      <c r="AA46" s="61" t="str">
        <f>IF(Table1[[#This Row],[Conrad]]="","", HYPERLINK(Table1[[#This Row],[Destination - Conrad]],_xlfn.CONCAT("Link (",Table1[[#This Row],[Conrad]],")")))</f>
        <v/>
      </c>
      <c r="AB46" s="62"/>
      <c r="AC46" s="57"/>
      <c r="AD46" s="59"/>
      <c r="AE46" s="61" t="str">
        <f>IF(Table1[[#This Row],[Mouser]]="","", HYPERLINK(Table1[[#This Row],[Destination - Mouser]],_xlfn.CONCAT("Link (",Table1[[#This Row],[Mouser]],")")))</f>
        <v/>
      </c>
      <c r="AF46" s="62" t="str">
        <f>_xlfn.CONCAT("https://www.mouser.ch/ProductDetail/",Table1[[#This Row],[Mouser]])</f>
        <v>https://www.mouser.ch/ProductDetail/</v>
      </c>
      <c r="AG46" s="57"/>
      <c r="AH46" s="59"/>
      <c r="AI46" s="61" t="str">
        <f>IF(Table1[[#This Row],[Bauhaus]]="","", HYPERLINK(Table1[[#This Row],[Destination - Bauhaus]],_xlfn.CONCAT("Link (",Table1[[#This Row],[Bauhaus]],")")))</f>
        <v/>
      </c>
      <c r="AJ46" s="62" t="str">
        <f>_xlfn.CONCAT("https://www.bauhaus.ch/fr/search?query=",Table1[[#This Row],[Bauhaus]])</f>
        <v>https://www.bauhaus.ch/fr/search?query=</v>
      </c>
      <c r="AK46" s="59"/>
      <c r="AL46" s="59"/>
      <c r="AM46" s="61" t="str">
        <f>IF(Table1[[#This Row],[BricoEtLoisirs]]="","", HYPERLINK(Table1[[#This Row],[Destination - BricoEtLoisirs]],_xlfn.CONCAT("Link (",Table1[[#This Row],[BricoEtLoisirs]],")")))</f>
        <v/>
      </c>
      <c r="AN46" s="62" t="str">
        <f>_xlfn.CONCAT("https://bricoetloisirs.ch/p/",Table1[[#This Row],[BricoEtLoisirs]])</f>
        <v>https://bricoetloisirs.ch/p/</v>
      </c>
      <c r="AO46" s="57"/>
      <c r="AP46" s="59"/>
      <c r="AQ46" s="61" t="str">
        <f>IF(Table1[[#This Row],[Aliexpress]]="","", HYPERLINK(Table1[[#This Row],[Destination - Aliexpress]],_xlfn.CONCAT("Link (",Table1[[#This Row],[Aliexpress]],")")))</f>
        <v/>
      </c>
      <c r="AR46" s="62" t="str">
        <f>_xlfn.CONCAT("https://www.aliexpress.com/item/",Table1[[#This Row],[Aliexpress]],".html")</f>
        <v>https://www.aliexpress.com/item/.html</v>
      </c>
      <c r="AS46" s="57"/>
      <c r="AT46" s="59"/>
      <c r="AU46" s="61" t="str">
        <f>IF(Table1[[#This Row],[Banggood]]="","", HYPERLINK(Table1[[#This Row],[Destination - Banggood]],_xlfn.CONCAT("Link (",Table1[[#This Row],[Banggood]],")")))</f>
        <v/>
      </c>
      <c r="AV46" s="62" t="str">
        <f>_xlfn.CONCAT("https://www.banggood.com/search/",Table1[[#This Row],[Banggood]],".html")</f>
        <v>https://www.banggood.com/search/.html</v>
      </c>
      <c r="AW46" s="59" t="str">
        <f>IF(Table1[[#This Row],[Other]]&lt;&gt;"","Other","")</f>
        <v/>
      </c>
      <c r="AX46" s="57"/>
      <c r="AY46" s="59"/>
      <c r="AZ46" s="61" t="str">
        <f>IF(Table1[[#This Row],[Other]]="","",IF(Table1[[#This Row],[Destination - Other]]="","",HYPERLINK(Table1[[#This Row],[Destination - Other]],_xlfn.CONCAT("Link ("&amp;Table1[[#This Row],[Other]]&amp;")"))))</f>
        <v/>
      </c>
      <c r="BA46" s="59"/>
      <c r="BB46" s="58" t="str">
        <f>IF(AND( Table1[[#This Row],[Auto Order]]=1,Table1[[#This Row],[Obsolete]]=""),IF(Table1[[#This Row],[In stock]]&lt;Table1[[#This Row],[Min in stock]],1,""),"")</f>
        <v/>
      </c>
      <c r="BC46" s="64"/>
      <c r="BD46" s="66" t="str">
        <f>IF(Table1[[#This Row],[Obsolete]],Table1[[#This Row],[Art. Number]],"")</f>
        <v/>
      </c>
    </row>
    <row r="47" spans="1:56" x14ac:dyDescent="0.25">
      <c r="A47" s="65" t="s">
        <v>2376</v>
      </c>
      <c r="B47" s="57" t="s">
        <v>508</v>
      </c>
      <c r="C47" s="57" t="s">
        <v>97</v>
      </c>
      <c r="D47" s="57" t="s">
        <v>509</v>
      </c>
      <c r="E47" s="57" t="s">
        <v>510</v>
      </c>
      <c r="F47" s="58">
        <v>0</v>
      </c>
      <c r="G47" s="58"/>
      <c r="H47" s="58"/>
      <c r="I4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WM1114-ND</v>
      </c>
      <c r="J4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0.10199999999999999</v>
      </c>
      <c r="K4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(WM1114-ND)</v>
      </c>
      <c r="M47" s="57" t="s">
        <v>511</v>
      </c>
      <c r="N47" s="59">
        <v>0.10199999999999999</v>
      </c>
      <c r="O47" s="61" t="str">
        <f>IF(Table1[[#This Row],[Digikey]]="","", HYPERLINK(Table1[[#This Row],[Destination - Digikey]],_xlfn.CONCAT("Link (",Table1[[#This Row],[Digikey]],")")))</f>
        <v>Link (WM1114-ND)</v>
      </c>
      <c r="P47" s="62" t="str">
        <f>_xlfn.CONCAT("https://www.digikey.ch/products/en?keywords=",Table1[[#This Row],[Digikey]])</f>
        <v>https://www.digikey.ch/products/en?keywords=WM1114-ND</v>
      </c>
      <c r="Q47" s="57"/>
      <c r="R47" s="59"/>
      <c r="S47" s="61" t="str">
        <f>IF(Table1[[#This Row],[Farnell]]="","", HYPERLINK(Table1[[#This Row],[Destination - Farnell]],_xlfn.CONCAT("Link (",Table1[[#This Row],[Farnell]],")")))</f>
        <v/>
      </c>
      <c r="T47" s="62" t="str">
        <f>_xlfn.CONCAT("https://ch.farnell.com/fr-CH/",Table1[[#This Row],[Farnell]])</f>
        <v>https://ch.farnell.com/fr-CH/</v>
      </c>
      <c r="U47" s="57"/>
      <c r="V47" s="59"/>
      <c r="W47" s="61" t="str">
        <f>IF(Table1[[#This Row],[Distrelec]]="","", HYPERLINK(Table1[[#This Row],[Destination - Distrelec]],_xlfn.CONCAT("Link (",Table1[[#This Row],[Distrelec]],")")))</f>
        <v/>
      </c>
      <c r="X47" s="62" t="str">
        <f>_xlfn.CONCAT("https://www.distrelec.ch/search?q=",Table1[[#This Row],[Distrelec]])</f>
        <v>https://www.distrelec.ch/search?q=</v>
      </c>
      <c r="Y47" s="57"/>
      <c r="Z47" s="59"/>
      <c r="AA47" s="61" t="str">
        <f>IF(Table1[[#This Row],[Conrad]]="","", HYPERLINK(Table1[[#This Row],[Destination - Conrad]],_xlfn.CONCAT("Link (",Table1[[#This Row],[Conrad]],")")))</f>
        <v/>
      </c>
      <c r="AB47" s="62"/>
      <c r="AC47" s="57"/>
      <c r="AD47" s="59"/>
      <c r="AE47" s="61" t="str">
        <f>IF(Table1[[#This Row],[Mouser]]="","", HYPERLINK(Table1[[#This Row],[Destination - Mouser]],_xlfn.CONCAT("Link (",Table1[[#This Row],[Mouser]],")")))</f>
        <v/>
      </c>
      <c r="AF47" s="62" t="str">
        <f>_xlfn.CONCAT("https://www.mouser.ch/ProductDetail/",Table1[[#This Row],[Mouser]])</f>
        <v>https://www.mouser.ch/ProductDetail/</v>
      </c>
      <c r="AG47" s="57"/>
      <c r="AH47" s="59"/>
      <c r="AI47" s="61" t="str">
        <f>IF(Table1[[#This Row],[Bauhaus]]="","", HYPERLINK(Table1[[#This Row],[Destination - Bauhaus]],_xlfn.CONCAT("Link (",Table1[[#This Row],[Bauhaus]],")")))</f>
        <v/>
      </c>
      <c r="AJ47" s="62" t="str">
        <f>_xlfn.CONCAT("https://www.bauhaus.ch/fr/search?query=",Table1[[#This Row],[Bauhaus]])</f>
        <v>https://www.bauhaus.ch/fr/search?query=</v>
      </c>
      <c r="AK47" s="59"/>
      <c r="AL47" s="59"/>
      <c r="AM47" s="61" t="str">
        <f>IF(Table1[[#This Row],[BricoEtLoisirs]]="","", HYPERLINK(Table1[[#This Row],[Destination - BricoEtLoisirs]],_xlfn.CONCAT("Link (",Table1[[#This Row],[BricoEtLoisirs]],")")))</f>
        <v/>
      </c>
      <c r="AN47" s="62" t="str">
        <f>_xlfn.CONCAT("https://bricoetloisirs.ch/p/",Table1[[#This Row],[BricoEtLoisirs]])</f>
        <v>https://bricoetloisirs.ch/p/</v>
      </c>
      <c r="AO47" s="57"/>
      <c r="AP47" s="59"/>
      <c r="AQ47" s="61" t="str">
        <f>IF(Table1[[#This Row],[Aliexpress]]="","", HYPERLINK(Table1[[#This Row],[Destination - Aliexpress]],_xlfn.CONCAT("Link (",Table1[[#This Row],[Aliexpress]],")")))</f>
        <v/>
      </c>
      <c r="AR47" s="62" t="str">
        <f>_xlfn.CONCAT("https://www.aliexpress.com/item/",Table1[[#This Row],[Aliexpress]],".html")</f>
        <v>https://www.aliexpress.com/item/.html</v>
      </c>
      <c r="AS47" s="57"/>
      <c r="AT47" s="59"/>
      <c r="AU47" s="61" t="str">
        <f>IF(Table1[[#This Row],[Banggood]]="","", HYPERLINK(Table1[[#This Row],[Destination - Banggood]],_xlfn.CONCAT("Link (",Table1[[#This Row],[Banggood]],")")))</f>
        <v/>
      </c>
      <c r="AV47" s="62" t="str">
        <f>_xlfn.CONCAT("https://www.banggood.com/search/",Table1[[#This Row],[Banggood]],".html")</f>
        <v>https://www.banggood.com/search/.html</v>
      </c>
      <c r="AW47" s="59" t="str">
        <f>IF(Table1[[#This Row],[Other]]&lt;&gt;"","Other","")</f>
        <v/>
      </c>
      <c r="AX47" s="57"/>
      <c r="AY47" s="59"/>
      <c r="AZ47" s="61" t="str">
        <f>IF(Table1[[#This Row],[Other]]="","",IF(Table1[[#This Row],[Destination - Other]]="","",HYPERLINK(Table1[[#This Row],[Destination - Other]],_xlfn.CONCAT("Link ("&amp;Table1[[#This Row],[Other]]&amp;")"))))</f>
        <v/>
      </c>
      <c r="BA47" s="59"/>
      <c r="BB47" s="58" t="str">
        <f>IF(AND( Table1[[#This Row],[Auto Order]]=1,Table1[[#This Row],[Obsolete]]=""),IF(Table1[[#This Row],[In stock]]&lt;Table1[[#This Row],[Min in stock]],1,""),"")</f>
        <v/>
      </c>
      <c r="BC47" s="64"/>
      <c r="BD47" s="66" t="str">
        <f>IF(Table1[[#This Row],[Obsolete]],Table1[[#This Row],[Art. Number]],"")</f>
        <v/>
      </c>
    </row>
    <row r="48" spans="1:56" x14ac:dyDescent="0.25">
      <c r="A48" s="65" t="s">
        <v>513</v>
      </c>
      <c r="B48" s="57" t="s">
        <v>348</v>
      </c>
      <c r="C48" s="57" t="s">
        <v>514</v>
      </c>
      <c r="D48" s="57" t="s">
        <v>515</v>
      </c>
      <c r="E48" s="57" t="s">
        <v>516</v>
      </c>
      <c r="F48" s="58">
        <v>4</v>
      </c>
      <c r="G48" s="58"/>
      <c r="H48" s="58"/>
      <c r="I4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A99473CT-ND</v>
      </c>
      <c r="J4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0.81</v>
      </c>
      <c r="K4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(A99473CT-ND)</v>
      </c>
      <c r="M48" s="57" t="s">
        <v>517</v>
      </c>
      <c r="N48" s="59">
        <v>0.81</v>
      </c>
      <c r="O48" s="61" t="str">
        <f>IF(Table1[[#This Row],[Digikey]]="","", HYPERLINK(Table1[[#This Row],[Destination - Digikey]],_xlfn.CONCAT("Link (",Table1[[#This Row],[Digikey]],")")))</f>
        <v>Link (A99473CT-ND)</v>
      </c>
      <c r="P48" s="62" t="str">
        <f>_xlfn.CONCAT("https://www.digikey.ch/products/en?keywords=",Table1[[#This Row],[Digikey]])</f>
        <v>https://www.digikey.ch/products/en?keywords=A99473CT-ND</v>
      </c>
      <c r="Q48" s="57"/>
      <c r="R48" s="59"/>
      <c r="S48" s="61" t="str">
        <f>IF(Table1[[#This Row],[Farnell]]="","", HYPERLINK(Table1[[#This Row],[Destination - Farnell]],_xlfn.CONCAT("Link (",Table1[[#This Row],[Farnell]],")")))</f>
        <v/>
      </c>
      <c r="T48" s="62" t="str">
        <f>_xlfn.CONCAT("https://ch.farnell.com/fr-CH/",Table1[[#This Row],[Farnell]])</f>
        <v>https://ch.farnell.com/fr-CH/</v>
      </c>
      <c r="U48" s="57"/>
      <c r="V48" s="59"/>
      <c r="W48" s="61" t="str">
        <f>IF(Table1[[#This Row],[Distrelec]]="","", HYPERLINK(Table1[[#This Row],[Destination - Distrelec]],_xlfn.CONCAT("Link (",Table1[[#This Row],[Distrelec]],")")))</f>
        <v/>
      </c>
      <c r="X48" s="62" t="str">
        <f>_xlfn.CONCAT("https://www.distrelec.ch/search?q=",Table1[[#This Row],[Distrelec]])</f>
        <v>https://www.distrelec.ch/search?q=</v>
      </c>
      <c r="Y48" s="57"/>
      <c r="Z48" s="59"/>
      <c r="AA48" s="61" t="str">
        <f>IF(Table1[[#This Row],[Conrad]]="","", HYPERLINK(Table1[[#This Row],[Destination - Conrad]],_xlfn.CONCAT("Link (",Table1[[#This Row],[Conrad]],")")))</f>
        <v/>
      </c>
      <c r="AB48" s="62"/>
      <c r="AC48" s="57"/>
      <c r="AD48" s="59"/>
      <c r="AE48" s="61" t="str">
        <f>IF(Table1[[#This Row],[Mouser]]="","", HYPERLINK(Table1[[#This Row],[Destination - Mouser]],_xlfn.CONCAT("Link (",Table1[[#This Row],[Mouser]],")")))</f>
        <v/>
      </c>
      <c r="AF48" s="62" t="str">
        <f>_xlfn.CONCAT("https://www.mouser.ch/ProductDetail/",Table1[[#This Row],[Mouser]])</f>
        <v>https://www.mouser.ch/ProductDetail/</v>
      </c>
      <c r="AG48" s="57"/>
      <c r="AH48" s="59"/>
      <c r="AI48" s="61" t="str">
        <f>IF(Table1[[#This Row],[Bauhaus]]="","", HYPERLINK(Table1[[#This Row],[Destination - Bauhaus]],_xlfn.CONCAT("Link (",Table1[[#This Row],[Bauhaus]],")")))</f>
        <v/>
      </c>
      <c r="AJ48" s="62" t="str">
        <f>_xlfn.CONCAT("https://www.bauhaus.ch/fr/search?query=",Table1[[#This Row],[Bauhaus]])</f>
        <v>https://www.bauhaus.ch/fr/search?query=</v>
      </c>
      <c r="AK48" s="59"/>
      <c r="AL48" s="59"/>
      <c r="AM48" s="61" t="str">
        <f>IF(Table1[[#This Row],[BricoEtLoisirs]]="","", HYPERLINK(Table1[[#This Row],[Destination - BricoEtLoisirs]],_xlfn.CONCAT("Link (",Table1[[#This Row],[BricoEtLoisirs]],")")))</f>
        <v/>
      </c>
      <c r="AN48" s="62" t="str">
        <f>_xlfn.CONCAT("https://bricoetloisirs.ch/p/",Table1[[#This Row],[BricoEtLoisirs]])</f>
        <v>https://bricoetloisirs.ch/p/</v>
      </c>
      <c r="AO48" s="57"/>
      <c r="AP48" s="59"/>
      <c r="AQ48" s="61" t="str">
        <f>IF(Table1[[#This Row],[Aliexpress]]="","", HYPERLINK(Table1[[#This Row],[Destination - Aliexpress]],_xlfn.CONCAT("Link (",Table1[[#This Row],[Aliexpress]],")")))</f>
        <v/>
      </c>
      <c r="AR48" s="62" t="str">
        <f>_xlfn.CONCAT("https://www.aliexpress.com/item/",Table1[[#This Row],[Aliexpress]],".html")</f>
        <v>https://www.aliexpress.com/item/.html</v>
      </c>
      <c r="AS48" s="57"/>
      <c r="AT48" s="59"/>
      <c r="AU48" s="61" t="str">
        <f>IF(Table1[[#This Row],[Banggood]]="","", HYPERLINK(Table1[[#This Row],[Destination - Banggood]],_xlfn.CONCAT("Link (",Table1[[#This Row],[Banggood]],")")))</f>
        <v/>
      </c>
      <c r="AV48" s="62" t="str">
        <f>_xlfn.CONCAT("https://www.banggood.com/search/",Table1[[#This Row],[Banggood]],".html")</f>
        <v>https://www.banggood.com/search/.html</v>
      </c>
      <c r="AW48" s="59" t="str">
        <f>IF(Table1[[#This Row],[Other]]&lt;&gt;"","Other","")</f>
        <v/>
      </c>
      <c r="AX48" s="57"/>
      <c r="AY48" s="59"/>
      <c r="AZ48" s="61" t="str">
        <f>IF(Table1[[#This Row],[Other]]="","",IF(Table1[[#This Row],[Destination - Other]]="","",HYPERLINK(Table1[[#This Row],[Destination - Other]],_xlfn.CONCAT("Link ("&amp;Table1[[#This Row],[Other]]&amp;")"))))</f>
        <v/>
      </c>
      <c r="BA48" s="59"/>
      <c r="BB48" s="58" t="str">
        <f>IF(AND( Table1[[#This Row],[Auto Order]]=1,Table1[[#This Row],[Obsolete]]=""),IF(Table1[[#This Row],[In stock]]&lt;Table1[[#This Row],[Min in stock]],1,""),"")</f>
        <v/>
      </c>
      <c r="BC48" s="64"/>
      <c r="BD48" s="66" t="str">
        <f>IF(Table1[[#This Row],[Obsolete]],Table1[[#This Row],[Art. Number]],"")</f>
        <v/>
      </c>
    </row>
    <row r="49" spans="1:56" x14ac:dyDescent="0.25">
      <c r="A49" s="65" t="s">
        <v>519</v>
      </c>
      <c r="B49" s="57" t="s">
        <v>348</v>
      </c>
      <c r="C49" s="57" t="s">
        <v>520</v>
      </c>
      <c r="D49" s="57" t="s">
        <v>521</v>
      </c>
      <c r="E49" s="57" t="s">
        <v>516</v>
      </c>
      <c r="F49" s="58">
        <v>2</v>
      </c>
      <c r="G49" s="58"/>
      <c r="H49" s="58"/>
      <c r="I4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A107023CT-ND</v>
      </c>
      <c r="J4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1.19</v>
      </c>
      <c r="K4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(A107023CT-ND)</v>
      </c>
      <c r="M49" s="57" t="s">
        <v>522</v>
      </c>
      <c r="N49" s="59">
        <v>1.19</v>
      </c>
      <c r="O49" s="61" t="str">
        <f>IF(Table1[[#This Row],[Digikey]]="","", HYPERLINK(Table1[[#This Row],[Destination - Digikey]],_xlfn.CONCAT("Link (",Table1[[#This Row],[Digikey]],")")))</f>
        <v>Link (A107023CT-ND)</v>
      </c>
      <c r="P49" s="62" t="str">
        <f>_xlfn.CONCAT("https://www.digikey.ch/products/en?keywords=",Table1[[#This Row],[Digikey]])</f>
        <v>https://www.digikey.ch/products/en?keywords=A107023CT-ND</v>
      </c>
      <c r="Q49" s="57"/>
      <c r="R49" s="59"/>
      <c r="S49" s="61" t="str">
        <f>IF(Table1[[#This Row],[Farnell]]="","", HYPERLINK(Table1[[#This Row],[Destination - Farnell]],_xlfn.CONCAT("Link (",Table1[[#This Row],[Farnell]],")")))</f>
        <v/>
      </c>
      <c r="T49" s="62" t="str">
        <f>_xlfn.CONCAT("https://ch.farnell.com/fr-CH/",Table1[[#This Row],[Farnell]])</f>
        <v>https://ch.farnell.com/fr-CH/</v>
      </c>
      <c r="U49" s="57"/>
      <c r="V49" s="59"/>
      <c r="W49" s="61" t="str">
        <f>IF(Table1[[#This Row],[Distrelec]]="","", HYPERLINK(Table1[[#This Row],[Destination - Distrelec]],_xlfn.CONCAT("Link (",Table1[[#This Row],[Distrelec]],")")))</f>
        <v/>
      </c>
      <c r="X49" s="62" t="str">
        <f>_xlfn.CONCAT("https://www.distrelec.ch/search?q=",Table1[[#This Row],[Distrelec]])</f>
        <v>https://www.distrelec.ch/search?q=</v>
      </c>
      <c r="Y49" s="57"/>
      <c r="Z49" s="59"/>
      <c r="AA49" s="61" t="str">
        <f>IF(Table1[[#This Row],[Conrad]]="","", HYPERLINK(Table1[[#This Row],[Destination - Conrad]],_xlfn.CONCAT("Link (",Table1[[#This Row],[Conrad]],")")))</f>
        <v/>
      </c>
      <c r="AB49" s="62"/>
      <c r="AC49" s="57"/>
      <c r="AD49" s="59"/>
      <c r="AE49" s="61" t="str">
        <f>IF(Table1[[#This Row],[Mouser]]="","", HYPERLINK(Table1[[#This Row],[Destination - Mouser]],_xlfn.CONCAT("Link (",Table1[[#This Row],[Mouser]],")")))</f>
        <v/>
      </c>
      <c r="AF49" s="62" t="str">
        <f>_xlfn.CONCAT("https://www.mouser.ch/ProductDetail/",Table1[[#This Row],[Mouser]])</f>
        <v>https://www.mouser.ch/ProductDetail/</v>
      </c>
      <c r="AG49" s="57"/>
      <c r="AH49" s="59"/>
      <c r="AI49" s="61" t="str">
        <f>IF(Table1[[#This Row],[Bauhaus]]="","", HYPERLINK(Table1[[#This Row],[Destination - Bauhaus]],_xlfn.CONCAT("Link (",Table1[[#This Row],[Bauhaus]],")")))</f>
        <v/>
      </c>
      <c r="AJ49" s="62" t="str">
        <f>_xlfn.CONCAT("https://www.bauhaus.ch/fr/search?query=",Table1[[#This Row],[Bauhaus]])</f>
        <v>https://www.bauhaus.ch/fr/search?query=</v>
      </c>
      <c r="AK49" s="59"/>
      <c r="AL49" s="59"/>
      <c r="AM49" s="61" t="str">
        <f>IF(Table1[[#This Row],[BricoEtLoisirs]]="","", HYPERLINK(Table1[[#This Row],[Destination - BricoEtLoisirs]],_xlfn.CONCAT("Link (",Table1[[#This Row],[BricoEtLoisirs]],")")))</f>
        <v/>
      </c>
      <c r="AN49" s="62" t="str">
        <f>_xlfn.CONCAT("https://bricoetloisirs.ch/p/",Table1[[#This Row],[BricoEtLoisirs]])</f>
        <v>https://bricoetloisirs.ch/p/</v>
      </c>
      <c r="AO49" s="57"/>
      <c r="AP49" s="59"/>
      <c r="AQ49" s="61" t="str">
        <f>IF(Table1[[#This Row],[Aliexpress]]="","", HYPERLINK(Table1[[#This Row],[Destination - Aliexpress]],_xlfn.CONCAT("Link (",Table1[[#This Row],[Aliexpress]],")")))</f>
        <v/>
      </c>
      <c r="AR49" s="62" t="str">
        <f>_xlfn.CONCAT("https://www.aliexpress.com/item/",Table1[[#This Row],[Aliexpress]],".html")</f>
        <v>https://www.aliexpress.com/item/.html</v>
      </c>
      <c r="AS49" s="57"/>
      <c r="AT49" s="59"/>
      <c r="AU49" s="61" t="str">
        <f>IF(Table1[[#This Row],[Banggood]]="","", HYPERLINK(Table1[[#This Row],[Destination - Banggood]],_xlfn.CONCAT("Link (",Table1[[#This Row],[Banggood]],")")))</f>
        <v/>
      </c>
      <c r="AV49" s="62" t="str">
        <f>_xlfn.CONCAT("https://www.banggood.com/search/",Table1[[#This Row],[Banggood]],".html")</f>
        <v>https://www.banggood.com/search/.html</v>
      </c>
      <c r="AW49" s="59" t="str">
        <f>IF(Table1[[#This Row],[Other]]&lt;&gt;"","Other","")</f>
        <v/>
      </c>
      <c r="AX49" s="57"/>
      <c r="AY49" s="59"/>
      <c r="AZ49" s="61" t="str">
        <f>IF(Table1[[#This Row],[Other]]="","",IF(Table1[[#This Row],[Destination - Other]]="","",HYPERLINK(Table1[[#This Row],[Destination - Other]],_xlfn.CONCAT("Link ("&amp;Table1[[#This Row],[Other]]&amp;")"))))</f>
        <v/>
      </c>
      <c r="BA49" s="59"/>
      <c r="BB49" s="58" t="str">
        <f>IF(AND( Table1[[#This Row],[Auto Order]]=1,Table1[[#This Row],[Obsolete]]=""),IF(Table1[[#This Row],[In stock]]&lt;Table1[[#This Row],[Min in stock]],1,""),"")</f>
        <v/>
      </c>
      <c r="BC49" s="64"/>
      <c r="BD49" s="66" t="str">
        <f>IF(Table1[[#This Row],[Obsolete]],Table1[[#This Row],[Art. Number]],"")</f>
        <v/>
      </c>
    </row>
    <row r="50" spans="1:56" x14ac:dyDescent="0.25">
      <c r="A50" s="65" t="s">
        <v>524</v>
      </c>
      <c r="B50" s="57" t="s">
        <v>348</v>
      </c>
      <c r="C50" s="57" t="s">
        <v>97</v>
      </c>
      <c r="D50" s="57" t="s">
        <v>525</v>
      </c>
      <c r="E50" s="57" t="s">
        <v>516</v>
      </c>
      <c r="F50" s="58">
        <v>0</v>
      </c>
      <c r="G50" s="58"/>
      <c r="H50" s="58"/>
      <c r="I5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A107024CT-ND</v>
      </c>
      <c r="J5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1.4</v>
      </c>
      <c r="K5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(A107024CT-ND)</v>
      </c>
      <c r="M50" s="57" t="s">
        <v>526</v>
      </c>
      <c r="N50" s="59">
        <v>1.4</v>
      </c>
      <c r="O50" s="61" t="str">
        <f>IF(Table1[[#This Row],[Digikey]]="","", HYPERLINK(Table1[[#This Row],[Destination - Digikey]],_xlfn.CONCAT("Link (",Table1[[#This Row],[Digikey]],")")))</f>
        <v>Link (A107024CT-ND)</v>
      </c>
      <c r="P50" s="62" t="str">
        <f>_xlfn.CONCAT("https://www.digikey.ch/products/en?keywords=",Table1[[#This Row],[Digikey]])</f>
        <v>https://www.digikey.ch/products/en?keywords=A107024CT-ND</v>
      </c>
      <c r="Q50" s="57"/>
      <c r="R50" s="59"/>
      <c r="S50" s="61" t="str">
        <f>IF(Table1[[#This Row],[Farnell]]="","", HYPERLINK(Table1[[#This Row],[Destination - Farnell]],_xlfn.CONCAT("Link (",Table1[[#This Row],[Farnell]],")")))</f>
        <v/>
      </c>
      <c r="T50" s="62" t="str">
        <f>_xlfn.CONCAT("https://ch.farnell.com/fr-CH/",Table1[[#This Row],[Farnell]])</f>
        <v>https://ch.farnell.com/fr-CH/</v>
      </c>
      <c r="U50" s="57"/>
      <c r="V50" s="59"/>
      <c r="W50" s="61" t="str">
        <f>IF(Table1[[#This Row],[Distrelec]]="","", HYPERLINK(Table1[[#This Row],[Destination - Distrelec]],_xlfn.CONCAT("Link (",Table1[[#This Row],[Distrelec]],")")))</f>
        <v/>
      </c>
      <c r="X50" s="62" t="str">
        <f>_xlfn.CONCAT("https://www.distrelec.ch/search?q=",Table1[[#This Row],[Distrelec]])</f>
        <v>https://www.distrelec.ch/search?q=</v>
      </c>
      <c r="Y50" s="57"/>
      <c r="Z50" s="59"/>
      <c r="AA50" s="61" t="str">
        <f>IF(Table1[[#This Row],[Conrad]]="","", HYPERLINK(Table1[[#This Row],[Destination - Conrad]],_xlfn.CONCAT("Link (",Table1[[#This Row],[Conrad]],")")))</f>
        <v/>
      </c>
      <c r="AB50" s="62"/>
      <c r="AC50" s="57"/>
      <c r="AD50" s="59"/>
      <c r="AE50" s="61" t="str">
        <f>IF(Table1[[#This Row],[Mouser]]="","", HYPERLINK(Table1[[#This Row],[Destination - Mouser]],_xlfn.CONCAT("Link (",Table1[[#This Row],[Mouser]],")")))</f>
        <v/>
      </c>
      <c r="AF50" s="62" t="str">
        <f>_xlfn.CONCAT("https://www.mouser.ch/ProductDetail/",Table1[[#This Row],[Mouser]])</f>
        <v>https://www.mouser.ch/ProductDetail/</v>
      </c>
      <c r="AG50" s="57"/>
      <c r="AH50" s="59"/>
      <c r="AI50" s="61" t="str">
        <f>IF(Table1[[#This Row],[Bauhaus]]="","", HYPERLINK(Table1[[#This Row],[Destination - Bauhaus]],_xlfn.CONCAT("Link (",Table1[[#This Row],[Bauhaus]],")")))</f>
        <v/>
      </c>
      <c r="AJ50" s="62" t="str">
        <f>_xlfn.CONCAT("https://www.bauhaus.ch/fr/search?query=",Table1[[#This Row],[Bauhaus]])</f>
        <v>https://www.bauhaus.ch/fr/search?query=</v>
      </c>
      <c r="AK50" s="59"/>
      <c r="AL50" s="59"/>
      <c r="AM50" s="61" t="str">
        <f>IF(Table1[[#This Row],[BricoEtLoisirs]]="","", HYPERLINK(Table1[[#This Row],[Destination - BricoEtLoisirs]],_xlfn.CONCAT("Link (",Table1[[#This Row],[BricoEtLoisirs]],")")))</f>
        <v/>
      </c>
      <c r="AN50" s="62" t="str">
        <f>_xlfn.CONCAT("https://bricoetloisirs.ch/p/",Table1[[#This Row],[BricoEtLoisirs]])</f>
        <v>https://bricoetloisirs.ch/p/</v>
      </c>
      <c r="AO50" s="57"/>
      <c r="AP50" s="59"/>
      <c r="AQ50" s="61" t="str">
        <f>IF(Table1[[#This Row],[Aliexpress]]="","", HYPERLINK(Table1[[#This Row],[Destination - Aliexpress]],_xlfn.CONCAT("Link (",Table1[[#This Row],[Aliexpress]],")")))</f>
        <v/>
      </c>
      <c r="AR50" s="62" t="str">
        <f>_xlfn.CONCAT("https://www.aliexpress.com/item/",Table1[[#This Row],[Aliexpress]],".html")</f>
        <v>https://www.aliexpress.com/item/.html</v>
      </c>
      <c r="AS50" s="57"/>
      <c r="AT50" s="59"/>
      <c r="AU50" s="61" t="str">
        <f>IF(Table1[[#This Row],[Banggood]]="","", HYPERLINK(Table1[[#This Row],[Destination - Banggood]],_xlfn.CONCAT("Link (",Table1[[#This Row],[Banggood]],")")))</f>
        <v/>
      </c>
      <c r="AV50" s="62" t="str">
        <f>_xlfn.CONCAT("https://www.banggood.com/search/",Table1[[#This Row],[Banggood]],".html")</f>
        <v>https://www.banggood.com/search/.html</v>
      </c>
      <c r="AW50" s="59" t="str">
        <f>IF(Table1[[#This Row],[Other]]&lt;&gt;"","Other","")</f>
        <v/>
      </c>
      <c r="AX50" s="57"/>
      <c r="AY50" s="59"/>
      <c r="AZ50" s="61" t="str">
        <f>IF(Table1[[#This Row],[Other]]="","",IF(Table1[[#This Row],[Destination - Other]]="","",HYPERLINK(Table1[[#This Row],[Destination - Other]],_xlfn.CONCAT("Link ("&amp;Table1[[#This Row],[Other]]&amp;")"))))</f>
        <v/>
      </c>
      <c r="BA50" s="59"/>
      <c r="BB50" s="58" t="str">
        <f>IF(AND( Table1[[#This Row],[Auto Order]]=1,Table1[[#This Row],[Obsolete]]=""),IF(Table1[[#This Row],[In stock]]&lt;Table1[[#This Row],[Min in stock]],1,""),"")</f>
        <v/>
      </c>
      <c r="BC50" s="64"/>
      <c r="BD50" s="66" t="str">
        <f>IF(Table1[[#This Row],[Obsolete]],Table1[[#This Row],[Art. Number]],"")</f>
        <v/>
      </c>
    </row>
    <row r="51" spans="1:56" x14ac:dyDescent="0.25">
      <c r="A51" s="65" t="s">
        <v>528</v>
      </c>
      <c r="B51" s="57" t="s">
        <v>348</v>
      </c>
      <c r="C51" s="57" t="s">
        <v>97</v>
      </c>
      <c r="D51" s="57" t="s">
        <v>529</v>
      </c>
      <c r="E51" s="57" t="s">
        <v>516</v>
      </c>
      <c r="F51" s="58">
        <v>0</v>
      </c>
      <c r="G51" s="58"/>
      <c r="H51" s="58"/>
      <c r="I5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A110866CT-ND</v>
      </c>
      <c r="J5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1.73</v>
      </c>
      <c r="K5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(A110866CT-ND)</v>
      </c>
      <c r="M51" s="57" t="s">
        <v>530</v>
      </c>
      <c r="N51" s="59">
        <v>1.73</v>
      </c>
      <c r="O51" s="61" t="str">
        <f>IF(Table1[[#This Row],[Digikey]]="","", HYPERLINK(Table1[[#This Row],[Destination - Digikey]],_xlfn.CONCAT("Link (",Table1[[#This Row],[Digikey]],")")))</f>
        <v>Link (A110866CT-ND)</v>
      </c>
      <c r="P51" s="62" t="str">
        <f>_xlfn.CONCAT("https://www.digikey.ch/products/en?keywords=",Table1[[#This Row],[Digikey]])</f>
        <v>https://www.digikey.ch/products/en?keywords=A110866CT-ND</v>
      </c>
      <c r="Q51" s="57"/>
      <c r="R51" s="59"/>
      <c r="S51" s="61" t="str">
        <f>IF(Table1[[#This Row],[Farnell]]="","", HYPERLINK(Table1[[#This Row],[Destination - Farnell]],_xlfn.CONCAT("Link (",Table1[[#This Row],[Farnell]],")")))</f>
        <v/>
      </c>
      <c r="T51" s="62" t="str">
        <f>_xlfn.CONCAT("https://ch.farnell.com/fr-CH/",Table1[[#This Row],[Farnell]])</f>
        <v>https://ch.farnell.com/fr-CH/</v>
      </c>
      <c r="U51" s="57"/>
      <c r="V51" s="59"/>
      <c r="W51" s="61" t="str">
        <f>IF(Table1[[#This Row],[Distrelec]]="","", HYPERLINK(Table1[[#This Row],[Destination - Distrelec]],_xlfn.CONCAT("Link (",Table1[[#This Row],[Distrelec]],")")))</f>
        <v/>
      </c>
      <c r="X51" s="62" t="str">
        <f>_xlfn.CONCAT("https://www.distrelec.ch/search?q=",Table1[[#This Row],[Distrelec]])</f>
        <v>https://www.distrelec.ch/search?q=</v>
      </c>
      <c r="Y51" s="57"/>
      <c r="Z51" s="59"/>
      <c r="AA51" s="61" t="str">
        <f>IF(Table1[[#This Row],[Conrad]]="","", HYPERLINK(Table1[[#This Row],[Destination - Conrad]],_xlfn.CONCAT("Link (",Table1[[#This Row],[Conrad]],")")))</f>
        <v/>
      </c>
      <c r="AB51" s="62"/>
      <c r="AC51" s="57"/>
      <c r="AD51" s="59"/>
      <c r="AE51" s="61" t="str">
        <f>IF(Table1[[#This Row],[Mouser]]="","", HYPERLINK(Table1[[#This Row],[Destination - Mouser]],_xlfn.CONCAT("Link (",Table1[[#This Row],[Mouser]],")")))</f>
        <v/>
      </c>
      <c r="AF51" s="62" t="str">
        <f>_xlfn.CONCAT("https://www.mouser.ch/ProductDetail/",Table1[[#This Row],[Mouser]])</f>
        <v>https://www.mouser.ch/ProductDetail/</v>
      </c>
      <c r="AG51" s="57"/>
      <c r="AH51" s="59"/>
      <c r="AI51" s="61" t="str">
        <f>IF(Table1[[#This Row],[Bauhaus]]="","", HYPERLINK(Table1[[#This Row],[Destination - Bauhaus]],_xlfn.CONCAT("Link (",Table1[[#This Row],[Bauhaus]],")")))</f>
        <v/>
      </c>
      <c r="AJ51" s="62" t="str">
        <f>_xlfn.CONCAT("https://www.bauhaus.ch/fr/search?query=",Table1[[#This Row],[Bauhaus]])</f>
        <v>https://www.bauhaus.ch/fr/search?query=</v>
      </c>
      <c r="AK51" s="59"/>
      <c r="AL51" s="59"/>
      <c r="AM51" s="61" t="str">
        <f>IF(Table1[[#This Row],[BricoEtLoisirs]]="","", HYPERLINK(Table1[[#This Row],[Destination - BricoEtLoisirs]],_xlfn.CONCAT("Link (",Table1[[#This Row],[BricoEtLoisirs]],")")))</f>
        <v/>
      </c>
      <c r="AN51" s="62" t="str">
        <f>_xlfn.CONCAT("https://bricoetloisirs.ch/p/",Table1[[#This Row],[BricoEtLoisirs]])</f>
        <v>https://bricoetloisirs.ch/p/</v>
      </c>
      <c r="AO51" s="57"/>
      <c r="AP51" s="59"/>
      <c r="AQ51" s="61" t="str">
        <f>IF(Table1[[#This Row],[Aliexpress]]="","", HYPERLINK(Table1[[#This Row],[Destination - Aliexpress]],_xlfn.CONCAT("Link (",Table1[[#This Row],[Aliexpress]],")")))</f>
        <v/>
      </c>
      <c r="AR51" s="62" t="str">
        <f>_xlfn.CONCAT("https://www.aliexpress.com/item/",Table1[[#This Row],[Aliexpress]],".html")</f>
        <v>https://www.aliexpress.com/item/.html</v>
      </c>
      <c r="AS51" s="57"/>
      <c r="AT51" s="59"/>
      <c r="AU51" s="61" t="str">
        <f>IF(Table1[[#This Row],[Banggood]]="","", HYPERLINK(Table1[[#This Row],[Destination - Banggood]],_xlfn.CONCAT("Link (",Table1[[#This Row],[Banggood]],")")))</f>
        <v/>
      </c>
      <c r="AV51" s="62" t="str">
        <f>_xlfn.CONCAT("https://www.banggood.com/search/",Table1[[#This Row],[Banggood]],".html")</f>
        <v>https://www.banggood.com/search/.html</v>
      </c>
      <c r="AW51" s="59" t="str">
        <f>IF(Table1[[#This Row],[Other]]&lt;&gt;"","Other","")</f>
        <v/>
      </c>
      <c r="AX51" s="57"/>
      <c r="AY51" s="59"/>
      <c r="AZ51" s="61" t="str">
        <f>IF(Table1[[#This Row],[Other]]="","",IF(Table1[[#This Row],[Destination - Other]]="","",HYPERLINK(Table1[[#This Row],[Destination - Other]],_xlfn.CONCAT("Link ("&amp;Table1[[#This Row],[Other]]&amp;")"))))</f>
        <v/>
      </c>
      <c r="BA51" s="59"/>
      <c r="BB51" s="58" t="str">
        <f>IF(AND( Table1[[#This Row],[Auto Order]]=1,Table1[[#This Row],[Obsolete]]=""),IF(Table1[[#This Row],[In stock]]&lt;Table1[[#This Row],[Min in stock]],1,""),"")</f>
        <v/>
      </c>
      <c r="BC51" s="64"/>
      <c r="BD51" s="66" t="str">
        <f>IF(Table1[[#This Row],[Obsolete]],Table1[[#This Row],[Art. Number]],"")</f>
        <v/>
      </c>
    </row>
    <row r="52" spans="1:56" x14ac:dyDescent="0.25">
      <c r="A52" s="65" t="s">
        <v>532</v>
      </c>
      <c r="B52" s="57" t="s">
        <v>348</v>
      </c>
      <c r="C52" s="57" t="s">
        <v>97</v>
      </c>
      <c r="D52" s="57" t="s">
        <v>533</v>
      </c>
      <c r="E52" s="57" t="s">
        <v>516</v>
      </c>
      <c r="F52" s="58">
        <v>0</v>
      </c>
      <c r="G52" s="58"/>
      <c r="H52" s="58"/>
      <c r="I5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A116161CT-ND</v>
      </c>
      <c r="J5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2.0699999999999998</v>
      </c>
      <c r="K5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(A116161CT-ND)</v>
      </c>
      <c r="M52" s="57" t="s">
        <v>534</v>
      </c>
      <c r="N52" s="59">
        <v>2.0699999999999998</v>
      </c>
      <c r="O52" s="61" t="str">
        <f>IF(Table1[[#This Row],[Digikey]]="","", HYPERLINK(Table1[[#This Row],[Destination - Digikey]],_xlfn.CONCAT("Link (",Table1[[#This Row],[Digikey]],")")))</f>
        <v>Link (A116161CT-ND)</v>
      </c>
      <c r="P52" s="62" t="str">
        <f>_xlfn.CONCAT("https://www.digikey.ch/products/en?keywords=",Table1[[#This Row],[Digikey]])</f>
        <v>https://www.digikey.ch/products/en?keywords=A116161CT-ND</v>
      </c>
      <c r="Q52" s="57"/>
      <c r="R52" s="59"/>
      <c r="S52" s="61" t="str">
        <f>IF(Table1[[#This Row],[Farnell]]="","", HYPERLINK(Table1[[#This Row],[Destination - Farnell]],_xlfn.CONCAT("Link (",Table1[[#This Row],[Farnell]],")")))</f>
        <v/>
      </c>
      <c r="T52" s="62" t="str">
        <f>_xlfn.CONCAT("https://ch.farnell.com/fr-CH/",Table1[[#This Row],[Farnell]])</f>
        <v>https://ch.farnell.com/fr-CH/</v>
      </c>
      <c r="U52" s="57"/>
      <c r="V52" s="59"/>
      <c r="W52" s="61" t="str">
        <f>IF(Table1[[#This Row],[Distrelec]]="","", HYPERLINK(Table1[[#This Row],[Destination - Distrelec]],_xlfn.CONCAT("Link (",Table1[[#This Row],[Distrelec]],")")))</f>
        <v/>
      </c>
      <c r="X52" s="62" t="str">
        <f>_xlfn.CONCAT("https://www.distrelec.ch/search?q=",Table1[[#This Row],[Distrelec]])</f>
        <v>https://www.distrelec.ch/search?q=</v>
      </c>
      <c r="Y52" s="57"/>
      <c r="Z52" s="59"/>
      <c r="AA52" s="61" t="str">
        <f>IF(Table1[[#This Row],[Conrad]]="","", HYPERLINK(Table1[[#This Row],[Destination - Conrad]],_xlfn.CONCAT("Link (",Table1[[#This Row],[Conrad]],")")))</f>
        <v/>
      </c>
      <c r="AB52" s="62"/>
      <c r="AC52" s="57"/>
      <c r="AD52" s="59"/>
      <c r="AE52" s="61" t="str">
        <f>IF(Table1[[#This Row],[Mouser]]="","", HYPERLINK(Table1[[#This Row],[Destination - Mouser]],_xlfn.CONCAT("Link (",Table1[[#This Row],[Mouser]],")")))</f>
        <v/>
      </c>
      <c r="AF52" s="62" t="str">
        <f>_xlfn.CONCAT("https://www.mouser.ch/ProductDetail/",Table1[[#This Row],[Mouser]])</f>
        <v>https://www.mouser.ch/ProductDetail/</v>
      </c>
      <c r="AG52" s="57"/>
      <c r="AH52" s="59"/>
      <c r="AI52" s="61" t="str">
        <f>IF(Table1[[#This Row],[Bauhaus]]="","", HYPERLINK(Table1[[#This Row],[Destination - Bauhaus]],_xlfn.CONCAT("Link (",Table1[[#This Row],[Bauhaus]],")")))</f>
        <v/>
      </c>
      <c r="AJ52" s="62" t="str">
        <f>_xlfn.CONCAT("https://www.bauhaus.ch/fr/search?query=",Table1[[#This Row],[Bauhaus]])</f>
        <v>https://www.bauhaus.ch/fr/search?query=</v>
      </c>
      <c r="AK52" s="59"/>
      <c r="AL52" s="59"/>
      <c r="AM52" s="61" t="str">
        <f>IF(Table1[[#This Row],[BricoEtLoisirs]]="","", HYPERLINK(Table1[[#This Row],[Destination - BricoEtLoisirs]],_xlfn.CONCAT("Link (",Table1[[#This Row],[BricoEtLoisirs]],")")))</f>
        <v/>
      </c>
      <c r="AN52" s="62" t="str">
        <f>_xlfn.CONCAT("https://bricoetloisirs.ch/p/",Table1[[#This Row],[BricoEtLoisirs]])</f>
        <v>https://bricoetloisirs.ch/p/</v>
      </c>
      <c r="AO52" s="57"/>
      <c r="AP52" s="59"/>
      <c r="AQ52" s="61" t="str">
        <f>IF(Table1[[#This Row],[Aliexpress]]="","", HYPERLINK(Table1[[#This Row],[Destination - Aliexpress]],_xlfn.CONCAT("Link (",Table1[[#This Row],[Aliexpress]],")")))</f>
        <v/>
      </c>
      <c r="AR52" s="62" t="str">
        <f>_xlfn.CONCAT("https://www.aliexpress.com/item/",Table1[[#This Row],[Aliexpress]],".html")</f>
        <v>https://www.aliexpress.com/item/.html</v>
      </c>
      <c r="AS52" s="57"/>
      <c r="AT52" s="59"/>
      <c r="AU52" s="61" t="str">
        <f>IF(Table1[[#This Row],[Banggood]]="","", HYPERLINK(Table1[[#This Row],[Destination - Banggood]],_xlfn.CONCAT("Link (",Table1[[#This Row],[Banggood]],")")))</f>
        <v/>
      </c>
      <c r="AV52" s="62" t="str">
        <f>_xlfn.CONCAT("https://www.banggood.com/search/",Table1[[#This Row],[Banggood]],".html")</f>
        <v>https://www.banggood.com/search/.html</v>
      </c>
      <c r="AW52" s="59" t="str">
        <f>IF(Table1[[#This Row],[Other]]&lt;&gt;"","Other","")</f>
        <v/>
      </c>
      <c r="AX52" s="57"/>
      <c r="AY52" s="59"/>
      <c r="AZ52" s="61" t="str">
        <f>IF(Table1[[#This Row],[Other]]="","",IF(Table1[[#This Row],[Destination - Other]]="","",HYPERLINK(Table1[[#This Row],[Destination - Other]],_xlfn.CONCAT("Link ("&amp;Table1[[#This Row],[Other]]&amp;")"))))</f>
        <v/>
      </c>
      <c r="BA52" s="59"/>
      <c r="BB52" s="58" t="str">
        <f>IF(AND( Table1[[#This Row],[Auto Order]]=1,Table1[[#This Row],[Obsolete]]=""),IF(Table1[[#This Row],[In stock]]&lt;Table1[[#This Row],[Min in stock]],1,""),"")</f>
        <v/>
      </c>
      <c r="BC52" s="64"/>
      <c r="BD52" s="66" t="str">
        <f>IF(Table1[[#This Row],[Obsolete]],Table1[[#This Row],[Art. Number]],"")</f>
        <v/>
      </c>
    </row>
    <row r="53" spans="1:56" x14ac:dyDescent="0.25">
      <c r="A53" s="65" t="s">
        <v>536</v>
      </c>
      <c r="B53" s="57" t="s">
        <v>348</v>
      </c>
      <c r="C53" s="57" t="s">
        <v>97</v>
      </c>
      <c r="D53" s="57" t="s">
        <v>537</v>
      </c>
      <c r="E53" s="57" t="s">
        <v>516</v>
      </c>
      <c r="F53" s="58">
        <v>0</v>
      </c>
      <c r="G53" s="58"/>
      <c r="H53" s="58"/>
      <c r="I5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A110867CT-ND</v>
      </c>
      <c r="J5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2.4</v>
      </c>
      <c r="K5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(A110867CT-ND)</v>
      </c>
      <c r="M53" s="57" t="s">
        <v>538</v>
      </c>
      <c r="N53" s="59">
        <v>2.4</v>
      </c>
      <c r="O53" s="61" t="str">
        <f>IF(Table1[[#This Row],[Digikey]]="","", HYPERLINK(Table1[[#This Row],[Destination - Digikey]],_xlfn.CONCAT("Link (",Table1[[#This Row],[Digikey]],")")))</f>
        <v>Link (A110867CT-ND)</v>
      </c>
      <c r="P53" s="62" t="str">
        <f>_xlfn.CONCAT("https://www.digikey.ch/products/en?keywords=",Table1[[#This Row],[Digikey]])</f>
        <v>https://www.digikey.ch/products/en?keywords=A110867CT-ND</v>
      </c>
      <c r="Q53" s="57"/>
      <c r="R53" s="59"/>
      <c r="S53" s="61" t="str">
        <f>IF(Table1[[#This Row],[Farnell]]="","", HYPERLINK(Table1[[#This Row],[Destination - Farnell]],_xlfn.CONCAT("Link (",Table1[[#This Row],[Farnell]],")")))</f>
        <v/>
      </c>
      <c r="T53" s="62" t="str">
        <f>_xlfn.CONCAT("https://ch.farnell.com/fr-CH/",Table1[[#This Row],[Farnell]])</f>
        <v>https://ch.farnell.com/fr-CH/</v>
      </c>
      <c r="U53" s="57"/>
      <c r="V53" s="59"/>
      <c r="W53" s="61" t="str">
        <f>IF(Table1[[#This Row],[Distrelec]]="","", HYPERLINK(Table1[[#This Row],[Destination - Distrelec]],_xlfn.CONCAT("Link (",Table1[[#This Row],[Distrelec]],")")))</f>
        <v/>
      </c>
      <c r="X53" s="62" t="str">
        <f>_xlfn.CONCAT("https://www.distrelec.ch/search?q=",Table1[[#This Row],[Distrelec]])</f>
        <v>https://www.distrelec.ch/search?q=</v>
      </c>
      <c r="Y53" s="57"/>
      <c r="Z53" s="59"/>
      <c r="AA53" s="61" t="str">
        <f>IF(Table1[[#This Row],[Conrad]]="","", HYPERLINK(Table1[[#This Row],[Destination - Conrad]],_xlfn.CONCAT("Link (",Table1[[#This Row],[Conrad]],")")))</f>
        <v/>
      </c>
      <c r="AB53" s="62"/>
      <c r="AC53" s="57"/>
      <c r="AD53" s="59"/>
      <c r="AE53" s="61" t="str">
        <f>IF(Table1[[#This Row],[Mouser]]="","", HYPERLINK(Table1[[#This Row],[Destination - Mouser]],_xlfn.CONCAT("Link (",Table1[[#This Row],[Mouser]],")")))</f>
        <v/>
      </c>
      <c r="AF53" s="62" t="str">
        <f>_xlfn.CONCAT("https://www.mouser.ch/ProductDetail/",Table1[[#This Row],[Mouser]])</f>
        <v>https://www.mouser.ch/ProductDetail/</v>
      </c>
      <c r="AG53" s="57"/>
      <c r="AH53" s="59"/>
      <c r="AI53" s="61" t="str">
        <f>IF(Table1[[#This Row],[Bauhaus]]="","", HYPERLINK(Table1[[#This Row],[Destination - Bauhaus]],_xlfn.CONCAT("Link (",Table1[[#This Row],[Bauhaus]],")")))</f>
        <v/>
      </c>
      <c r="AJ53" s="62" t="str">
        <f>_xlfn.CONCAT("https://www.bauhaus.ch/fr/search?query=",Table1[[#This Row],[Bauhaus]])</f>
        <v>https://www.bauhaus.ch/fr/search?query=</v>
      </c>
      <c r="AK53" s="59"/>
      <c r="AL53" s="59"/>
      <c r="AM53" s="61" t="str">
        <f>IF(Table1[[#This Row],[BricoEtLoisirs]]="","", HYPERLINK(Table1[[#This Row],[Destination - BricoEtLoisirs]],_xlfn.CONCAT("Link (",Table1[[#This Row],[BricoEtLoisirs]],")")))</f>
        <v/>
      </c>
      <c r="AN53" s="62" t="str">
        <f>_xlfn.CONCAT("https://bricoetloisirs.ch/p/",Table1[[#This Row],[BricoEtLoisirs]])</f>
        <v>https://bricoetloisirs.ch/p/</v>
      </c>
      <c r="AO53" s="57"/>
      <c r="AP53" s="59"/>
      <c r="AQ53" s="61" t="str">
        <f>IF(Table1[[#This Row],[Aliexpress]]="","", HYPERLINK(Table1[[#This Row],[Destination - Aliexpress]],_xlfn.CONCAT("Link (",Table1[[#This Row],[Aliexpress]],")")))</f>
        <v/>
      </c>
      <c r="AR53" s="62" t="str">
        <f>_xlfn.CONCAT("https://www.aliexpress.com/item/",Table1[[#This Row],[Aliexpress]],".html")</f>
        <v>https://www.aliexpress.com/item/.html</v>
      </c>
      <c r="AS53" s="57"/>
      <c r="AT53" s="59"/>
      <c r="AU53" s="61" t="str">
        <f>IF(Table1[[#This Row],[Banggood]]="","", HYPERLINK(Table1[[#This Row],[Destination - Banggood]],_xlfn.CONCAT("Link (",Table1[[#This Row],[Banggood]],")")))</f>
        <v/>
      </c>
      <c r="AV53" s="62" t="str">
        <f>_xlfn.CONCAT("https://www.banggood.com/search/",Table1[[#This Row],[Banggood]],".html")</f>
        <v>https://www.banggood.com/search/.html</v>
      </c>
      <c r="AW53" s="59" t="str">
        <f>IF(Table1[[#This Row],[Other]]&lt;&gt;"","Other","")</f>
        <v/>
      </c>
      <c r="AX53" s="57"/>
      <c r="AY53" s="59"/>
      <c r="AZ53" s="61" t="str">
        <f>IF(Table1[[#This Row],[Other]]="","",IF(Table1[[#This Row],[Destination - Other]]="","",HYPERLINK(Table1[[#This Row],[Destination - Other]],_xlfn.CONCAT("Link ("&amp;Table1[[#This Row],[Other]]&amp;")"))))</f>
        <v/>
      </c>
      <c r="BA53" s="59"/>
      <c r="BB53" s="58" t="str">
        <f>IF(AND( Table1[[#This Row],[Auto Order]]=1,Table1[[#This Row],[Obsolete]]=""),IF(Table1[[#This Row],[In stock]]&lt;Table1[[#This Row],[Min in stock]],1,""),"")</f>
        <v/>
      </c>
      <c r="BC53" s="64"/>
      <c r="BD53" s="66" t="str">
        <f>IF(Table1[[#This Row],[Obsolete]],Table1[[#This Row],[Art. Number]],"")</f>
        <v/>
      </c>
    </row>
    <row r="54" spans="1:56" x14ac:dyDescent="0.25">
      <c r="A54" s="65" t="s">
        <v>540</v>
      </c>
      <c r="B54" s="57" t="s">
        <v>348</v>
      </c>
      <c r="C54" s="57" t="s">
        <v>97</v>
      </c>
      <c r="D54" s="57" t="s">
        <v>541</v>
      </c>
      <c r="E54" s="57" t="s">
        <v>516</v>
      </c>
      <c r="F54" s="58">
        <v>0</v>
      </c>
      <c r="G54" s="58"/>
      <c r="H54" s="58"/>
      <c r="I5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A116162CT-ND</v>
      </c>
      <c r="J5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2.54</v>
      </c>
      <c r="K5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(A116162CT-ND)</v>
      </c>
      <c r="M54" s="57" t="s">
        <v>542</v>
      </c>
      <c r="N54" s="59">
        <v>2.54</v>
      </c>
      <c r="O54" s="61" t="str">
        <f>IF(Table1[[#This Row],[Digikey]]="","", HYPERLINK(Table1[[#This Row],[Destination - Digikey]],_xlfn.CONCAT("Link (",Table1[[#This Row],[Digikey]],")")))</f>
        <v>Link (A116162CT-ND)</v>
      </c>
      <c r="P54" s="62" t="str">
        <f>_xlfn.CONCAT("https://www.digikey.ch/products/en?keywords=",Table1[[#This Row],[Digikey]])</f>
        <v>https://www.digikey.ch/products/en?keywords=A116162CT-ND</v>
      </c>
      <c r="Q54" s="57"/>
      <c r="R54" s="59"/>
      <c r="S54" s="61" t="str">
        <f>IF(Table1[[#This Row],[Farnell]]="","", HYPERLINK(Table1[[#This Row],[Destination - Farnell]],_xlfn.CONCAT("Link (",Table1[[#This Row],[Farnell]],")")))</f>
        <v/>
      </c>
      <c r="T54" s="62" t="str">
        <f>_xlfn.CONCAT("https://ch.farnell.com/fr-CH/",Table1[[#This Row],[Farnell]])</f>
        <v>https://ch.farnell.com/fr-CH/</v>
      </c>
      <c r="U54" s="57"/>
      <c r="V54" s="59"/>
      <c r="W54" s="61" t="str">
        <f>IF(Table1[[#This Row],[Distrelec]]="","", HYPERLINK(Table1[[#This Row],[Destination - Distrelec]],_xlfn.CONCAT("Link (",Table1[[#This Row],[Distrelec]],")")))</f>
        <v/>
      </c>
      <c r="X54" s="62" t="str">
        <f>_xlfn.CONCAT("https://www.distrelec.ch/search?q=",Table1[[#This Row],[Distrelec]])</f>
        <v>https://www.distrelec.ch/search?q=</v>
      </c>
      <c r="Y54" s="57"/>
      <c r="Z54" s="59"/>
      <c r="AA54" s="61" t="str">
        <f>IF(Table1[[#This Row],[Conrad]]="","", HYPERLINK(Table1[[#This Row],[Destination - Conrad]],_xlfn.CONCAT("Link (",Table1[[#This Row],[Conrad]],")")))</f>
        <v/>
      </c>
      <c r="AB54" s="62"/>
      <c r="AC54" s="57"/>
      <c r="AD54" s="59"/>
      <c r="AE54" s="61" t="str">
        <f>IF(Table1[[#This Row],[Mouser]]="","", HYPERLINK(Table1[[#This Row],[Destination - Mouser]],_xlfn.CONCAT("Link (",Table1[[#This Row],[Mouser]],")")))</f>
        <v/>
      </c>
      <c r="AF54" s="62" t="str">
        <f>_xlfn.CONCAT("https://www.mouser.ch/ProductDetail/",Table1[[#This Row],[Mouser]])</f>
        <v>https://www.mouser.ch/ProductDetail/</v>
      </c>
      <c r="AG54" s="57"/>
      <c r="AH54" s="59"/>
      <c r="AI54" s="61" t="str">
        <f>IF(Table1[[#This Row],[Bauhaus]]="","", HYPERLINK(Table1[[#This Row],[Destination - Bauhaus]],_xlfn.CONCAT("Link (",Table1[[#This Row],[Bauhaus]],")")))</f>
        <v/>
      </c>
      <c r="AJ54" s="62" t="str">
        <f>_xlfn.CONCAT("https://www.bauhaus.ch/fr/search?query=",Table1[[#This Row],[Bauhaus]])</f>
        <v>https://www.bauhaus.ch/fr/search?query=</v>
      </c>
      <c r="AK54" s="59"/>
      <c r="AL54" s="59"/>
      <c r="AM54" s="61" t="str">
        <f>IF(Table1[[#This Row],[BricoEtLoisirs]]="","", HYPERLINK(Table1[[#This Row],[Destination - BricoEtLoisirs]],_xlfn.CONCAT("Link (",Table1[[#This Row],[BricoEtLoisirs]],")")))</f>
        <v/>
      </c>
      <c r="AN54" s="62" t="str">
        <f>_xlfn.CONCAT("https://bricoetloisirs.ch/p/",Table1[[#This Row],[BricoEtLoisirs]])</f>
        <v>https://bricoetloisirs.ch/p/</v>
      </c>
      <c r="AO54" s="57"/>
      <c r="AP54" s="59"/>
      <c r="AQ54" s="61" t="str">
        <f>IF(Table1[[#This Row],[Aliexpress]]="","", HYPERLINK(Table1[[#This Row],[Destination - Aliexpress]],_xlfn.CONCAT("Link (",Table1[[#This Row],[Aliexpress]],")")))</f>
        <v/>
      </c>
      <c r="AR54" s="62" t="str">
        <f>_xlfn.CONCAT("https://www.aliexpress.com/item/",Table1[[#This Row],[Aliexpress]],".html")</f>
        <v>https://www.aliexpress.com/item/.html</v>
      </c>
      <c r="AS54" s="57"/>
      <c r="AT54" s="59"/>
      <c r="AU54" s="61" t="str">
        <f>IF(Table1[[#This Row],[Banggood]]="","", HYPERLINK(Table1[[#This Row],[Destination - Banggood]],_xlfn.CONCAT("Link (",Table1[[#This Row],[Banggood]],")")))</f>
        <v/>
      </c>
      <c r="AV54" s="62" t="str">
        <f>_xlfn.CONCAT("https://www.banggood.com/search/",Table1[[#This Row],[Banggood]],".html")</f>
        <v>https://www.banggood.com/search/.html</v>
      </c>
      <c r="AW54" s="59" t="str">
        <f>IF(Table1[[#This Row],[Other]]&lt;&gt;"","Other","")</f>
        <v/>
      </c>
      <c r="AX54" s="57"/>
      <c r="AY54" s="59"/>
      <c r="AZ54" s="61" t="str">
        <f>IF(Table1[[#This Row],[Other]]="","",IF(Table1[[#This Row],[Destination - Other]]="","",HYPERLINK(Table1[[#This Row],[Destination - Other]],_xlfn.CONCAT("Link ("&amp;Table1[[#This Row],[Other]]&amp;")"))))</f>
        <v/>
      </c>
      <c r="BA54" s="59"/>
      <c r="BB54" s="58" t="str">
        <f>IF(AND( Table1[[#This Row],[Auto Order]]=1,Table1[[#This Row],[Obsolete]]=""),IF(Table1[[#This Row],[In stock]]&lt;Table1[[#This Row],[Min in stock]],1,""),"")</f>
        <v/>
      </c>
      <c r="BC54" s="64"/>
      <c r="BD54" s="66" t="str">
        <f>IF(Table1[[#This Row],[Obsolete]],Table1[[#This Row],[Art. Number]],"")</f>
        <v/>
      </c>
    </row>
    <row r="55" spans="1:56" x14ac:dyDescent="0.25">
      <c r="A55" s="65" t="s">
        <v>544</v>
      </c>
      <c r="B55" s="57" t="s">
        <v>348</v>
      </c>
      <c r="C55" s="57" t="s">
        <v>97</v>
      </c>
      <c r="D55" s="57" t="s">
        <v>545</v>
      </c>
      <c r="E55" s="57" t="s">
        <v>516</v>
      </c>
      <c r="F55" s="58">
        <v>0</v>
      </c>
      <c r="G55" s="58"/>
      <c r="H55" s="58"/>
      <c r="I5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A110868CT-ND</v>
      </c>
      <c r="J5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2.85</v>
      </c>
      <c r="K5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(A110868CT-ND)</v>
      </c>
      <c r="M55" s="57" t="s">
        <v>546</v>
      </c>
      <c r="N55" s="59">
        <v>2.85</v>
      </c>
      <c r="O55" s="61" t="str">
        <f>IF(Table1[[#This Row],[Digikey]]="","", HYPERLINK(Table1[[#This Row],[Destination - Digikey]],_xlfn.CONCAT("Link (",Table1[[#This Row],[Digikey]],")")))</f>
        <v>Link (A110868CT-ND)</v>
      </c>
      <c r="P55" s="62" t="str">
        <f>_xlfn.CONCAT("https://www.digikey.ch/products/en?keywords=",Table1[[#This Row],[Digikey]])</f>
        <v>https://www.digikey.ch/products/en?keywords=A110868CT-ND</v>
      </c>
      <c r="Q55" s="57"/>
      <c r="R55" s="59"/>
      <c r="S55" s="61" t="str">
        <f>IF(Table1[[#This Row],[Farnell]]="","", HYPERLINK(Table1[[#This Row],[Destination - Farnell]],_xlfn.CONCAT("Link (",Table1[[#This Row],[Farnell]],")")))</f>
        <v/>
      </c>
      <c r="T55" s="62" t="str">
        <f>_xlfn.CONCAT("https://ch.farnell.com/fr-CH/",Table1[[#This Row],[Farnell]])</f>
        <v>https://ch.farnell.com/fr-CH/</v>
      </c>
      <c r="U55" s="57"/>
      <c r="V55" s="59"/>
      <c r="W55" s="61" t="str">
        <f>IF(Table1[[#This Row],[Distrelec]]="","", HYPERLINK(Table1[[#This Row],[Destination - Distrelec]],_xlfn.CONCAT("Link (",Table1[[#This Row],[Distrelec]],")")))</f>
        <v/>
      </c>
      <c r="X55" s="62" t="str">
        <f>_xlfn.CONCAT("https://www.distrelec.ch/search?q=",Table1[[#This Row],[Distrelec]])</f>
        <v>https://www.distrelec.ch/search?q=</v>
      </c>
      <c r="Y55" s="57"/>
      <c r="Z55" s="59"/>
      <c r="AA55" s="61" t="str">
        <f>IF(Table1[[#This Row],[Conrad]]="","", HYPERLINK(Table1[[#This Row],[Destination - Conrad]],_xlfn.CONCAT("Link (",Table1[[#This Row],[Conrad]],")")))</f>
        <v/>
      </c>
      <c r="AB55" s="62"/>
      <c r="AC55" s="57"/>
      <c r="AD55" s="59"/>
      <c r="AE55" s="61" t="str">
        <f>IF(Table1[[#This Row],[Mouser]]="","", HYPERLINK(Table1[[#This Row],[Destination - Mouser]],_xlfn.CONCAT("Link (",Table1[[#This Row],[Mouser]],")")))</f>
        <v/>
      </c>
      <c r="AF55" s="62" t="str">
        <f>_xlfn.CONCAT("https://www.mouser.ch/ProductDetail/",Table1[[#This Row],[Mouser]])</f>
        <v>https://www.mouser.ch/ProductDetail/</v>
      </c>
      <c r="AG55" s="57"/>
      <c r="AH55" s="59"/>
      <c r="AI55" s="61" t="str">
        <f>IF(Table1[[#This Row],[Bauhaus]]="","", HYPERLINK(Table1[[#This Row],[Destination - Bauhaus]],_xlfn.CONCAT("Link (",Table1[[#This Row],[Bauhaus]],")")))</f>
        <v/>
      </c>
      <c r="AJ55" s="62" t="str">
        <f>_xlfn.CONCAT("https://www.bauhaus.ch/fr/search?query=",Table1[[#This Row],[Bauhaus]])</f>
        <v>https://www.bauhaus.ch/fr/search?query=</v>
      </c>
      <c r="AK55" s="59"/>
      <c r="AL55" s="59"/>
      <c r="AM55" s="61" t="str">
        <f>IF(Table1[[#This Row],[BricoEtLoisirs]]="","", HYPERLINK(Table1[[#This Row],[Destination - BricoEtLoisirs]],_xlfn.CONCAT("Link (",Table1[[#This Row],[BricoEtLoisirs]],")")))</f>
        <v/>
      </c>
      <c r="AN55" s="62" t="str">
        <f>_xlfn.CONCAT("https://bricoetloisirs.ch/p/",Table1[[#This Row],[BricoEtLoisirs]])</f>
        <v>https://bricoetloisirs.ch/p/</v>
      </c>
      <c r="AO55" s="57"/>
      <c r="AP55" s="59"/>
      <c r="AQ55" s="61" t="str">
        <f>IF(Table1[[#This Row],[Aliexpress]]="","", HYPERLINK(Table1[[#This Row],[Destination - Aliexpress]],_xlfn.CONCAT("Link (",Table1[[#This Row],[Aliexpress]],")")))</f>
        <v/>
      </c>
      <c r="AR55" s="62" t="str">
        <f>_xlfn.CONCAT("https://www.aliexpress.com/item/",Table1[[#This Row],[Aliexpress]],".html")</f>
        <v>https://www.aliexpress.com/item/.html</v>
      </c>
      <c r="AS55" s="57"/>
      <c r="AT55" s="59"/>
      <c r="AU55" s="61" t="str">
        <f>IF(Table1[[#This Row],[Banggood]]="","", HYPERLINK(Table1[[#This Row],[Destination - Banggood]],_xlfn.CONCAT("Link (",Table1[[#This Row],[Banggood]],")")))</f>
        <v/>
      </c>
      <c r="AV55" s="62" t="str">
        <f>_xlfn.CONCAT("https://www.banggood.com/search/",Table1[[#This Row],[Banggood]],".html")</f>
        <v>https://www.banggood.com/search/.html</v>
      </c>
      <c r="AW55" s="59" t="str">
        <f>IF(Table1[[#This Row],[Other]]&lt;&gt;"","Other","")</f>
        <v/>
      </c>
      <c r="AX55" s="57"/>
      <c r="AY55" s="59"/>
      <c r="AZ55" s="61" t="str">
        <f>IF(Table1[[#This Row],[Other]]="","",IF(Table1[[#This Row],[Destination - Other]]="","",HYPERLINK(Table1[[#This Row],[Destination - Other]],_xlfn.CONCAT("Link ("&amp;Table1[[#This Row],[Other]]&amp;")"))))</f>
        <v/>
      </c>
      <c r="BA55" s="59"/>
      <c r="BB55" s="58" t="str">
        <f>IF(AND( Table1[[#This Row],[Auto Order]]=1,Table1[[#This Row],[Obsolete]]=""),IF(Table1[[#This Row],[In stock]]&lt;Table1[[#This Row],[Min in stock]],1,""),"")</f>
        <v/>
      </c>
      <c r="BC55" s="64"/>
      <c r="BD55" s="66" t="str">
        <f>IF(Table1[[#This Row],[Obsolete]],Table1[[#This Row],[Art. Number]],"")</f>
        <v/>
      </c>
    </row>
    <row r="56" spans="1:56" x14ac:dyDescent="0.25">
      <c r="A56" s="65" t="s">
        <v>548</v>
      </c>
      <c r="B56" s="57" t="s">
        <v>348</v>
      </c>
      <c r="C56" s="57" t="s">
        <v>97</v>
      </c>
      <c r="D56" s="57" t="s">
        <v>549</v>
      </c>
      <c r="E56" s="57" t="s">
        <v>516</v>
      </c>
      <c r="F56" s="58">
        <v>0</v>
      </c>
      <c r="G56" s="58"/>
      <c r="H56" s="58"/>
      <c r="I5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A111118CT-ND</v>
      </c>
      <c r="J5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3.16</v>
      </c>
      <c r="K5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(A111118CT-ND)</v>
      </c>
      <c r="M56" s="57" t="s">
        <v>550</v>
      </c>
      <c r="N56" s="59">
        <v>3.16</v>
      </c>
      <c r="O56" s="61" t="str">
        <f>IF(Table1[[#This Row],[Digikey]]="","", HYPERLINK(Table1[[#This Row],[Destination - Digikey]],_xlfn.CONCAT("Link (",Table1[[#This Row],[Digikey]],")")))</f>
        <v>Link (A111118CT-ND)</v>
      </c>
      <c r="P56" s="62" t="str">
        <f>_xlfn.CONCAT("https://www.digikey.ch/products/en?keywords=",Table1[[#This Row],[Digikey]])</f>
        <v>https://www.digikey.ch/products/en?keywords=A111118CT-ND</v>
      </c>
      <c r="Q56" s="57"/>
      <c r="R56" s="59"/>
      <c r="S56" s="61" t="str">
        <f>IF(Table1[[#This Row],[Farnell]]="","", HYPERLINK(Table1[[#This Row],[Destination - Farnell]],_xlfn.CONCAT("Link (",Table1[[#This Row],[Farnell]],")")))</f>
        <v/>
      </c>
      <c r="T56" s="62" t="str">
        <f>_xlfn.CONCAT("https://ch.farnell.com/fr-CH/",Table1[[#This Row],[Farnell]])</f>
        <v>https://ch.farnell.com/fr-CH/</v>
      </c>
      <c r="U56" s="57"/>
      <c r="V56" s="59"/>
      <c r="W56" s="61" t="str">
        <f>IF(Table1[[#This Row],[Distrelec]]="","", HYPERLINK(Table1[[#This Row],[Destination - Distrelec]],_xlfn.CONCAT("Link (",Table1[[#This Row],[Distrelec]],")")))</f>
        <v/>
      </c>
      <c r="X56" s="62" t="str">
        <f>_xlfn.CONCAT("https://www.distrelec.ch/search?q=",Table1[[#This Row],[Distrelec]])</f>
        <v>https://www.distrelec.ch/search?q=</v>
      </c>
      <c r="Y56" s="57"/>
      <c r="Z56" s="59"/>
      <c r="AA56" s="61" t="str">
        <f>IF(Table1[[#This Row],[Conrad]]="","", HYPERLINK(Table1[[#This Row],[Destination - Conrad]],_xlfn.CONCAT("Link (",Table1[[#This Row],[Conrad]],")")))</f>
        <v/>
      </c>
      <c r="AB56" s="62"/>
      <c r="AC56" s="57"/>
      <c r="AD56" s="59"/>
      <c r="AE56" s="61" t="str">
        <f>IF(Table1[[#This Row],[Mouser]]="","", HYPERLINK(Table1[[#This Row],[Destination - Mouser]],_xlfn.CONCAT("Link (",Table1[[#This Row],[Mouser]],")")))</f>
        <v/>
      </c>
      <c r="AF56" s="62" t="str">
        <f>_xlfn.CONCAT("https://www.mouser.ch/ProductDetail/",Table1[[#This Row],[Mouser]])</f>
        <v>https://www.mouser.ch/ProductDetail/</v>
      </c>
      <c r="AG56" s="57"/>
      <c r="AH56" s="59"/>
      <c r="AI56" s="61" t="str">
        <f>IF(Table1[[#This Row],[Bauhaus]]="","", HYPERLINK(Table1[[#This Row],[Destination - Bauhaus]],_xlfn.CONCAT("Link (",Table1[[#This Row],[Bauhaus]],")")))</f>
        <v/>
      </c>
      <c r="AJ56" s="62" t="str">
        <f>_xlfn.CONCAT("https://www.bauhaus.ch/fr/search?query=",Table1[[#This Row],[Bauhaus]])</f>
        <v>https://www.bauhaus.ch/fr/search?query=</v>
      </c>
      <c r="AK56" s="59"/>
      <c r="AL56" s="59"/>
      <c r="AM56" s="61" t="str">
        <f>IF(Table1[[#This Row],[BricoEtLoisirs]]="","", HYPERLINK(Table1[[#This Row],[Destination - BricoEtLoisirs]],_xlfn.CONCAT("Link (",Table1[[#This Row],[BricoEtLoisirs]],")")))</f>
        <v/>
      </c>
      <c r="AN56" s="62" t="str">
        <f>_xlfn.CONCAT("https://bricoetloisirs.ch/p/",Table1[[#This Row],[BricoEtLoisirs]])</f>
        <v>https://bricoetloisirs.ch/p/</v>
      </c>
      <c r="AO56" s="57"/>
      <c r="AP56" s="59"/>
      <c r="AQ56" s="61" t="str">
        <f>IF(Table1[[#This Row],[Aliexpress]]="","", HYPERLINK(Table1[[#This Row],[Destination - Aliexpress]],_xlfn.CONCAT("Link (",Table1[[#This Row],[Aliexpress]],")")))</f>
        <v/>
      </c>
      <c r="AR56" s="62" t="str">
        <f>_xlfn.CONCAT("https://www.aliexpress.com/item/",Table1[[#This Row],[Aliexpress]],".html")</f>
        <v>https://www.aliexpress.com/item/.html</v>
      </c>
      <c r="AS56" s="57"/>
      <c r="AT56" s="59"/>
      <c r="AU56" s="61" t="str">
        <f>IF(Table1[[#This Row],[Banggood]]="","", HYPERLINK(Table1[[#This Row],[Destination - Banggood]],_xlfn.CONCAT("Link (",Table1[[#This Row],[Banggood]],")")))</f>
        <v/>
      </c>
      <c r="AV56" s="62" t="str">
        <f>_xlfn.CONCAT("https://www.banggood.com/search/",Table1[[#This Row],[Banggood]],".html")</f>
        <v>https://www.banggood.com/search/.html</v>
      </c>
      <c r="AW56" s="59" t="str">
        <f>IF(Table1[[#This Row],[Other]]&lt;&gt;"","Other","")</f>
        <v/>
      </c>
      <c r="AX56" s="57"/>
      <c r="AY56" s="59"/>
      <c r="AZ56" s="61" t="str">
        <f>IF(Table1[[#This Row],[Other]]="","",IF(Table1[[#This Row],[Destination - Other]]="","",HYPERLINK(Table1[[#This Row],[Destination - Other]],_xlfn.CONCAT("Link ("&amp;Table1[[#This Row],[Other]]&amp;")"))))</f>
        <v/>
      </c>
      <c r="BA56" s="59"/>
      <c r="BB56" s="58" t="str">
        <f>IF(AND( Table1[[#This Row],[Auto Order]]=1,Table1[[#This Row],[Obsolete]]=""),IF(Table1[[#This Row],[In stock]]&lt;Table1[[#This Row],[Min in stock]],1,""),"")</f>
        <v/>
      </c>
      <c r="BC56" s="64"/>
      <c r="BD56" s="66" t="str">
        <f>IF(Table1[[#This Row],[Obsolete]],Table1[[#This Row],[Art. Number]],"")</f>
        <v/>
      </c>
    </row>
    <row r="57" spans="1:56" x14ac:dyDescent="0.25">
      <c r="A57" s="65" t="s">
        <v>2377</v>
      </c>
      <c r="B57" s="57" t="s">
        <v>508</v>
      </c>
      <c r="C57" s="57" t="s">
        <v>97</v>
      </c>
      <c r="D57" s="57" t="s">
        <v>552</v>
      </c>
      <c r="E57" s="57" t="s">
        <v>553</v>
      </c>
      <c r="F57" s="58">
        <v>0</v>
      </c>
      <c r="G57" s="58"/>
      <c r="H57" s="58"/>
      <c r="I5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WM2002-ND</v>
      </c>
      <c r="J5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</v>
      </c>
      <c r="K5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(WM2002-ND)</v>
      </c>
      <c r="M57" s="57" t="s">
        <v>554</v>
      </c>
      <c r="N57" s="59">
        <v>0.2</v>
      </c>
      <c r="O57" s="61" t="str">
        <f>IF(Table1[[#This Row],[Digikey]]="","", HYPERLINK(Table1[[#This Row],[Destination - Digikey]],_xlfn.CONCAT("Link (",Table1[[#This Row],[Digikey]],")")))</f>
        <v>Link (WM2002-ND)</v>
      </c>
      <c r="P57" s="62" t="str">
        <f>_xlfn.CONCAT("https://www.digikey.ch/products/en?keywords=",Table1[[#This Row],[Digikey]])</f>
        <v>https://www.digikey.ch/products/en?keywords=WM2002-ND</v>
      </c>
      <c r="Q57" s="57"/>
      <c r="R57" s="59"/>
      <c r="S57" s="61" t="str">
        <f>IF(Table1[[#This Row],[Farnell]]="","", HYPERLINK(Table1[[#This Row],[Destination - Farnell]],_xlfn.CONCAT("Link (",Table1[[#This Row],[Farnell]],")")))</f>
        <v/>
      </c>
      <c r="T57" s="62" t="str">
        <f>_xlfn.CONCAT("https://ch.farnell.com/fr-CH/",Table1[[#This Row],[Farnell]])</f>
        <v>https://ch.farnell.com/fr-CH/</v>
      </c>
      <c r="U57" s="57"/>
      <c r="V57" s="59"/>
      <c r="W57" s="61" t="str">
        <f>IF(Table1[[#This Row],[Distrelec]]="","", HYPERLINK(Table1[[#This Row],[Destination - Distrelec]],_xlfn.CONCAT("Link (",Table1[[#This Row],[Distrelec]],")")))</f>
        <v/>
      </c>
      <c r="X57" s="62" t="str">
        <f>_xlfn.CONCAT("https://www.distrelec.ch/search?q=",Table1[[#This Row],[Distrelec]])</f>
        <v>https://www.distrelec.ch/search?q=</v>
      </c>
      <c r="Y57" s="57"/>
      <c r="Z57" s="59"/>
      <c r="AA57" s="61" t="str">
        <f>IF(Table1[[#This Row],[Conrad]]="","", HYPERLINK(Table1[[#This Row],[Destination - Conrad]],_xlfn.CONCAT("Link (",Table1[[#This Row],[Conrad]],")")))</f>
        <v/>
      </c>
      <c r="AB57" s="62"/>
      <c r="AC57" s="57"/>
      <c r="AD57" s="59"/>
      <c r="AE57" s="61" t="str">
        <f>IF(Table1[[#This Row],[Mouser]]="","", HYPERLINK(Table1[[#This Row],[Destination - Mouser]],_xlfn.CONCAT("Link (",Table1[[#This Row],[Mouser]],")")))</f>
        <v/>
      </c>
      <c r="AF57" s="62" t="str">
        <f>_xlfn.CONCAT("https://www.mouser.ch/ProductDetail/",Table1[[#This Row],[Mouser]])</f>
        <v>https://www.mouser.ch/ProductDetail/</v>
      </c>
      <c r="AG57" s="57"/>
      <c r="AH57" s="59"/>
      <c r="AI57" s="61" t="str">
        <f>IF(Table1[[#This Row],[Bauhaus]]="","", HYPERLINK(Table1[[#This Row],[Destination - Bauhaus]],_xlfn.CONCAT("Link (",Table1[[#This Row],[Bauhaus]],")")))</f>
        <v/>
      </c>
      <c r="AJ57" s="62" t="str">
        <f>_xlfn.CONCAT("https://www.bauhaus.ch/fr/search?query=",Table1[[#This Row],[Bauhaus]])</f>
        <v>https://www.bauhaus.ch/fr/search?query=</v>
      </c>
      <c r="AK57" s="59"/>
      <c r="AL57" s="59"/>
      <c r="AM57" s="61" t="str">
        <f>IF(Table1[[#This Row],[BricoEtLoisirs]]="","", HYPERLINK(Table1[[#This Row],[Destination - BricoEtLoisirs]],_xlfn.CONCAT("Link (",Table1[[#This Row],[BricoEtLoisirs]],")")))</f>
        <v/>
      </c>
      <c r="AN57" s="62" t="str">
        <f>_xlfn.CONCAT("https://bricoetloisirs.ch/p/",Table1[[#This Row],[BricoEtLoisirs]])</f>
        <v>https://bricoetloisirs.ch/p/</v>
      </c>
      <c r="AO57" s="57"/>
      <c r="AP57" s="59"/>
      <c r="AQ57" s="61" t="str">
        <f>IF(Table1[[#This Row],[Aliexpress]]="","", HYPERLINK(Table1[[#This Row],[Destination - Aliexpress]],_xlfn.CONCAT("Link (",Table1[[#This Row],[Aliexpress]],")")))</f>
        <v/>
      </c>
      <c r="AR57" s="62" t="str">
        <f>_xlfn.CONCAT("https://www.aliexpress.com/item/",Table1[[#This Row],[Aliexpress]],".html")</f>
        <v>https://www.aliexpress.com/item/.html</v>
      </c>
      <c r="AS57" s="57"/>
      <c r="AT57" s="59"/>
      <c r="AU57" s="61" t="str">
        <f>IF(Table1[[#This Row],[Banggood]]="","", HYPERLINK(Table1[[#This Row],[Destination - Banggood]],_xlfn.CONCAT("Link (",Table1[[#This Row],[Banggood]],")")))</f>
        <v/>
      </c>
      <c r="AV57" s="62" t="str">
        <f>_xlfn.CONCAT("https://www.banggood.com/search/",Table1[[#This Row],[Banggood]],".html")</f>
        <v>https://www.banggood.com/search/.html</v>
      </c>
      <c r="AW57" s="59" t="str">
        <f>IF(Table1[[#This Row],[Other]]&lt;&gt;"","Other","")</f>
        <v/>
      </c>
      <c r="AX57" s="57"/>
      <c r="AY57" s="59"/>
      <c r="AZ57" s="61" t="str">
        <f>IF(Table1[[#This Row],[Other]]="","",IF(Table1[[#This Row],[Destination - Other]]="","",HYPERLINK(Table1[[#This Row],[Destination - Other]],_xlfn.CONCAT("Link ("&amp;Table1[[#This Row],[Other]]&amp;")"))))</f>
        <v/>
      </c>
      <c r="BA57" s="59"/>
      <c r="BB57" s="58" t="str">
        <f>IF(AND( Table1[[#This Row],[Auto Order]]=1,Table1[[#This Row],[Obsolete]]=""),IF(Table1[[#This Row],[In stock]]&lt;Table1[[#This Row],[Min in stock]],1,""),"")</f>
        <v/>
      </c>
      <c r="BC57" s="64"/>
      <c r="BD57" s="66" t="str">
        <f>IF(Table1[[#This Row],[Obsolete]],Table1[[#This Row],[Art. Number]],"")</f>
        <v/>
      </c>
    </row>
    <row r="58" spans="1:56" x14ac:dyDescent="0.25">
      <c r="A58" s="65" t="s">
        <v>2378</v>
      </c>
      <c r="B58" s="57" t="s">
        <v>508</v>
      </c>
      <c r="C58" s="57" t="s">
        <v>97</v>
      </c>
      <c r="D58" s="57" t="s">
        <v>556</v>
      </c>
      <c r="E58" s="57" t="s">
        <v>553</v>
      </c>
      <c r="F58" s="58">
        <v>0</v>
      </c>
      <c r="G58" s="58"/>
      <c r="H58" s="58"/>
      <c r="I5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WM2003-ND</v>
      </c>
      <c r="J5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0.25</v>
      </c>
      <c r="K5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(WM2003-ND)</v>
      </c>
      <c r="M58" s="57" t="s">
        <v>557</v>
      </c>
      <c r="N58" s="59">
        <v>0.25</v>
      </c>
      <c r="O58" s="61" t="str">
        <f>IF(Table1[[#This Row],[Digikey]]="","", HYPERLINK(Table1[[#This Row],[Destination - Digikey]],_xlfn.CONCAT("Link (",Table1[[#This Row],[Digikey]],")")))</f>
        <v>Link (WM2003-ND)</v>
      </c>
      <c r="P58" s="62" t="str">
        <f>_xlfn.CONCAT("https://www.digikey.ch/products/en?keywords=",Table1[[#This Row],[Digikey]])</f>
        <v>https://www.digikey.ch/products/en?keywords=WM2003-ND</v>
      </c>
      <c r="Q58" s="57"/>
      <c r="R58" s="59"/>
      <c r="S58" s="61" t="str">
        <f>IF(Table1[[#This Row],[Farnell]]="","", HYPERLINK(Table1[[#This Row],[Destination - Farnell]],_xlfn.CONCAT("Link (",Table1[[#This Row],[Farnell]],")")))</f>
        <v/>
      </c>
      <c r="T58" s="62" t="str">
        <f>_xlfn.CONCAT("https://ch.farnell.com/fr-CH/",Table1[[#This Row],[Farnell]])</f>
        <v>https://ch.farnell.com/fr-CH/</v>
      </c>
      <c r="U58" s="57"/>
      <c r="V58" s="59"/>
      <c r="W58" s="61" t="str">
        <f>IF(Table1[[#This Row],[Distrelec]]="","", HYPERLINK(Table1[[#This Row],[Destination - Distrelec]],_xlfn.CONCAT("Link (",Table1[[#This Row],[Distrelec]],")")))</f>
        <v/>
      </c>
      <c r="X58" s="62" t="str">
        <f>_xlfn.CONCAT("https://www.distrelec.ch/search?q=",Table1[[#This Row],[Distrelec]])</f>
        <v>https://www.distrelec.ch/search?q=</v>
      </c>
      <c r="Y58" s="57"/>
      <c r="Z58" s="59"/>
      <c r="AA58" s="61" t="str">
        <f>IF(Table1[[#This Row],[Conrad]]="","", HYPERLINK(Table1[[#This Row],[Destination - Conrad]],_xlfn.CONCAT("Link (",Table1[[#This Row],[Conrad]],")")))</f>
        <v/>
      </c>
      <c r="AB58" s="62"/>
      <c r="AC58" s="57"/>
      <c r="AD58" s="59"/>
      <c r="AE58" s="61" t="str">
        <f>IF(Table1[[#This Row],[Mouser]]="","", HYPERLINK(Table1[[#This Row],[Destination - Mouser]],_xlfn.CONCAT("Link (",Table1[[#This Row],[Mouser]],")")))</f>
        <v/>
      </c>
      <c r="AF58" s="62" t="str">
        <f>_xlfn.CONCAT("https://www.mouser.ch/ProductDetail/",Table1[[#This Row],[Mouser]])</f>
        <v>https://www.mouser.ch/ProductDetail/</v>
      </c>
      <c r="AG58" s="57"/>
      <c r="AH58" s="59"/>
      <c r="AI58" s="61" t="str">
        <f>IF(Table1[[#This Row],[Bauhaus]]="","", HYPERLINK(Table1[[#This Row],[Destination - Bauhaus]],_xlfn.CONCAT("Link (",Table1[[#This Row],[Bauhaus]],")")))</f>
        <v/>
      </c>
      <c r="AJ58" s="62" t="str">
        <f>_xlfn.CONCAT("https://www.bauhaus.ch/fr/search?query=",Table1[[#This Row],[Bauhaus]])</f>
        <v>https://www.bauhaus.ch/fr/search?query=</v>
      </c>
      <c r="AK58" s="59"/>
      <c r="AL58" s="59"/>
      <c r="AM58" s="61" t="str">
        <f>IF(Table1[[#This Row],[BricoEtLoisirs]]="","", HYPERLINK(Table1[[#This Row],[Destination - BricoEtLoisirs]],_xlfn.CONCAT("Link (",Table1[[#This Row],[BricoEtLoisirs]],")")))</f>
        <v/>
      </c>
      <c r="AN58" s="62" t="str">
        <f>_xlfn.CONCAT("https://bricoetloisirs.ch/p/",Table1[[#This Row],[BricoEtLoisirs]])</f>
        <v>https://bricoetloisirs.ch/p/</v>
      </c>
      <c r="AO58" s="57"/>
      <c r="AP58" s="59"/>
      <c r="AQ58" s="61" t="str">
        <f>IF(Table1[[#This Row],[Aliexpress]]="","", HYPERLINK(Table1[[#This Row],[Destination - Aliexpress]],_xlfn.CONCAT("Link (",Table1[[#This Row],[Aliexpress]],")")))</f>
        <v/>
      </c>
      <c r="AR58" s="62" t="str">
        <f>_xlfn.CONCAT("https://www.aliexpress.com/item/",Table1[[#This Row],[Aliexpress]],".html")</f>
        <v>https://www.aliexpress.com/item/.html</v>
      </c>
      <c r="AS58" s="57"/>
      <c r="AT58" s="59"/>
      <c r="AU58" s="61" t="str">
        <f>IF(Table1[[#This Row],[Banggood]]="","", HYPERLINK(Table1[[#This Row],[Destination - Banggood]],_xlfn.CONCAT("Link (",Table1[[#This Row],[Banggood]],")")))</f>
        <v/>
      </c>
      <c r="AV58" s="62" t="str">
        <f>_xlfn.CONCAT("https://www.banggood.com/search/",Table1[[#This Row],[Banggood]],".html")</f>
        <v>https://www.banggood.com/search/.html</v>
      </c>
      <c r="AW58" s="59" t="str">
        <f>IF(Table1[[#This Row],[Other]]&lt;&gt;"","Other","")</f>
        <v/>
      </c>
      <c r="AX58" s="57"/>
      <c r="AY58" s="59"/>
      <c r="AZ58" s="61" t="str">
        <f>IF(Table1[[#This Row],[Other]]="","",IF(Table1[[#This Row],[Destination - Other]]="","",HYPERLINK(Table1[[#This Row],[Destination - Other]],_xlfn.CONCAT("Link ("&amp;Table1[[#This Row],[Other]]&amp;")"))))</f>
        <v/>
      </c>
      <c r="BA58" s="59"/>
      <c r="BB58" s="58" t="str">
        <f>IF(AND( Table1[[#This Row],[Auto Order]]=1,Table1[[#This Row],[Obsolete]]=""),IF(Table1[[#This Row],[In stock]]&lt;Table1[[#This Row],[Min in stock]],1,""),"")</f>
        <v/>
      </c>
      <c r="BC58" s="64"/>
      <c r="BD58" s="66" t="str">
        <f>IF(Table1[[#This Row],[Obsolete]],Table1[[#This Row],[Art. Number]],"")</f>
        <v/>
      </c>
    </row>
    <row r="59" spans="1:56" x14ac:dyDescent="0.25">
      <c r="A59" s="65" t="s">
        <v>2379</v>
      </c>
      <c r="B59" s="57" t="s">
        <v>508</v>
      </c>
      <c r="C59" s="57" t="s">
        <v>97</v>
      </c>
      <c r="D59" s="57" t="s">
        <v>559</v>
      </c>
      <c r="E59" s="57" t="s">
        <v>553</v>
      </c>
      <c r="F59" s="58">
        <v>0</v>
      </c>
      <c r="G59" s="58"/>
      <c r="H59" s="58"/>
      <c r="I5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WM2004-ND</v>
      </c>
      <c r="J5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0.28000000000000003</v>
      </c>
      <c r="K5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5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(WM2004-ND)</v>
      </c>
      <c r="M59" s="57" t="s">
        <v>560</v>
      </c>
      <c r="N59" s="59">
        <v>0.28000000000000003</v>
      </c>
      <c r="O59" s="61" t="str">
        <f>IF(Table1[[#This Row],[Digikey]]="","", HYPERLINK(Table1[[#This Row],[Destination - Digikey]],_xlfn.CONCAT("Link (",Table1[[#This Row],[Digikey]],")")))</f>
        <v>Link (WM2004-ND)</v>
      </c>
      <c r="P59" s="62" t="str">
        <f>_xlfn.CONCAT("https://www.digikey.ch/products/en?keywords=",Table1[[#This Row],[Digikey]])</f>
        <v>https://www.digikey.ch/products/en?keywords=WM2004-ND</v>
      </c>
      <c r="Q59" s="57"/>
      <c r="R59" s="59"/>
      <c r="S59" s="61" t="str">
        <f>IF(Table1[[#This Row],[Farnell]]="","", HYPERLINK(Table1[[#This Row],[Destination - Farnell]],_xlfn.CONCAT("Link (",Table1[[#This Row],[Farnell]],")")))</f>
        <v/>
      </c>
      <c r="T59" s="62" t="str">
        <f>_xlfn.CONCAT("https://ch.farnell.com/fr-CH/",Table1[[#This Row],[Farnell]])</f>
        <v>https://ch.farnell.com/fr-CH/</v>
      </c>
      <c r="U59" s="57"/>
      <c r="V59" s="59"/>
      <c r="W59" s="61" t="str">
        <f>IF(Table1[[#This Row],[Distrelec]]="","", HYPERLINK(Table1[[#This Row],[Destination - Distrelec]],_xlfn.CONCAT("Link (",Table1[[#This Row],[Distrelec]],")")))</f>
        <v/>
      </c>
      <c r="X59" s="62" t="str">
        <f>_xlfn.CONCAT("https://www.distrelec.ch/search?q=",Table1[[#This Row],[Distrelec]])</f>
        <v>https://www.distrelec.ch/search?q=</v>
      </c>
      <c r="Y59" s="57"/>
      <c r="Z59" s="59"/>
      <c r="AA59" s="61" t="str">
        <f>IF(Table1[[#This Row],[Conrad]]="","", HYPERLINK(Table1[[#This Row],[Destination - Conrad]],_xlfn.CONCAT("Link (",Table1[[#This Row],[Conrad]],")")))</f>
        <v/>
      </c>
      <c r="AB59" s="62"/>
      <c r="AC59" s="57"/>
      <c r="AD59" s="59"/>
      <c r="AE59" s="61" t="str">
        <f>IF(Table1[[#This Row],[Mouser]]="","", HYPERLINK(Table1[[#This Row],[Destination - Mouser]],_xlfn.CONCAT("Link (",Table1[[#This Row],[Mouser]],")")))</f>
        <v/>
      </c>
      <c r="AF59" s="62" t="str">
        <f>_xlfn.CONCAT("https://www.mouser.ch/ProductDetail/",Table1[[#This Row],[Mouser]])</f>
        <v>https://www.mouser.ch/ProductDetail/</v>
      </c>
      <c r="AG59" s="57"/>
      <c r="AH59" s="59"/>
      <c r="AI59" s="61" t="str">
        <f>IF(Table1[[#This Row],[Bauhaus]]="","", HYPERLINK(Table1[[#This Row],[Destination - Bauhaus]],_xlfn.CONCAT("Link (",Table1[[#This Row],[Bauhaus]],")")))</f>
        <v/>
      </c>
      <c r="AJ59" s="62" t="str">
        <f>_xlfn.CONCAT("https://www.bauhaus.ch/fr/search?query=",Table1[[#This Row],[Bauhaus]])</f>
        <v>https://www.bauhaus.ch/fr/search?query=</v>
      </c>
      <c r="AK59" s="59"/>
      <c r="AL59" s="59"/>
      <c r="AM59" s="61" t="str">
        <f>IF(Table1[[#This Row],[BricoEtLoisirs]]="","", HYPERLINK(Table1[[#This Row],[Destination - BricoEtLoisirs]],_xlfn.CONCAT("Link (",Table1[[#This Row],[BricoEtLoisirs]],")")))</f>
        <v/>
      </c>
      <c r="AN59" s="62" t="str">
        <f>_xlfn.CONCAT("https://bricoetloisirs.ch/p/",Table1[[#This Row],[BricoEtLoisirs]])</f>
        <v>https://bricoetloisirs.ch/p/</v>
      </c>
      <c r="AO59" s="57"/>
      <c r="AP59" s="59"/>
      <c r="AQ59" s="61" t="str">
        <f>IF(Table1[[#This Row],[Aliexpress]]="","", HYPERLINK(Table1[[#This Row],[Destination - Aliexpress]],_xlfn.CONCAT("Link (",Table1[[#This Row],[Aliexpress]],")")))</f>
        <v/>
      </c>
      <c r="AR59" s="62" t="str">
        <f>_xlfn.CONCAT("https://www.aliexpress.com/item/",Table1[[#This Row],[Aliexpress]],".html")</f>
        <v>https://www.aliexpress.com/item/.html</v>
      </c>
      <c r="AS59" s="57"/>
      <c r="AT59" s="59"/>
      <c r="AU59" s="61" t="str">
        <f>IF(Table1[[#This Row],[Banggood]]="","", HYPERLINK(Table1[[#This Row],[Destination - Banggood]],_xlfn.CONCAT("Link (",Table1[[#This Row],[Banggood]],")")))</f>
        <v/>
      </c>
      <c r="AV59" s="62" t="str">
        <f>_xlfn.CONCAT("https://www.banggood.com/search/",Table1[[#This Row],[Banggood]],".html")</f>
        <v>https://www.banggood.com/search/.html</v>
      </c>
      <c r="AW59" s="59" t="str">
        <f>IF(Table1[[#This Row],[Other]]&lt;&gt;"","Other","")</f>
        <v/>
      </c>
      <c r="AX59" s="57"/>
      <c r="AY59" s="59"/>
      <c r="AZ59" s="61" t="str">
        <f>IF(Table1[[#This Row],[Other]]="","",IF(Table1[[#This Row],[Destination - Other]]="","",HYPERLINK(Table1[[#This Row],[Destination - Other]],_xlfn.CONCAT("Link ("&amp;Table1[[#This Row],[Other]]&amp;")"))))</f>
        <v/>
      </c>
      <c r="BA59" s="59"/>
      <c r="BB59" s="58" t="str">
        <f>IF(AND( Table1[[#This Row],[Auto Order]]=1,Table1[[#This Row],[Obsolete]]=""),IF(Table1[[#This Row],[In stock]]&lt;Table1[[#This Row],[Min in stock]],1,""),"")</f>
        <v/>
      </c>
      <c r="BC59" s="64"/>
      <c r="BD59" s="66" t="str">
        <f>IF(Table1[[#This Row],[Obsolete]],Table1[[#This Row],[Art. Number]],"")</f>
        <v/>
      </c>
    </row>
    <row r="60" spans="1:56" x14ac:dyDescent="0.25">
      <c r="A60" s="65" t="s">
        <v>2380</v>
      </c>
      <c r="B60" s="57" t="s">
        <v>508</v>
      </c>
      <c r="C60" s="57" t="s">
        <v>97</v>
      </c>
      <c r="D60" s="57" t="s">
        <v>562</v>
      </c>
      <c r="E60" s="57" t="s">
        <v>553</v>
      </c>
      <c r="F60" s="58">
        <v>0</v>
      </c>
      <c r="G60" s="58"/>
      <c r="H60" s="58"/>
      <c r="I6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WM2005-ND</v>
      </c>
      <c r="J6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0.33</v>
      </c>
      <c r="K6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(WM2005-ND)</v>
      </c>
      <c r="M60" s="57" t="s">
        <v>563</v>
      </c>
      <c r="N60" s="59">
        <v>0.33</v>
      </c>
      <c r="O60" s="61" t="str">
        <f>IF(Table1[[#This Row],[Digikey]]="","", HYPERLINK(Table1[[#This Row],[Destination - Digikey]],_xlfn.CONCAT("Link (",Table1[[#This Row],[Digikey]],")")))</f>
        <v>Link (WM2005-ND)</v>
      </c>
      <c r="P60" s="62" t="str">
        <f>_xlfn.CONCAT("https://www.digikey.ch/products/en?keywords=",Table1[[#This Row],[Digikey]])</f>
        <v>https://www.digikey.ch/products/en?keywords=WM2005-ND</v>
      </c>
      <c r="Q60" s="57"/>
      <c r="R60" s="59"/>
      <c r="S60" s="61" t="str">
        <f>IF(Table1[[#This Row],[Farnell]]="","", HYPERLINK(Table1[[#This Row],[Destination - Farnell]],_xlfn.CONCAT("Link (",Table1[[#This Row],[Farnell]],")")))</f>
        <v/>
      </c>
      <c r="T60" s="62" t="str">
        <f>_xlfn.CONCAT("https://ch.farnell.com/fr-CH/",Table1[[#This Row],[Farnell]])</f>
        <v>https://ch.farnell.com/fr-CH/</v>
      </c>
      <c r="U60" s="57"/>
      <c r="V60" s="59"/>
      <c r="W60" s="61" t="str">
        <f>IF(Table1[[#This Row],[Distrelec]]="","", HYPERLINK(Table1[[#This Row],[Destination - Distrelec]],_xlfn.CONCAT("Link (",Table1[[#This Row],[Distrelec]],")")))</f>
        <v/>
      </c>
      <c r="X60" s="62" t="str">
        <f>_xlfn.CONCAT("https://www.distrelec.ch/search?q=",Table1[[#This Row],[Distrelec]])</f>
        <v>https://www.distrelec.ch/search?q=</v>
      </c>
      <c r="Y60" s="57"/>
      <c r="Z60" s="59"/>
      <c r="AA60" s="61" t="str">
        <f>IF(Table1[[#This Row],[Conrad]]="","", HYPERLINK(Table1[[#This Row],[Destination - Conrad]],_xlfn.CONCAT("Link (",Table1[[#This Row],[Conrad]],")")))</f>
        <v/>
      </c>
      <c r="AB60" s="62"/>
      <c r="AC60" s="57"/>
      <c r="AD60" s="59"/>
      <c r="AE60" s="61" t="str">
        <f>IF(Table1[[#This Row],[Mouser]]="","", HYPERLINK(Table1[[#This Row],[Destination - Mouser]],_xlfn.CONCAT("Link (",Table1[[#This Row],[Mouser]],")")))</f>
        <v/>
      </c>
      <c r="AF60" s="62" t="str">
        <f>_xlfn.CONCAT("https://www.mouser.ch/ProductDetail/",Table1[[#This Row],[Mouser]])</f>
        <v>https://www.mouser.ch/ProductDetail/</v>
      </c>
      <c r="AG60" s="57"/>
      <c r="AH60" s="59"/>
      <c r="AI60" s="61" t="str">
        <f>IF(Table1[[#This Row],[Bauhaus]]="","", HYPERLINK(Table1[[#This Row],[Destination - Bauhaus]],_xlfn.CONCAT("Link (",Table1[[#This Row],[Bauhaus]],")")))</f>
        <v/>
      </c>
      <c r="AJ60" s="62" t="str">
        <f>_xlfn.CONCAT("https://www.bauhaus.ch/fr/search?query=",Table1[[#This Row],[Bauhaus]])</f>
        <v>https://www.bauhaus.ch/fr/search?query=</v>
      </c>
      <c r="AK60" s="59"/>
      <c r="AL60" s="59"/>
      <c r="AM60" s="61" t="str">
        <f>IF(Table1[[#This Row],[BricoEtLoisirs]]="","", HYPERLINK(Table1[[#This Row],[Destination - BricoEtLoisirs]],_xlfn.CONCAT("Link (",Table1[[#This Row],[BricoEtLoisirs]],")")))</f>
        <v/>
      </c>
      <c r="AN60" s="62" t="str">
        <f>_xlfn.CONCAT("https://bricoetloisirs.ch/p/",Table1[[#This Row],[BricoEtLoisirs]])</f>
        <v>https://bricoetloisirs.ch/p/</v>
      </c>
      <c r="AO60" s="57"/>
      <c r="AP60" s="59"/>
      <c r="AQ60" s="61" t="str">
        <f>IF(Table1[[#This Row],[Aliexpress]]="","", HYPERLINK(Table1[[#This Row],[Destination - Aliexpress]],_xlfn.CONCAT("Link (",Table1[[#This Row],[Aliexpress]],")")))</f>
        <v/>
      </c>
      <c r="AR60" s="62" t="str">
        <f>_xlfn.CONCAT("https://www.aliexpress.com/item/",Table1[[#This Row],[Aliexpress]],".html")</f>
        <v>https://www.aliexpress.com/item/.html</v>
      </c>
      <c r="AS60" s="57"/>
      <c r="AT60" s="59"/>
      <c r="AU60" s="61" t="str">
        <f>IF(Table1[[#This Row],[Banggood]]="","", HYPERLINK(Table1[[#This Row],[Destination - Banggood]],_xlfn.CONCAT("Link (",Table1[[#This Row],[Banggood]],")")))</f>
        <v/>
      </c>
      <c r="AV60" s="62" t="str">
        <f>_xlfn.CONCAT("https://www.banggood.com/search/",Table1[[#This Row],[Banggood]],".html")</f>
        <v>https://www.banggood.com/search/.html</v>
      </c>
      <c r="AW60" s="59" t="str">
        <f>IF(Table1[[#This Row],[Other]]&lt;&gt;"","Other","")</f>
        <v/>
      </c>
      <c r="AX60" s="57"/>
      <c r="AY60" s="59"/>
      <c r="AZ60" s="61" t="str">
        <f>IF(Table1[[#This Row],[Other]]="","",IF(Table1[[#This Row],[Destination - Other]]="","",HYPERLINK(Table1[[#This Row],[Destination - Other]],_xlfn.CONCAT("Link ("&amp;Table1[[#This Row],[Other]]&amp;")"))))</f>
        <v/>
      </c>
      <c r="BA60" s="59"/>
      <c r="BB60" s="58" t="str">
        <f>IF(AND( Table1[[#This Row],[Auto Order]]=1,Table1[[#This Row],[Obsolete]]=""),IF(Table1[[#This Row],[In stock]]&lt;Table1[[#This Row],[Min in stock]],1,""),"")</f>
        <v/>
      </c>
      <c r="BC60" s="64"/>
      <c r="BD60" s="66" t="str">
        <f>IF(Table1[[#This Row],[Obsolete]],Table1[[#This Row],[Art. Number]],"")</f>
        <v/>
      </c>
    </row>
    <row r="61" spans="1:56" x14ac:dyDescent="0.25">
      <c r="A61" s="65" t="s">
        <v>2381</v>
      </c>
      <c r="B61" s="57" t="s">
        <v>508</v>
      </c>
      <c r="C61" s="57" t="s">
        <v>97</v>
      </c>
      <c r="D61" s="57" t="s">
        <v>565</v>
      </c>
      <c r="E61" s="57" t="s">
        <v>553</v>
      </c>
      <c r="F61" s="58">
        <v>0</v>
      </c>
      <c r="G61" s="58"/>
      <c r="H61" s="58"/>
      <c r="I6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WM2006-ND</v>
      </c>
      <c r="J6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0.38</v>
      </c>
      <c r="K6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(WM2006-ND)</v>
      </c>
      <c r="M61" s="57" t="s">
        <v>566</v>
      </c>
      <c r="N61" s="59">
        <v>0.38</v>
      </c>
      <c r="O61" s="61" t="str">
        <f>IF(Table1[[#This Row],[Digikey]]="","", HYPERLINK(Table1[[#This Row],[Destination - Digikey]],_xlfn.CONCAT("Link (",Table1[[#This Row],[Digikey]],")")))</f>
        <v>Link (WM2006-ND)</v>
      </c>
      <c r="P61" s="62" t="str">
        <f>_xlfn.CONCAT("https://www.digikey.ch/products/en?keywords=",Table1[[#This Row],[Digikey]])</f>
        <v>https://www.digikey.ch/products/en?keywords=WM2006-ND</v>
      </c>
      <c r="Q61" s="57"/>
      <c r="R61" s="59"/>
      <c r="S61" s="61" t="str">
        <f>IF(Table1[[#This Row],[Farnell]]="","", HYPERLINK(Table1[[#This Row],[Destination - Farnell]],_xlfn.CONCAT("Link (",Table1[[#This Row],[Farnell]],")")))</f>
        <v/>
      </c>
      <c r="T61" s="62" t="str">
        <f>_xlfn.CONCAT("https://ch.farnell.com/fr-CH/",Table1[[#This Row],[Farnell]])</f>
        <v>https://ch.farnell.com/fr-CH/</v>
      </c>
      <c r="U61" s="57"/>
      <c r="V61" s="59"/>
      <c r="W61" s="61" t="str">
        <f>IF(Table1[[#This Row],[Distrelec]]="","", HYPERLINK(Table1[[#This Row],[Destination - Distrelec]],_xlfn.CONCAT("Link (",Table1[[#This Row],[Distrelec]],")")))</f>
        <v/>
      </c>
      <c r="X61" s="62" t="str">
        <f>_xlfn.CONCAT("https://www.distrelec.ch/search?q=",Table1[[#This Row],[Distrelec]])</f>
        <v>https://www.distrelec.ch/search?q=</v>
      </c>
      <c r="Y61" s="57"/>
      <c r="Z61" s="59"/>
      <c r="AA61" s="61" t="str">
        <f>IF(Table1[[#This Row],[Conrad]]="","", HYPERLINK(Table1[[#This Row],[Destination - Conrad]],_xlfn.CONCAT("Link (",Table1[[#This Row],[Conrad]],")")))</f>
        <v/>
      </c>
      <c r="AB61" s="62"/>
      <c r="AC61" s="57"/>
      <c r="AD61" s="59"/>
      <c r="AE61" s="61" t="str">
        <f>IF(Table1[[#This Row],[Mouser]]="","", HYPERLINK(Table1[[#This Row],[Destination - Mouser]],_xlfn.CONCAT("Link (",Table1[[#This Row],[Mouser]],")")))</f>
        <v/>
      </c>
      <c r="AF61" s="62" t="str">
        <f>_xlfn.CONCAT("https://www.mouser.ch/ProductDetail/",Table1[[#This Row],[Mouser]])</f>
        <v>https://www.mouser.ch/ProductDetail/</v>
      </c>
      <c r="AG61" s="57"/>
      <c r="AH61" s="59"/>
      <c r="AI61" s="61" t="str">
        <f>IF(Table1[[#This Row],[Bauhaus]]="","", HYPERLINK(Table1[[#This Row],[Destination - Bauhaus]],_xlfn.CONCAT("Link (",Table1[[#This Row],[Bauhaus]],")")))</f>
        <v/>
      </c>
      <c r="AJ61" s="62" t="str">
        <f>_xlfn.CONCAT("https://www.bauhaus.ch/fr/search?query=",Table1[[#This Row],[Bauhaus]])</f>
        <v>https://www.bauhaus.ch/fr/search?query=</v>
      </c>
      <c r="AK61" s="59"/>
      <c r="AL61" s="59"/>
      <c r="AM61" s="61" t="str">
        <f>IF(Table1[[#This Row],[BricoEtLoisirs]]="","", HYPERLINK(Table1[[#This Row],[Destination - BricoEtLoisirs]],_xlfn.CONCAT("Link (",Table1[[#This Row],[BricoEtLoisirs]],")")))</f>
        <v/>
      </c>
      <c r="AN61" s="62" t="str">
        <f>_xlfn.CONCAT("https://bricoetloisirs.ch/p/",Table1[[#This Row],[BricoEtLoisirs]])</f>
        <v>https://bricoetloisirs.ch/p/</v>
      </c>
      <c r="AO61" s="57"/>
      <c r="AP61" s="59"/>
      <c r="AQ61" s="61" t="str">
        <f>IF(Table1[[#This Row],[Aliexpress]]="","", HYPERLINK(Table1[[#This Row],[Destination - Aliexpress]],_xlfn.CONCAT("Link (",Table1[[#This Row],[Aliexpress]],")")))</f>
        <v/>
      </c>
      <c r="AR61" s="62" t="str">
        <f>_xlfn.CONCAT("https://www.aliexpress.com/item/",Table1[[#This Row],[Aliexpress]],".html")</f>
        <v>https://www.aliexpress.com/item/.html</v>
      </c>
      <c r="AS61" s="57"/>
      <c r="AT61" s="59"/>
      <c r="AU61" s="61" t="str">
        <f>IF(Table1[[#This Row],[Banggood]]="","", HYPERLINK(Table1[[#This Row],[Destination - Banggood]],_xlfn.CONCAT("Link (",Table1[[#This Row],[Banggood]],")")))</f>
        <v/>
      </c>
      <c r="AV61" s="62" t="str">
        <f>_xlfn.CONCAT("https://www.banggood.com/search/",Table1[[#This Row],[Banggood]],".html")</f>
        <v>https://www.banggood.com/search/.html</v>
      </c>
      <c r="AW61" s="59" t="str">
        <f>IF(Table1[[#This Row],[Other]]&lt;&gt;"","Other","")</f>
        <v/>
      </c>
      <c r="AX61" s="57"/>
      <c r="AY61" s="59"/>
      <c r="AZ61" s="61" t="str">
        <f>IF(Table1[[#This Row],[Other]]="","",IF(Table1[[#This Row],[Destination - Other]]="","",HYPERLINK(Table1[[#This Row],[Destination - Other]],_xlfn.CONCAT("Link ("&amp;Table1[[#This Row],[Other]]&amp;")"))))</f>
        <v/>
      </c>
      <c r="BA61" s="59"/>
      <c r="BB61" s="58" t="str">
        <f>IF(AND( Table1[[#This Row],[Auto Order]]=1,Table1[[#This Row],[Obsolete]]=""),IF(Table1[[#This Row],[In stock]]&lt;Table1[[#This Row],[Min in stock]],1,""),"")</f>
        <v/>
      </c>
      <c r="BC61" s="64"/>
      <c r="BD61" s="66" t="str">
        <f>IF(Table1[[#This Row],[Obsolete]],Table1[[#This Row],[Art. Number]],"")</f>
        <v/>
      </c>
    </row>
    <row r="62" spans="1:56" x14ac:dyDescent="0.25">
      <c r="A62" s="65" t="s">
        <v>2382</v>
      </c>
      <c r="B62" s="57" t="s">
        <v>508</v>
      </c>
      <c r="C62" s="57" t="s">
        <v>97</v>
      </c>
      <c r="D62" s="57" t="s">
        <v>568</v>
      </c>
      <c r="E62" s="57" t="s">
        <v>553</v>
      </c>
      <c r="F62" s="58">
        <v>0</v>
      </c>
      <c r="G62" s="58"/>
      <c r="H62" s="58"/>
      <c r="I6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WM2007-ND</v>
      </c>
      <c r="J6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0.42</v>
      </c>
      <c r="K6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(WM2007-ND)</v>
      </c>
      <c r="M62" s="57" t="s">
        <v>569</v>
      </c>
      <c r="N62" s="59">
        <v>0.42</v>
      </c>
      <c r="O62" s="61" t="str">
        <f>IF(Table1[[#This Row],[Digikey]]="","", HYPERLINK(Table1[[#This Row],[Destination - Digikey]],_xlfn.CONCAT("Link (",Table1[[#This Row],[Digikey]],")")))</f>
        <v>Link (WM2007-ND)</v>
      </c>
      <c r="P62" s="62" t="str">
        <f>_xlfn.CONCAT("https://www.digikey.ch/products/en?keywords=",Table1[[#This Row],[Digikey]])</f>
        <v>https://www.digikey.ch/products/en?keywords=WM2007-ND</v>
      </c>
      <c r="Q62" s="57"/>
      <c r="R62" s="59"/>
      <c r="S62" s="61" t="str">
        <f>IF(Table1[[#This Row],[Farnell]]="","", HYPERLINK(Table1[[#This Row],[Destination - Farnell]],_xlfn.CONCAT("Link (",Table1[[#This Row],[Farnell]],")")))</f>
        <v/>
      </c>
      <c r="T62" s="62" t="str">
        <f>_xlfn.CONCAT("https://ch.farnell.com/fr-CH/",Table1[[#This Row],[Farnell]])</f>
        <v>https://ch.farnell.com/fr-CH/</v>
      </c>
      <c r="U62" s="57"/>
      <c r="V62" s="59"/>
      <c r="W62" s="61" t="str">
        <f>IF(Table1[[#This Row],[Distrelec]]="","", HYPERLINK(Table1[[#This Row],[Destination - Distrelec]],_xlfn.CONCAT("Link (",Table1[[#This Row],[Distrelec]],")")))</f>
        <v/>
      </c>
      <c r="X62" s="62" t="str">
        <f>_xlfn.CONCAT("https://www.distrelec.ch/search?q=",Table1[[#This Row],[Distrelec]])</f>
        <v>https://www.distrelec.ch/search?q=</v>
      </c>
      <c r="Y62" s="57"/>
      <c r="Z62" s="59"/>
      <c r="AA62" s="61" t="str">
        <f>IF(Table1[[#This Row],[Conrad]]="","", HYPERLINK(Table1[[#This Row],[Destination - Conrad]],_xlfn.CONCAT("Link (",Table1[[#This Row],[Conrad]],")")))</f>
        <v/>
      </c>
      <c r="AB62" s="62"/>
      <c r="AC62" s="57"/>
      <c r="AD62" s="59"/>
      <c r="AE62" s="61" t="str">
        <f>IF(Table1[[#This Row],[Mouser]]="","", HYPERLINK(Table1[[#This Row],[Destination - Mouser]],_xlfn.CONCAT("Link (",Table1[[#This Row],[Mouser]],")")))</f>
        <v/>
      </c>
      <c r="AF62" s="62" t="str">
        <f>_xlfn.CONCAT("https://www.mouser.ch/ProductDetail/",Table1[[#This Row],[Mouser]])</f>
        <v>https://www.mouser.ch/ProductDetail/</v>
      </c>
      <c r="AG62" s="57"/>
      <c r="AH62" s="59"/>
      <c r="AI62" s="61" t="str">
        <f>IF(Table1[[#This Row],[Bauhaus]]="","", HYPERLINK(Table1[[#This Row],[Destination - Bauhaus]],_xlfn.CONCAT("Link (",Table1[[#This Row],[Bauhaus]],")")))</f>
        <v/>
      </c>
      <c r="AJ62" s="62" t="str">
        <f>_xlfn.CONCAT("https://www.bauhaus.ch/fr/search?query=",Table1[[#This Row],[Bauhaus]])</f>
        <v>https://www.bauhaus.ch/fr/search?query=</v>
      </c>
      <c r="AK62" s="59"/>
      <c r="AL62" s="59"/>
      <c r="AM62" s="61" t="str">
        <f>IF(Table1[[#This Row],[BricoEtLoisirs]]="","", HYPERLINK(Table1[[#This Row],[Destination - BricoEtLoisirs]],_xlfn.CONCAT("Link (",Table1[[#This Row],[BricoEtLoisirs]],")")))</f>
        <v/>
      </c>
      <c r="AN62" s="62" t="str">
        <f>_xlfn.CONCAT("https://bricoetloisirs.ch/p/",Table1[[#This Row],[BricoEtLoisirs]])</f>
        <v>https://bricoetloisirs.ch/p/</v>
      </c>
      <c r="AO62" s="57"/>
      <c r="AP62" s="59"/>
      <c r="AQ62" s="61" t="str">
        <f>IF(Table1[[#This Row],[Aliexpress]]="","", HYPERLINK(Table1[[#This Row],[Destination - Aliexpress]],_xlfn.CONCAT("Link (",Table1[[#This Row],[Aliexpress]],")")))</f>
        <v/>
      </c>
      <c r="AR62" s="62" t="str">
        <f>_xlfn.CONCAT("https://www.aliexpress.com/item/",Table1[[#This Row],[Aliexpress]],".html")</f>
        <v>https://www.aliexpress.com/item/.html</v>
      </c>
      <c r="AS62" s="57"/>
      <c r="AT62" s="59"/>
      <c r="AU62" s="61" t="str">
        <f>IF(Table1[[#This Row],[Banggood]]="","", HYPERLINK(Table1[[#This Row],[Destination - Banggood]],_xlfn.CONCAT("Link (",Table1[[#This Row],[Banggood]],")")))</f>
        <v/>
      </c>
      <c r="AV62" s="62" t="str">
        <f>_xlfn.CONCAT("https://www.banggood.com/search/",Table1[[#This Row],[Banggood]],".html")</f>
        <v>https://www.banggood.com/search/.html</v>
      </c>
      <c r="AW62" s="59" t="str">
        <f>IF(Table1[[#This Row],[Other]]&lt;&gt;"","Other","")</f>
        <v/>
      </c>
      <c r="AX62" s="57"/>
      <c r="AY62" s="59"/>
      <c r="AZ62" s="61" t="str">
        <f>IF(Table1[[#This Row],[Other]]="","",IF(Table1[[#This Row],[Destination - Other]]="","",HYPERLINK(Table1[[#This Row],[Destination - Other]],_xlfn.CONCAT("Link ("&amp;Table1[[#This Row],[Other]]&amp;")"))))</f>
        <v/>
      </c>
      <c r="BA62" s="59"/>
      <c r="BB62" s="58" t="str">
        <f>IF(AND( Table1[[#This Row],[Auto Order]]=1,Table1[[#This Row],[Obsolete]]=""),IF(Table1[[#This Row],[In stock]]&lt;Table1[[#This Row],[Min in stock]],1,""),"")</f>
        <v/>
      </c>
      <c r="BC62" s="64"/>
      <c r="BD62" s="66" t="str">
        <f>IF(Table1[[#This Row],[Obsolete]],Table1[[#This Row],[Art. Number]],"")</f>
        <v/>
      </c>
    </row>
    <row r="63" spans="1:56" x14ac:dyDescent="0.25">
      <c r="A63" s="65" t="s">
        <v>2383</v>
      </c>
      <c r="B63" s="57" t="s">
        <v>508</v>
      </c>
      <c r="C63" s="57" t="s">
        <v>97</v>
      </c>
      <c r="D63" s="57" t="s">
        <v>571</v>
      </c>
      <c r="E63" s="57" t="s">
        <v>553</v>
      </c>
      <c r="F63" s="58">
        <v>0</v>
      </c>
      <c r="G63" s="58"/>
      <c r="H63" s="58"/>
      <c r="I6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WM2008-ND</v>
      </c>
      <c r="J6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0.41</v>
      </c>
      <c r="K6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(WM2008-ND)</v>
      </c>
      <c r="M63" s="57" t="s">
        <v>572</v>
      </c>
      <c r="N63" s="59">
        <v>0.41</v>
      </c>
      <c r="O63" s="61" t="str">
        <f>IF(Table1[[#This Row],[Digikey]]="","", HYPERLINK(Table1[[#This Row],[Destination - Digikey]],_xlfn.CONCAT("Link (",Table1[[#This Row],[Digikey]],")")))</f>
        <v>Link (WM2008-ND)</v>
      </c>
      <c r="P63" s="62" t="str">
        <f>_xlfn.CONCAT("https://www.digikey.ch/products/en?keywords=",Table1[[#This Row],[Digikey]])</f>
        <v>https://www.digikey.ch/products/en?keywords=WM2008-ND</v>
      </c>
      <c r="Q63" s="57"/>
      <c r="R63" s="59"/>
      <c r="S63" s="61" t="str">
        <f>IF(Table1[[#This Row],[Farnell]]="","", HYPERLINK(Table1[[#This Row],[Destination - Farnell]],_xlfn.CONCAT("Link (",Table1[[#This Row],[Farnell]],")")))</f>
        <v/>
      </c>
      <c r="T63" s="62" t="str">
        <f>_xlfn.CONCAT("https://ch.farnell.com/fr-CH/",Table1[[#This Row],[Farnell]])</f>
        <v>https://ch.farnell.com/fr-CH/</v>
      </c>
      <c r="U63" s="57"/>
      <c r="V63" s="59"/>
      <c r="W63" s="61" t="str">
        <f>IF(Table1[[#This Row],[Distrelec]]="","", HYPERLINK(Table1[[#This Row],[Destination - Distrelec]],_xlfn.CONCAT("Link (",Table1[[#This Row],[Distrelec]],")")))</f>
        <v/>
      </c>
      <c r="X63" s="62" t="str">
        <f>_xlfn.CONCAT("https://www.distrelec.ch/search?q=",Table1[[#This Row],[Distrelec]])</f>
        <v>https://www.distrelec.ch/search?q=</v>
      </c>
      <c r="Y63" s="57"/>
      <c r="Z63" s="59"/>
      <c r="AA63" s="61" t="str">
        <f>IF(Table1[[#This Row],[Conrad]]="","", HYPERLINK(Table1[[#This Row],[Destination - Conrad]],_xlfn.CONCAT("Link (",Table1[[#This Row],[Conrad]],")")))</f>
        <v/>
      </c>
      <c r="AB63" s="62"/>
      <c r="AC63" s="57"/>
      <c r="AD63" s="59"/>
      <c r="AE63" s="61" t="str">
        <f>IF(Table1[[#This Row],[Mouser]]="","", HYPERLINK(Table1[[#This Row],[Destination - Mouser]],_xlfn.CONCAT("Link (",Table1[[#This Row],[Mouser]],")")))</f>
        <v/>
      </c>
      <c r="AF63" s="62" t="str">
        <f>_xlfn.CONCAT("https://www.mouser.ch/ProductDetail/",Table1[[#This Row],[Mouser]])</f>
        <v>https://www.mouser.ch/ProductDetail/</v>
      </c>
      <c r="AG63" s="57"/>
      <c r="AH63" s="59"/>
      <c r="AI63" s="61" t="str">
        <f>IF(Table1[[#This Row],[Bauhaus]]="","", HYPERLINK(Table1[[#This Row],[Destination - Bauhaus]],_xlfn.CONCAT("Link (",Table1[[#This Row],[Bauhaus]],")")))</f>
        <v/>
      </c>
      <c r="AJ63" s="62" t="str">
        <f>_xlfn.CONCAT("https://www.bauhaus.ch/fr/search?query=",Table1[[#This Row],[Bauhaus]])</f>
        <v>https://www.bauhaus.ch/fr/search?query=</v>
      </c>
      <c r="AK63" s="59"/>
      <c r="AL63" s="59"/>
      <c r="AM63" s="61" t="str">
        <f>IF(Table1[[#This Row],[BricoEtLoisirs]]="","", HYPERLINK(Table1[[#This Row],[Destination - BricoEtLoisirs]],_xlfn.CONCAT("Link (",Table1[[#This Row],[BricoEtLoisirs]],")")))</f>
        <v/>
      </c>
      <c r="AN63" s="62" t="str">
        <f>_xlfn.CONCAT("https://bricoetloisirs.ch/p/",Table1[[#This Row],[BricoEtLoisirs]])</f>
        <v>https://bricoetloisirs.ch/p/</v>
      </c>
      <c r="AO63" s="57"/>
      <c r="AP63" s="59"/>
      <c r="AQ63" s="61" t="str">
        <f>IF(Table1[[#This Row],[Aliexpress]]="","", HYPERLINK(Table1[[#This Row],[Destination - Aliexpress]],_xlfn.CONCAT("Link (",Table1[[#This Row],[Aliexpress]],")")))</f>
        <v/>
      </c>
      <c r="AR63" s="62" t="str">
        <f>_xlfn.CONCAT("https://www.aliexpress.com/item/",Table1[[#This Row],[Aliexpress]],".html")</f>
        <v>https://www.aliexpress.com/item/.html</v>
      </c>
      <c r="AS63" s="57"/>
      <c r="AT63" s="59"/>
      <c r="AU63" s="61" t="str">
        <f>IF(Table1[[#This Row],[Banggood]]="","", HYPERLINK(Table1[[#This Row],[Destination - Banggood]],_xlfn.CONCAT("Link (",Table1[[#This Row],[Banggood]],")")))</f>
        <v/>
      </c>
      <c r="AV63" s="62" t="str">
        <f>_xlfn.CONCAT("https://www.banggood.com/search/",Table1[[#This Row],[Banggood]],".html")</f>
        <v>https://www.banggood.com/search/.html</v>
      </c>
      <c r="AW63" s="59" t="str">
        <f>IF(Table1[[#This Row],[Other]]&lt;&gt;"","Other","")</f>
        <v/>
      </c>
      <c r="AX63" s="57"/>
      <c r="AY63" s="59"/>
      <c r="AZ63" s="61" t="str">
        <f>IF(Table1[[#This Row],[Other]]="","",IF(Table1[[#This Row],[Destination - Other]]="","",HYPERLINK(Table1[[#This Row],[Destination - Other]],_xlfn.CONCAT("Link ("&amp;Table1[[#This Row],[Other]]&amp;")"))))</f>
        <v/>
      </c>
      <c r="BA63" s="59"/>
      <c r="BB63" s="58" t="str">
        <f>IF(AND( Table1[[#This Row],[Auto Order]]=1,Table1[[#This Row],[Obsolete]]=""),IF(Table1[[#This Row],[In stock]]&lt;Table1[[#This Row],[Min in stock]],1,""),"")</f>
        <v/>
      </c>
      <c r="BC63" s="64"/>
      <c r="BD63" s="66" t="str">
        <f>IF(Table1[[#This Row],[Obsolete]],Table1[[#This Row],[Art. Number]],"")</f>
        <v/>
      </c>
    </row>
    <row r="64" spans="1:56" x14ac:dyDescent="0.25">
      <c r="A64" s="65" t="s">
        <v>2384</v>
      </c>
      <c r="B64" s="57" t="s">
        <v>508</v>
      </c>
      <c r="C64" s="57" t="s">
        <v>97</v>
      </c>
      <c r="D64" s="57" t="s">
        <v>574</v>
      </c>
      <c r="E64" s="57" t="s">
        <v>553</v>
      </c>
      <c r="F64" s="58">
        <v>0</v>
      </c>
      <c r="G64" s="58"/>
      <c r="H64" s="58"/>
      <c r="I6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WM2010-ND</v>
      </c>
      <c r="J6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0.56999999999999995</v>
      </c>
      <c r="K6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(WM2010-ND)</v>
      </c>
      <c r="M64" s="57" t="s">
        <v>575</v>
      </c>
      <c r="N64" s="59">
        <v>0.56999999999999995</v>
      </c>
      <c r="O64" s="61" t="str">
        <f>IF(Table1[[#This Row],[Digikey]]="","", HYPERLINK(Table1[[#This Row],[Destination - Digikey]],_xlfn.CONCAT("Link (",Table1[[#This Row],[Digikey]],")")))</f>
        <v>Link (WM2010-ND)</v>
      </c>
      <c r="P64" s="62" t="str">
        <f>_xlfn.CONCAT("https://www.digikey.ch/products/en?keywords=",Table1[[#This Row],[Digikey]])</f>
        <v>https://www.digikey.ch/products/en?keywords=WM2010-ND</v>
      </c>
      <c r="Q64" s="57"/>
      <c r="R64" s="59"/>
      <c r="S64" s="61" t="str">
        <f>IF(Table1[[#This Row],[Farnell]]="","", HYPERLINK(Table1[[#This Row],[Destination - Farnell]],_xlfn.CONCAT("Link (",Table1[[#This Row],[Farnell]],")")))</f>
        <v/>
      </c>
      <c r="T64" s="62" t="str">
        <f>_xlfn.CONCAT("https://ch.farnell.com/fr-CH/",Table1[[#This Row],[Farnell]])</f>
        <v>https://ch.farnell.com/fr-CH/</v>
      </c>
      <c r="U64" s="57"/>
      <c r="V64" s="59"/>
      <c r="W64" s="61" t="str">
        <f>IF(Table1[[#This Row],[Distrelec]]="","", HYPERLINK(Table1[[#This Row],[Destination - Distrelec]],_xlfn.CONCAT("Link (",Table1[[#This Row],[Distrelec]],")")))</f>
        <v/>
      </c>
      <c r="X64" s="62" t="str">
        <f>_xlfn.CONCAT("https://www.distrelec.ch/search?q=",Table1[[#This Row],[Distrelec]])</f>
        <v>https://www.distrelec.ch/search?q=</v>
      </c>
      <c r="Y64" s="57"/>
      <c r="Z64" s="59"/>
      <c r="AA64" s="61" t="str">
        <f>IF(Table1[[#This Row],[Conrad]]="","", HYPERLINK(Table1[[#This Row],[Destination - Conrad]],_xlfn.CONCAT("Link (",Table1[[#This Row],[Conrad]],")")))</f>
        <v/>
      </c>
      <c r="AB64" s="62"/>
      <c r="AC64" s="57"/>
      <c r="AD64" s="59"/>
      <c r="AE64" s="61" t="str">
        <f>IF(Table1[[#This Row],[Mouser]]="","", HYPERLINK(Table1[[#This Row],[Destination - Mouser]],_xlfn.CONCAT("Link (",Table1[[#This Row],[Mouser]],")")))</f>
        <v/>
      </c>
      <c r="AF64" s="62" t="str">
        <f>_xlfn.CONCAT("https://www.mouser.ch/ProductDetail/",Table1[[#This Row],[Mouser]])</f>
        <v>https://www.mouser.ch/ProductDetail/</v>
      </c>
      <c r="AG64" s="57"/>
      <c r="AH64" s="59"/>
      <c r="AI64" s="61" t="str">
        <f>IF(Table1[[#This Row],[Bauhaus]]="","", HYPERLINK(Table1[[#This Row],[Destination - Bauhaus]],_xlfn.CONCAT("Link (",Table1[[#This Row],[Bauhaus]],")")))</f>
        <v/>
      </c>
      <c r="AJ64" s="62" t="str">
        <f>_xlfn.CONCAT("https://www.bauhaus.ch/fr/search?query=",Table1[[#This Row],[Bauhaus]])</f>
        <v>https://www.bauhaus.ch/fr/search?query=</v>
      </c>
      <c r="AK64" s="59"/>
      <c r="AL64" s="59"/>
      <c r="AM64" s="61" t="str">
        <f>IF(Table1[[#This Row],[BricoEtLoisirs]]="","", HYPERLINK(Table1[[#This Row],[Destination - BricoEtLoisirs]],_xlfn.CONCAT("Link (",Table1[[#This Row],[BricoEtLoisirs]],")")))</f>
        <v/>
      </c>
      <c r="AN64" s="62" t="str">
        <f>_xlfn.CONCAT("https://bricoetloisirs.ch/p/",Table1[[#This Row],[BricoEtLoisirs]])</f>
        <v>https://bricoetloisirs.ch/p/</v>
      </c>
      <c r="AO64" s="57"/>
      <c r="AP64" s="59"/>
      <c r="AQ64" s="61" t="str">
        <f>IF(Table1[[#This Row],[Aliexpress]]="","", HYPERLINK(Table1[[#This Row],[Destination - Aliexpress]],_xlfn.CONCAT("Link (",Table1[[#This Row],[Aliexpress]],")")))</f>
        <v/>
      </c>
      <c r="AR64" s="62" t="str">
        <f>_xlfn.CONCAT("https://www.aliexpress.com/item/",Table1[[#This Row],[Aliexpress]],".html")</f>
        <v>https://www.aliexpress.com/item/.html</v>
      </c>
      <c r="AS64" s="57"/>
      <c r="AT64" s="59"/>
      <c r="AU64" s="61" t="str">
        <f>IF(Table1[[#This Row],[Banggood]]="","", HYPERLINK(Table1[[#This Row],[Destination - Banggood]],_xlfn.CONCAT("Link (",Table1[[#This Row],[Banggood]],")")))</f>
        <v/>
      </c>
      <c r="AV64" s="62" t="str">
        <f>_xlfn.CONCAT("https://www.banggood.com/search/",Table1[[#This Row],[Banggood]],".html")</f>
        <v>https://www.banggood.com/search/.html</v>
      </c>
      <c r="AW64" s="59" t="str">
        <f>IF(Table1[[#This Row],[Other]]&lt;&gt;"","Other","")</f>
        <v/>
      </c>
      <c r="AX64" s="57"/>
      <c r="AY64" s="59"/>
      <c r="AZ64" s="61" t="str">
        <f>IF(Table1[[#This Row],[Other]]="","",IF(Table1[[#This Row],[Destination - Other]]="","",HYPERLINK(Table1[[#This Row],[Destination - Other]],_xlfn.CONCAT("Link ("&amp;Table1[[#This Row],[Other]]&amp;")"))))</f>
        <v/>
      </c>
      <c r="BA64" s="59"/>
      <c r="BB64" s="58" t="str">
        <f>IF(AND( Table1[[#This Row],[Auto Order]]=1,Table1[[#This Row],[Obsolete]]=""),IF(Table1[[#This Row],[In stock]]&lt;Table1[[#This Row],[Min in stock]],1,""),"")</f>
        <v/>
      </c>
      <c r="BC64" s="64"/>
      <c r="BD64" s="66" t="str">
        <f>IF(Table1[[#This Row],[Obsolete]],Table1[[#This Row],[Art. Number]],"")</f>
        <v/>
      </c>
    </row>
    <row r="65" spans="1:56" x14ac:dyDescent="0.25">
      <c r="A65" s="65" t="s">
        <v>2338</v>
      </c>
      <c r="B65" s="57" t="s">
        <v>508</v>
      </c>
      <c r="C65" s="57" t="s">
        <v>97</v>
      </c>
      <c r="D65" s="57" t="s">
        <v>577</v>
      </c>
      <c r="E65" s="57" t="s">
        <v>553</v>
      </c>
      <c r="F65" s="58">
        <v>0</v>
      </c>
      <c r="G65" s="58"/>
      <c r="H65" s="58"/>
      <c r="I6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WM2000-ND</v>
      </c>
      <c r="J6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6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(WM2000-ND)</v>
      </c>
      <c r="M65" s="57" t="s">
        <v>578</v>
      </c>
      <c r="N65" s="59">
        <v>0.13</v>
      </c>
      <c r="O65" s="61" t="str">
        <f>IF(Table1[[#This Row],[Digikey]]="","", HYPERLINK(Table1[[#This Row],[Destination - Digikey]],_xlfn.CONCAT("Link (",Table1[[#This Row],[Digikey]],")")))</f>
        <v>Link (WM2000-ND)</v>
      </c>
      <c r="P65" s="62" t="str">
        <f>_xlfn.CONCAT("https://www.digikey.ch/products/en?keywords=",Table1[[#This Row],[Digikey]])</f>
        <v>https://www.digikey.ch/products/en?keywords=WM2000-ND</v>
      </c>
      <c r="Q65" s="57"/>
      <c r="R65" s="59"/>
      <c r="S65" s="61" t="str">
        <f>IF(Table1[[#This Row],[Farnell]]="","", HYPERLINK(Table1[[#This Row],[Destination - Farnell]],_xlfn.CONCAT("Link (",Table1[[#This Row],[Farnell]],")")))</f>
        <v/>
      </c>
      <c r="T65" s="62" t="str">
        <f>_xlfn.CONCAT("https://ch.farnell.com/fr-CH/",Table1[[#This Row],[Farnell]])</f>
        <v>https://ch.farnell.com/fr-CH/</v>
      </c>
      <c r="U65" s="57"/>
      <c r="V65" s="59"/>
      <c r="W65" s="61" t="str">
        <f>IF(Table1[[#This Row],[Distrelec]]="","", HYPERLINK(Table1[[#This Row],[Destination - Distrelec]],_xlfn.CONCAT("Link (",Table1[[#This Row],[Distrelec]],")")))</f>
        <v/>
      </c>
      <c r="X65" s="62" t="str">
        <f>_xlfn.CONCAT("https://www.distrelec.ch/search?q=",Table1[[#This Row],[Distrelec]])</f>
        <v>https://www.distrelec.ch/search?q=</v>
      </c>
      <c r="Y65" s="57"/>
      <c r="Z65" s="59"/>
      <c r="AA65" s="61" t="str">
        <f>IF(Table1[[#This Row],[Conrad]]="","", HYPERLINK(Table1[[#This Row],[Destination - Conrad]],_xlfn.CONCAT("Link (",Table1[[#This Row],[Conrad]],")")))</f>
        <v/>
      </c>
      <c r="AB65" s="62"/>
      <c r="AC65" s="57"/>
      <c r="AD65" s="59"/>
      <c r="AE65" s="61" t="str">
        <f>IF(Table1[[#This Row],[Mouser]]="","", HYPERLINK(Table1[[#This Row],[Destination - Mouser]],_xlfn.CONCAT("Link (",Table1[[#This Row],[Mouser]],")")))</f>
        <v/>
      </c>
      <c r="AF65" s="62" t="str">
        <f>_xlfn.CONCAT("https://www.mouser.ch/ProductDetail/",Table1[[#This Row],[Mouser]])</f>
        <v>https://www.mouser.ch/ProductDetail/</v>
      </c>
      <c r="AG65" s="57"/>
      <c r="AH65" s="59"/>
      <c r="AI65" s="61" t="str">
        <f>IF(Table1[[#This Row],[Bauhaus]]="","", HYPERLINK(Table1[[#This Row],[Destination - Bauhaus]],_xlfn.CONCAT("Link (",Table1[[#This Row],[Bauhaus]],")")))</f>
        <v/>
      </c>
      <c r="AJ65" s="62" t="str">
        <f>_xlfn.CONCAT("https://www.bauhaus.ch/fr/search?query=",Table1[[#This Row],[Bauhaus]])</f>
        <v>https://www.bauhaus.ch/fr/search?query=</v>
      </c>
      <c r="AK65" s="59"/>
      <c r="AL65" s="59"/>
      <c r="AM65" s="61" t="str">
        <f>IF(Table1[[#This Row],[BricoEtLoisirs]]="","", HYPERLINK(Table1[[#This Row],[Destination - BricoEtLoisirs]],_xlfn.CONCAT("Link (",Table1[[#This Row],[BricoEtLoisirs]],")")))</f>
        <v/>
      </c>
      <c r="AN65" s="62" t="str">
        <f>_xlfn.CONCAT("https://bricoetloisirs.ch/p/",Table1[[#This Row],[BricoEtLoisirs]])</f>
        <v>https://bricoetloisirs.ch/p/</v>
      </c>
      <c r="AO65" s="57"/>
      <c r="AP65" s="59"/>
      <c r="AQ65" s="61" t="str">
        <f>IF(Table1[[#This Row],[Aliexpress]]="","", HYPERLINK(Table1[[#This Row],[Destination - Aliexpress]],_xlfn.CONCAT("Link (",Table1[[#This Row],[Aliexpress]],")")))</f>
        <v/>
      </c>
      <c r="AR65" s="62" t="str">
        <f>_xlfn.CONCAT("https://www.aliexpress.com/item/",Table1[[#This Row],[Aliexpress]],".html")</f>
        <v>https://www.aliexpress.com/item/.html</v>
      </c>
      <c r="AS65" s="57"/>
      <c r="AT65" s="59"/>
      <c r="AU65" s="61" t="str">
        <f>IF(Table1[[#This Row],[Banggood]]="","", HYPERLINK(Table1[[#This Row],[Destination - Banggood]],_xlfn.CONCAT("Link (",Table1[[#This Row],[Banggood]],")")))</f>
        <v/>
      </c>
      <c r="AV65" s="62" t="str">
        <f>_xlfn.CONCAT("https://www.banggood.com/search/",Table1[[#This Row],[Banggood]],".html")</f>
        <v>https://www.banggood.com/search/.html</v>
      </c>
      <c r="AW65" s="59" t="str">
        <f>IF(Table1[[#This Row],[Other]]&lt;&gt;"","Other","")</f>
        <v/>
      </c>
      <c r="AX65" s="57"/>
      <c r="AY65" s="59"/>
      <c r="AZ65" s="61" t="str">
        <f>IF(Table1[[#This Row],[Other]]="","",IF(Table1[[#This Row],[Destination - Other]]="","",HYPERLINK(Table1[[#This Row],[Destination - Other]],_xlfn.CONCAT("Link ("&amp;Table1[[#This Row],[Other]]&amp;")"))))</f>
        <v/>
      </c>
      <c r="BA65" s="59"/>
      <c r="BB65" s="58" t="str">
        <f>IF(AND( Table1[[#This Row],[Auto Order]]=1,Table1[[#This Row],[Obsolete]]=""),IF(Table1[[#This Row],[In stock]]&lt;Table1[[#This Row],[Min in stock]],1,""),"")</f>
        <v/>
      </c>
      <c r="BC65" s="64"/>
      <c r="BD65" s="66" t="str">
        <f>IF(Table1[[#This Row],[Obsolete]],Table1[[#This Row],[Art. Number]],"")</f>
        <v/>
      </c>
    </row>
    <row r="66" spans="1:56" x14ac:dyDescent="0.25">
      <c r="A66" s="65" t="s">
        <v>2339</v>
      </c>
      <c r="B66" s="57" t="s">
        <v>508</v>
      </c>
      <c r="C66" s="57" t="s">
        <v>97</v>
      </c>
      <c r="D66" s="57" t="s">
        <v>580</v>
      </c>
      <c r="E66" s="57" t="s">
        <v>553</v>
      </c>
      <c r="F66" s="58">
        <v>0</v>
      </c>
      <c r="G66" s="58"/>
      <c r="H66" s="58"/>
      <c r="I6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WM2001-ND</v>
      </c>
      <c r="J6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0.19</v>
      </c>
      <c r="K6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(WM2001-ND)</v>
      </c>
      <c r="M66" s="57" t="s">
        <v>581</v>
      </c>
      <c r="N66" s="59">
        <v>0.19</v>
      </c>
      <c r="O66" s="61" t="str">
        <f>IF(Table1[[#This Row],[Digikey]]="","", HYPERLINK(Table1[[#This Row],[Destination - Digikey]],_xlfn.CONCAT("Link (",Table1[[#This Row],[Digikey]],")")))</f>
        <v>Link (WM2001-ND)</v>
      </c>
      <c r="P66" s="62" t="str">
        <f>_xlfn.CONCAT("https://www.digikey.ch/products/en?keywords=",Table1[[#This Row],[Digikey]])</f>
        <v>https://www.digikey.ch/products/en?keywords=WM2001-ND</v>
      </c>
      <c r="Q66" s="57"/>
      <c r="R66" s="59"/>
      <c r="S66" s="61" t="str">
        <f>IF(Table1[[#This Row],[Farnell]]="","", HYPERLINK(Table1[[#This Row],[Destination - Farnell]],_xlfn.CONCAT("Link (",Table1[[#This Row],[Farnell]],")")))</f>
        <v/>
      </c>
      <c r="T66" s="62" t="str">
        <f>_xlfn.CONCAT("https://ch.farnell.com/fr-CH/",Table1[[#This Row],[Farnell]])</f>
        <v>https://ch.farnell.com/fr-CH/</v>
      </c>
      <c r="U66" s="57"/>
      <c r="V66" s="59"/>
      <c r="W66" s="61" t="str">
        <f>IF(Table1[[#This Row],[Distrelec]]="","", HYPERLINK(Table1[[#This Row],[Destination - Distrelec]],_xlfn.CONCAT("Link (",Table1[[#This Row],[Distrelec]],")")))</f>
        <v/>
      </c>
      <c r="X66" s="62" t="str">
        <f>_xlfn.CONCAT("https://www.distrelec.ch/search?q=",Table1[[#This Row],[Distrelec]])</f>
        <v>https://www.distrelec.ch/search?q=</v>
      </c>
      <c r="Y66" s="57"/>
      <c r="Z66" s="59"/>
      <c r="AA66" s="61" t="str">
        <f>IF(Table1[[#This Row],[Conrad]]="","", HYPERLINK(Table1[[#This Row],[Destination - Conrad]],_xlfn.CONCAT("Link (",Table1[[#This Row],[Conrad]],")")))</f>
        <v/>
      </c>
      <c r="AB66" s="62"/>
      <c r="AC66" s="57"/>
      <c r="AD66" s="59"/>
      <c r="AE66" s="61" t="str">
        <f>IF(Table1[[#This Row],[Mouser]]="","", HYPERLINK(Table1[[#This Row],[Destination - Mouser]],_xlfn.CONCAT("Link (",Table1[[#This Row],[Mouser]],")")))</f>
        <v/>
      </c>
      <c r="AF66" s="62" t="str">
        <f>_xlfn.CONCAT("https://www.mouser.ch/ProductDetail/",Table1[[#This Row],[Mouser]])</f>
        <v>https://www.mouser.ch/ProductDetail/</v>
      </c>
      <c r="AG66" s="57"/>
      <c r="AH66" s="59"/>
      <c r="AI66" s="61" t="str">
        <f>IF(Table1[[#This Row],[Bauhaus]]="","", HYPERLINK(Table1[[#This Row],[Destination - Bauhaus]],_xlfn.CONCAT("Link (",Table1[[#This Row],[Bauhaus]],")")))</f>
        <v/>
      </c>
      <c r="AJ66" s="62" t="str">
        <f>_xlfn.CONCAT("https://www.bauhaus.ch/fr/search?query=",Table1[[#This Row],[Bauhaus]])</f>
        <v>https://www.bauhaus.ch/fr/search?query=</v>
      </c>
      <c r="AK66" s="59"/>
      <c r="AL66" s="59"/>
      <c r="AM66" s="61" t="str">
        <f>IF(Table1[[#This Row],[BricoEtLoisirs]]="","", HYPERLINK(Table1[[#This Row],[Destination - BricoEtLoisirs]],_xlfn.CONCAT("Link (",Table1[[#This Row],[BricoEtLoisirs]],")")))</f>
        <v/>
      </c>
      <c r="AN66" s="62" t="str">
        <f>_xlfn.CONCAT("https://bricoetloisirs.ch/p/",Table1[[#This Row],[BricoEtLoisirs]])</f>
        <v>https://bricoetloisirs.ch/p/</v>
      </c>
      <c r="AO66" s="57"/>
      <c r="AP66" s="59"/>
      <c r="AQ66" s="61" t="str">
        <f>IF(Table1[[#This Row],[Aliexpress]]="","", HYPERLINK(Table1[[#This Row],[Destination - Aliexpress]],_xlfn.CONCAT("Link (",Table1[[#This Row],[Aliexpress]],")")))</f>
        <v/>
      </c>
      <c r="AR66" s="62" t="str">
        <f>_xlfn.CONCAT("https://www.aliexpress.com/item/",Table1[[#This Row],[Aliexpress]],".html")</f>
        <v>https://www.aliexpress.com/item/.html</v>
      </c>
      <c r="AS66" s="57"/>
      <c r="AT66" s="59"/>
      <c r="AU66" s="61" t="str">
        <f>IF(Table1[[#This Row],[Banggood]]="","", HYPERLINK(Table1[[#This Row],[Destination - Banggood]],_xlfn.CONCAT("Link (",Table1[[#This Row],[Banggood]],")")))</f>
        <v/>
      </c>
      <c r="AV66" s="62" t="str">
        <f>_xlfn.CONCAT("https://www.banggood.com/search/",Table1[[#This Row],[Banggood]],".html")</f>
        <v>https://www.banggood.com/search/.html</v>
      </c>
      <c r="AW66" s="59" t="str">
        <f>IF(Table1[[#This Row],[Other]]&lt;&gt;"","Other","")</f>
        <v/>
      </c>
      <c r="AX66" s="57"/>
      <c r="AY66" s="59"/>
      <c r="AZ66" s="61" t="str">
        <f>IF(Table1[[#This Row],[Other]]="","",IF(Table1[[#This Row],[Destination - Other]]="","",HYPERLINK(Table1[[#This Row],[Destination - Other]],_xlfn.CONCAT("Link ("&amp;Table1[[#This Row],[Other]]&amp;")"))))</f>
        <v/>
      </c>
      <c r="BA66" s="59"/>
      <c r="BB66" s="58" t="str">
        <f>IF(AND( Table1[[#This Row],[Auto Order]]=1,Table1[[#This Row],[Obsolete]]=""),IF(Table1[[#This Row],[In stock]]&lt;Table1[[#This Row],[Min in stock]],1,""),"")</f>
        <v/>
      </c>
      <c r="BC66" s="64"/>
      <c r="BD66" s="66" t="str">
        <f>IF(Table1[[#This Row],[Obsolete]],Table1[[#This Row],[Art. Number]],"")</f>
        <v/>
      </c>
    </row>
    <row r="67" spans="1:56" x14ac:dyDescent="0.25">
      <c r="A67" s="65" t="s">
        <v>583</v>
      </c>
      <c r="B67" s="57" t="s">
        <v>348</v>
      </c>
      <c r="C67" s="57" t="s">
        <v>97</v>
      </c>
      <c r="D67" s="57" t="s">
        <v>584</v>
      </c>
      <c r="E67" s="57" t="s">
        <v>553</v>
      </c>
      <c r="F67" s="58">
        <v>0</v>
      </c>
      <c r="G67" s="58"/>
      <c r="H67" s="58"/>
      <c r="I6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A111124CT-ND</v>
      </c>
      <c r="J6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1.34</v>
      </c>
      <c r="K6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(A111124CT-ND)</v>
      </c>
      <c r="M67" s="57" t="s">
        <v>585</v>
      </c>
      <c r="N67" s="59">
        <v>1.34</v>
      </c>
      <c r="O67" s="61" t="str">
        <f>IF(Table1[[#This Row],[Digikey]]="","", HYPERLINK(Table1[[#This Row],[Destination - Digikey]],_xlfn.CONCAT("Link (",Table1[[#This Row],[Digikey]],")")))</f>
        <v>Link (A111124CT-ND)</v>
      </c>
      <c r="P67" s="62" t="str">
        <f>_xlfn.CONCAT("https://www.digikey.ch/products/en?keywords=",Table1[[#This Row],[Digikey]])</f>
        <v>https://www.digikey.ch/products/en?keywords=A111124CT-ND</v>
      </c>
      <c r="Q67" s="57"/>
      <c r="R67" s="59"/>
      <c r="S67" s="61" t="str">
        <f>IF(Table1[[#This Row],[Farnell]]="","", HYPERLINK(Table1[[#This Row],[Destination - Farnell]],_xlfn.CONCAT("Link (",Table1[[#This Row],[Farnell]],")")))</f>
        <v/>
      </c>
      <c r="T67" s="62" t="str">
        <f>_xlfn.CONCAT("https://ch.farnell.com/fr-CH/",Table1[[#This Row],[Farnell]])</f>
        <v>https://ch.farnell.com/fr-CH/</v>
      </c>
      <c r="U67" s="57"/>
      <c r="V67" s="59"/>
      <c r="W67" s="61" t="str">
        <f>IF(Table1[[#This Row],[Distrelec]]="","", HYPERLINK(Table1[[#This Row],[Destination - Distrelec]],_xlfn.CONCAT("Link (",Table1[[#This Row],[Distrelec]],")")))</f>
        <v/>
      </c>
      <c r="X67" s="62" t="str">
        <f>_xlfn.CONCAT("https://www.distrelec.ch/search?q=",Table1[[#This Row],[Distrelec]])</f>
        <v>https://www.distrelec.ch/search?q=</v>
      </c>
      <c r="Y67" s="57"/>
      <c r="Z67" s="59"/>
      <c r="AA67" s="61" t="str">
        <f>IF(Table1[[#This Row],[Conrad]]="","", HYPERLINK(Table1[[#This Row],[Destination - Conrad]],_xlfn.CONCAT("Link (",Table1[[#This Row],[Conrad]],")")))</f>
        <v/>
      </c>
      <c r="AB67" s="62"/>
      <c r="AC67" s="57"/>
      <c r="AD67" s="59"/>
      <c r="AE67" s="61" t="str">
        <f>IF(Table1[[#This Row],[Mouser]]="","", HYPERLINK(Table1[[#This Row],[Destination - Mouser]],_xlfn.CONCAT("Link (",Table1[[#This Row],[Mouser]],")")))</f>
        <v/>
      </c>
      <c r="AF67" s="62" t="str">
        <f>_xlfn.CONCAT("https://www.mouser.ch/ProductDetail/",Table1[[#This Row],[Mouser]])</f>
        <v>https://www.mouser.ch/ProductDetail/</v>
      </c>
      <c r="AG67" s="57"/>
      <c r="AH67" s="59"/>
      <c r="AI67" s="61" t="str">
        <f>IF(Table1[[#This Row],[Bauhaus]]="","", HYPERLINK(Table1[[#This Row],[Destination - Bauhaus]],_xlfn.CONCAT("Link (",Table1[[#This Row],[Bauhaus]],")")))</f>
        <v/>
      </c>
      <c r="AJ67" s="62" t="str">
        <f>_xlfn.CONCAT("https://www.bauhaus.ch/fr/search?query=",Table1[[#This Row],[Bauhaus]])</f>
        <v>https://www.bauhaus.ch/fr/search?query=</v>
      </c>
      <c r="AK67" s="59"/>
      <c r="AL67" s="59"/>
      <c r="AM67" s="61" t="str">
        <f>IF(Table1[[#This Row],[BricoEtLoisirs]]="","", HYPERLINK(Table1[[#This Row],[Destination - BricoEtLoisirs]],_xlfn.CONCAT("Link (",Table1[[#This Row],[BricoEtLoisirs]],")")))</f>
        <v/>
      </c>
      <c r="AN67" s="62" t="str">
        <f>_xlfn.CONCAT("https://bricoetloisirs.ch/p/",Table1[[#This Row],[BricoEtLoisirs]])</f>
        <v>https://bricoetloisirs.ch/p/</v>
      </c>
      <c r="AO67" s="57"/>
      <c r="AP67" s="59"/>
      <c r="AQ67" s="61" t="str">
        <f>IF(Table1[[#This Row],[Aliexpress]]="","", HYPERLINK(Table1[[#This Row],[Destination - Aliexpress]],_xlfn.CONCAT("Link (",Table1[[#This Row],[Aliexpress]],")")))</f>
        <v/>
      </c>
      <c r="AR67" s="62" t="str">
        <f>_xlfn.CONCAT("https://www.aliexpress.com/item/",Table1[[#This Row],[Aliexpress]],".html")</f>
        <v>https://www.aliexpress.com/item/.html</v>
      </c>
      <c r="AS67" s="57"/>
      <c r="AT67" s="59"/>
      <c r="AU67" s="61" t="str">
        <f>IF(Table1[[#This Row],[Banggood]]="","", HYPERLINK(Table1[[#This Row],[Destination - Banggood]],_xlfn.CONCAT("Link (",Table1[[#This Row],[Banggood]],")")))</f>
        <v/>
      </c>
      <c r="AV67" s="62" t="str">
        <f>_xlfn.CONCAT("https://www.banggood.com/search/",Table1[[#This Row],[Banggood]],".html")</f>
        <v>https://www.banggood.com/search/.html</v>
      </c>
      <c r="AW67" s="59" t="str">
        <f>IF(Table1[[#This Row],[Other]]&lt;&gt;"","Other","")</f>
        <v/>
      </c>
      <c r="AX67" s="57"/>
      <c r="AY67" s="59"/>
      <c r="AZ67" s="61" t="str">
        <f>IF(Table1[[#This Row],[Other]]="","",IF(Table1[[#This Row],[Destination - Other]]="","",HYPERLINK(Table1[[#This Row],[Destination - Other]],_xlfn.CONCAT("Link ("&amp;Table1[[#This Row],[Other]]&amp;")"))))</f>
        <v/>
      </c>
      <c r="BA67" s="59"/>
      <c r="BB67" s="58" t="str">
        <f>IF(AND( Table1[[#This Row],[Auto Order]]=1,Table1[[#This Row],[Obsolete]]=""),IF(Table1[[#This Row],[In stock]]&lt;Table1[[#This Row],[Min in stock]],1,""),"")</f>
        <v/>
      </c>
      <c r="BC67" s="64"/>
      <c r="BD67" s="66" t="str">
        <f>IF(Table1[[#This Row],[Obsolete]],Table1[[#This Row],[Art. Number]],"")</f>
        <v/>
      </c>
    </row>
    <row r="68" spans="1:56" x14ac:dyDescent="0.25">
      <c r="A68" s="65" t="s">
        <v>587</v>
      </c>
      <c r="B68" s="57" t="s">
        <v>348</v>
      </c>
      <c r="C68" s="57" t="s">
        <v>97</v>
      </c>
      <c r="D68" s="57" t="s">
        <v>588</v>
      </c>
      <c r="E68" s="57" t="s">
        <v>553</v>
      </c>
      <c r="F68" s="58">
        <v>0</v>
      </c>
      <c r="G68" s="58"/>
      <c r="H68" s="58"/>
      <c r="I6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A110876CT-ND</v>
      </c>
      <c r="J6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1.32</v>
      </c>
      <c r="K6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(A110876CT-ND)</v>
      </c>
      <c r="M68" s="57" t="s">
        <v>589</v>
      </c>
      <c r="N68" s="59">
        <v>1.32</v>
      </c>
      <c r="O68" s="61" t="str">
        <f>IF(Table1[[#This Row],[Digikey]]="","", HYPERLINK(Table1[[#This Row],[Destination - Digikey]],_xlfn.CONCAT("Link (",Table1[[#This Row],[Digikey]],")")))</f>
        <v>Link (A110876CT-ND)</v>
      </c>
      <c r="P68" s="62" t="str">
        <f>_xlfn.CONCAT("https://www.digikey.ch/products/en?keywords=",Table1[[#This Row],[Digikey]])</f>
        <v>https://www.digikey.ch/products/en?keywords=A110876CT-ND</v>
      </c>
      <c r="Q68" s="57"/>
      <c r="R68" s="59"/>
      <c r="S68" s="61" t="str">
        <f>IF(Table1[[#This Row],[Farnell]]="","", HYPERLINK(Table1[[#This Row],[Destination - Farnell]],_xlfn.CONCAT("Link (",Table1[[#This Row],[Farnell]],")")))</f>
        <v/>
      </c>
      <c r="T68" s="62" t="str">
        <f>_xlfn.CONCAT("https://ch.farnell.com/fr-CH/",Table1[[#This Row],[Farnell]])</f>
        <v>https://ch.farnell.com/fr-CH/</v>
      </c>
      <c r="U68" s="57"/>
      <c r="V68" s="59"/>
      <c r="W68" s="61" t="str">
        <f>IF(Table1[[#This Row],[Distrelec]]="","", HYPERLINK(Table1[[#This Row],[Destination - Distrelec]],_xlfn.CONCAT("Link (",Table1[[#This Row],[Distrelec]],")")))</f>
        <v/>
      </c>
      <c r="X68" s="62" t="str">
        <f>_xlfn.CONCAT("https://www.distrelec.ch/search?q=",Table1[[#This Row],[Distrelec]])</f>
        <v>https://www.distrelec.ch/search?q=</v>
      </c>
      <c r="Y68" s="57"/>
      <c r="Z68" s="59"/>
      <c r="AA68" s="61" t="str">
        <f>IF(Table1[[#This Row],[Conrad]]="","", HYPERLINK(Table1[[#This Row],[Destination - Conrad]],_xlfn.CONCAT("Link (",Table1[[#This Row],[Conrad]],")")))</f>
        <v/>
      </c>
      <c r="AB68" s="62"/>
      <c r="AC68" s="57"/>
      <c r="AD68" s="59"/>
      <c r="AE68" s="61" t="str">
        <f>IF(Table1[[#This Row],[Mouser]]="","", HYPERLINK(Table1[[#This Row],[Destination - Mouser]],_xlfn.CONCAT("Link (",Table1[[#This Row],[Mouser]],")")))</f>
        <v/>
      </c>
      <c r="AF68" s="62" t="str">
        <f>_xlfn.CONCAT("https://www.mouser.ch/ProductDetail/",Table1[[#This Row],[Mouser]])</f>
        <v>https://www.mouser.ch/ProductDetail/</v>
      </c>
      <c r="AG68" s="57"/>
      <c r="AH68" s="59"/>
      <c r="AI68" s="61" t="str">
        <f>IF(Table1[[#This Row],[Bauhaus]]="","", HYPERLINK(Table1[[#This Row],[Destination - Bauhaus]],_xlfn.CONCAT("Link (",Table1[[#This Row],[Bauhaus]],")")))</f>
        <v/>
      </c>
      <c r="AJ68" s="62" t="str">
        <f>_xlfn.CONCAT("https://www.bauhaus.ch/fr/search?query=",Table1[[#This Row],[Bauhaus]])</f>
        <v>https://www.bauhaus.ch/fr/search?query=</v>
      </c>
      <c r="AK68" s="59"/>
      <c r="AL68" s="59"/>
      <c r="AM68" s="61" t="str">
        <f>IF(Table1[[#This Row],[BricoEtLoisirs]]="","", HYPERLINK(Table1[[#This Row],[Destination - BricoEtLoisirs]],_xlfn.CONCAT("Link (",Table1[[#This Row],[BricoEtLoisirs]],")")))</f>
        <v/>
      </c>
      <c r="AN68" s="62" t="str">
        <f>_xlfn.CONCAT("https://bricoetloisirs.ch/p/",Table1[[#This Row],[BricoEtLoisirs]])</f>
        <v>https://bricoetloisirs.ch/p/</v>
      </c>
      <c r="AO68" s="57"/>
      <c r="AP68" s="59"/>
      <c r="AQ68" s="61" t="str">
        <f>IF(Table1[[#This Row],[Aliexpress]]="","", HYPERLINK(Table1[[#This Row],[Destination - Aliexpress]],_xlfn.CONCAT("Link (",Table1[[#This Row],[Aliexpress]],")")))</f>
        <v/>
      </c>
      <c r="AR68" s="62" t="str">
        <f>_xlfn.CONCAT("https://www.aliexpress.com/item/",Table1[[#This Row],[Aliexpress]],".html")</f>
        <v>https://www.aliexpress.com/item/.html</v>
      </c>
      <c r="AS68" s="57"/>
      <c r="AT68" s="59"/>
      <c r="AU68" s="61" t="str">
        <f>IF(Table1[[#This Row],[Banggood]]="","", HYPERLINK(Table1[[#This Row],[Destination - Banggood]],_xlfn.CONCAT("Link (",Table1[[#This Row],[Banggood]],")")))</f>
        <v/>
      </c>
      <c r="AV68" s="62" t="str">
        <f>_xlfn.CONCAT("https://www.banggood.com/search/",Table1[[#This Row],[Banggood]],".html")</f>
        <v>https://www.banggood.com/search/.html</v>
      </c>
      <c r="AW68" s="59" t="str">
        <f>IF(Table1[[#This Row],[Other]]&lt;&gt;"","Other","")</f>
        <v/>
      </c>
      <c r="AX68" s="57"/>
      <c r="AY68" s="59"/>
      <c r="AZ68" s="61" t="str">
        <f>IF(Table1[[#This Row],[Other]]="","",IF(Table1[[#This Row],[Destination - Other]]="","",HYPERLINK(Table1[[#This Row],[Destination - Other]],_xlfn.CONCAT("Link ("&amp;Table1[[#This Row],[Other]]&amp;")"))))</f>
        <v/>
      </c>
      <c r="BA68" s="59"/>
      <c r="BB68" s="58" t="str">
        <f>IF(AND( Table1[[#This Row],[Auto Order]]=1,Table1[[#This Row],[Obsolete]]=""),IF(Table1[[#This Row],[In stock]]&lt;Table1[[#This Row],[Min in stock]],1,""),"")</f>
        <v/>
      </c>
      <c r="BC68" s="64"/>
      <c r="BD68" s="66" t="str">
        <f>IF(Table1[[#This Row],[Obsolete]],Table1[[#This Row],[Art. Number]],"")</f>
        <v/>
      </c>
    </row>
    <row r="69" spans="1:56" x14ac:dyDescent="0.25">
      <c r="A69" s="65" t="s">
        <v>591</v>
      </c>
      <c r="B69" s="57" t="s">
        <v>348</v>
      </c>
      <c r="C69" s="57" t="s">
        <v>97</v>
      </c>
      <c r="D69" s="57" t="s">
        <v>592</v>
      </c>
      <c r="E69" s="57" t="s">
        <v>553</v>
      </c>
      <c r="F69" s="58">
        <v>0</v>
      </c>
      <c r="G69" s="58"/>
      <c r="H69" s="58"/>
      <c r="I6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A116163CT-ND</v>
      </c>
      <c r="J6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1.2</v>
      </c>
      <c r="K6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6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(A116163CT-ND)</v>
      </c>
      <c r="M69" s="57" t="s">
        <v>593</v>
      </c>
      <c r="N69" s="59">
        <v>1.2</v>
      </c>
      <c r="O69" s="61" t="str">
        <f>IF(Table1[[#This Row],[Digikey]]="","", HYPERLINK(Table1[[#This Row],[Destination - Digikey]],_xlfn.CONCAT("Link (",Table1[[#This Row],[Digikey]],")")))</f>
        <v>Link (A116163CT-ND)</v>
      </c>
      <c r="P69" s="62" t="str">
        <f>_xlfn.CONCAT("https://www.digikey.ch/products/en?keywords=",Table1[[#This Row],[Digikey]])</f>
        <v>https://www.digikey.ch/products/en?keywords=A116163CT-ND</v>
      </c>
      <c r="Q69" s="57"/>
      <c r="R69" s="59"/>
      <c r="S69" s="61" t="str">
        <f>IF(Table1[[#This Row],[Farnell]]="","", HYPERLINK(Table1[[#This Row],[Destination - Farnell]],_xlfn.CONCAT("Link (",Table1[[#This Row],[Farnell]],")")))</f>
        <v/>
      </c>
      <c r="T69" s="62" t="str">
        <f>_xlfn.CONCAT("https://ch.farnell.com/fr-CH/",Table1[[#This Row],[Farnell]])</f>
        <v>https://ch.farnell.com/fr-CH/</v>
      </c>
      <c r="U69" s="57"/>
      <c r="V69" s="59"/>
      <c r="W69" s="61" t="str">
        <f>IF(Table1[[#This Row],[Distrelec]]="","", HYPERLINK(Table1[[#This Row],[Destination - Distrelec]],_xlfn.CONCAT("Link (",Table1[[#This Row],[Distrelec]],")")))</f>
        <v/>
      </c>
      <c r="X69" s="62" t="str">
        <f>_xlfn.CONCAT("https://www.distrelec.ch/search?q=",Table1[[#This Row],[Distrelec]])</f>
        <v>https://www.distrelec.ch/search?q=</v>
      </c>
      <c r="Y69" s="57"/>
      <c r="Z69" s="59"/>
      <c r="AA69" s="61" t="str">
        <f>IF(Table1[[#This Row],[Conrad]]="","", HYPERLINK(Table1[[#This Row],[Destination - Conrad]],_xlfn.CONCAT("Link (",Table1[[#This Row],[Conrad]],")")))</f>
        <v/>
      </c>
      <c r="AB69" s="62"/>
      <c r="AC69" s="57"/>
      <c r="AD69" s="59"/>
      <c r="AE69" s="61" t="str">
        <f>IF(Table1[[#This Row],[Mouser]]="","", HYPERLINK(Table1[[#This Row],[Destination - Mouser]],_xlfn.CONCAT("Link (",Table1[[#This Row],[Mouser]],")")))</f>
        <v/>
      </c>
      <c r="AF69" s="62" t="str">
        <f>_xlfn.CONCAT("https://www.mouser.ch/ProductDetail/",Table1[[#This Row],[Mouser]])</f>
        <v>https://www.mouser.ch/ProductDetail/</v>
      </c>
      <c r="AG69" s="57"/>
      <c r="AH69" s="59"/>
      <c r="AI69" s="61" t="str">
        <f>IF(Table1[[#This Row],[Bauhaus]]="","", HYPERLINK(Table1[[#This Row],[Destination - Bauhaus]],_xlfn.CONCAT("Link (",Table1[[#This Row],[Bauhaus]],")")))</f>
        <v/>
      </c>
      <c r="AJ69" s="62" t="str">
        <f>_xlfn.CONCAT("https://www.bauhaus.ch/fr/search?query=",Table1[[#This Row],[Bauhaus]])</f>
        <v>https://www.bauhaus.ch/fr/search?query=</v>
      </c>
      <c r="AK69" s="59"/>
      <c r="AL69" s="59"/>
      <c r="AM69" s="61" t="str">
        <f>IF(Table1[[#This Row],[BricoEtLoisirs]]="","", HYPERLINK(Table1[[#This Row],[Destination - BricoEtLoisirs]],_xlfn.CONCAT("Link (",Table1[[#This Row],[BricoEtLoisirs]],")")))</f>
        <v/>
      </c>
      <c r="AN69" s="62" t="str">
        <f>_xlfn.CONCAT("https://bricoetloisirs.ch/p/",Table1[[#This Row],[BricoEtLoisirs]])</f>
        <v>https://bricoetloisirs.ch/p/</v>
      </c>
      <c r="AO69" s="57"/>
      <c r="AP69" s="59"/>
      <c r="AQ69" s="61" t="str">
        <f>IF(Table1[[#This Row],[Aliexpress]]="","", HYPERLINK(Table1[[#This Row],[Destination - Aliexpress]],_xlfn.CONCAT("Link (",Table1[[#This Row],[Aliexpress]],")")))</f>
        <v/>
      </c>
      <c r="AR69" s="62" t="str">
        <f>_xlfn.CONCAT("https://www.aliexpress.com/item/",Table1[[#This Row],[Aliexpress]],".html")</f>
        <v>https://www.aliexpress.com/item/.html</v>
      </c>
      <c r="AS69" s="57"/>
      <c r="AT69" s="59"/>
      <c r="AU69" s="61" t="str">
        <f>IF(Table1[[#This Row],[Banggood]]="","", HYPERLINK(Table1[[#This Row],[Destination - Banggood]],_xlfn.CONCAT("Link (",Table1[[#This Row],[Banggood]],")")))</f>
        <v/>
      </c>
      <c r="AV69" s="62" t="str">
        <f>_xlfn.CONCAT("https://www.banggood.com/search/",Table1[[#This Row],[Banggood]],".html")</f>
        <v>https://www.banggood.com/search/.html</v>
      </c>
      <c r="AW69" s="59" t="str">
        <f>IF(Table1[[#This Row],[Other]]&lt;&gt;"","Other","")</f>
        <v/>
      </c>
      <c r="AX69" s="57"/>
      <c r="AY69" s="59"/>
      <c r="AZ69" s="61" t="str">
        <f>IF(Table1[[#This Row],[Other]]="","",IF(Table1[[#This Row],[Destination - Other]]="","",HYPERLINK(Table1[[#This Row],[Destination - Other]],_xlfn.CONCAT("Link ("&amp;Table1[[#This Row],[Other]]&amp;")"))))</f>
        <v/>
      </c>
      <c r="BA69" s="59"/>
      <c r="BB69" s="58" t="str">
        <f>IF(AND( Table1[[#This Row],[Auto Order]]=1,Table1[[#This Row],[Obsolete]]=""),IF(Table1[[#This Row],[In stock]]&lt;Table1[[#This Row],[Min in stock]],1,""),"")</f>
        <v/>
      </c>
      <c r="BC69" s="64"/>
      <c r="BD69" s="66" t="str">
        <f>IF(Table1[[#This Row],[Obsolete]],Table1[[#This Row],[Art. Number]],"")</f>
        <v/>
      </c>
    </row>
    <row r="70" spans="1:56" x14ac:dyDescent="0.25">
      <c r="A70" s="65" t="s">
        <v>595</v>
      </c>
      <c r="B70" s="57" t="s">
        <v>348</v>
      </c>
      <c r="C70" s="57" t="s">
        <v>97</v>
      </c>
      <c r="D70" s="57" t="s">
        <v>596</v>
      </c>
      <c r="E70" s="57" t="s">
        <v>553</v>
      </c>
      <c r="F70" s="58">
        <v>0</v>
      </c>
      <c r="G70" s="58"/>
      <c r="H70" s="58"/>
      <c r="I7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A110875CT-ND</v>
      </c>
      <c r="J7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1.07</v>
      </c>
      <c r="K7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(A110875CT-ND)</v>
      </c>
      <c r="M70" s="57" t="s">
        <v>597</v>
      </c>
      <c r="N70" s="59">
        <v>1.07</v>
      </c>
      <c r="O70" s="61" t="str">
        <f>IF(Table1[[#This Row],[Digikey]]="","", HYPERLINK(Table1[[#This Row],[Destination - Digikey]],_xlfn.CONCAT("Link (",Table1[[#This Row],[Digikey]],")")))</f>
        <v>Link (A110875CT-ND)</v>
      </c>
      <c r="P70" s="62" t="str">
        <f>_xlfn.CONCAT("https://www.digikey.ch/products/en?keywords=",Table1[[#This Row],[Digikey]])</f>
        <v>https://www.digikey.ch/products/en?keywords=A110875CT-ND</v>
      </c>
      <c r="Q70" s="57"/>
      <c r="R70" s="59"/>
      <c r="S70" s="61" t="str">
        <f>IF(Table1[[#This Row],[Farnell]]="","", HYPERLINK(Table1[[#This Row],[Destination - Farnell]],_xlfn.CONCAT("Link (",Table1[[#This Row],[Farnell]],")")))</f>
        <v/>
      </c>
      <c r="T70" s="62" t="str">
        <f>_xlfn.CONCAT("https://ch.farnell.com/fr-CH/",Table1[[#This Row],[Farnell]])</f>
        <v>https://ch.farnell.com/fr-CH/</v>
      </c>
      <c r="U70" s="57"/>
      <c r="V70" s="59"/>
      <c r="W70" s="61" t="str">
        <f>IF(Table1[[#This Row],[Distrelec]]="","", HYPERLINK(Table1[[#This Row],[Destination - Distrelec]],_xlfn.CONCAT("Link (",Table1[[#This Row],[Distrelec]],")")))</f>
        <v/>
      </c>
      <c r="X70" s="62" t="str">
        <f>_xlfn.CONCAT("https://www.distrelec.ch/search?q=",Table1[[#This Row],[Distrelec]])</f>
        <v>https://www.distrelec.ch/search?q=</v>
      </c>
      <c r="Y70" s="57"/>
      <c r="Z70" s="59"/>
      <c r="AA70" s="61" t="str">
        <f>IF(Table1[[#This Row],[Conrad]]="","", HYPERLINK(Table1[[#This Row],[Destination - Conrad]],_xlfn.CONCAT("Link (",Table1[[#This Row],[Conrad]],")")))</f>
        <v/>
      </c>
      <c r="AB70" s="62"/>
      <c r="AC70" s="57"/>
      <c r="AD70" s="59"/>
      <c r="AE70" s="61" t="str">
        <f>IF(Table1[[#This Row],[Mouser]]="","", HYPERLINK(Table1[[#This Row],[Destination - Mouser]],_xlfn.CONCAT("Link (",Table1[[#This Row],[Mouser]],")")))</f>
        <v/>
      </c>
      <c r="AF70" s="62" t="str">
        <f>_xlfn.CONCAT("https://www.mouser.ch/ProductDetail/",Table1[[#This Row],[Mouser]])</f>
        <v>https://www.mouser.ch/ProductDetail/</v>
      </c>
      <c r="AG70" s="57"/>
      <c r="AH70" s="59"/>
      <c r="AI70" s="61" t="str">
        <f>IF(Table1[[#This Row],[Bauhaus]]="","", HYPERLINK(Table1[[#This Row],[Destination - Bauhaus]],_xlfn.CONCAT("Link (",Table1[[#This Row],[Bauhaus]],")")))</f>
        <v/>
      </c>
      <c r="AJ70" s="62" t="str">
        <f>_xlfn.CONCAT("https://www.bauhaus.ch/fr/search?query=",Table1[[#This Row],[Bauhaus]])</f>
        <v>https://www.bauhaus.ch/fr/search?query=</v>
      </c>
      <c r="AK70" s="59"/>
      <c r="AL70" s="59"/>
      <c r="AM70" s="61" t="str">
        <f>IF(Table1[[#This Row],[BricoEtLoisirs]]="","", HYPERLINK(Table1[[#This Row],[Destination - BricoEtLoisirs]],_xlfn.CONCAT("Link (",Table1[[#This Row],[BricoEtLoisirs]],")")))</f>
        <v/>
      </c>
      <c r="AN70" s="62" t="str">
        <f>_xlfn.CONCAT("https://bricoetloisirs.ch/p/",Table1[[#This Row],[BricoEtLoisirs]])</f>
        <v>https://bricoetloisirs.ch/p/</v>
      </c>
      <c r="AO70" s="57"/>
      <c r="AP70" s="59"/>
      <c r="AQ70" s="61" t="str">
        <f>IF(Table1[[#This Row],[Aliexpress]]="","", HYPERLINK(Table1[[#This Row],[Destination - Aliexpress]],_xlfn.CONCAT("Link (",Table1[[#This Row],[Aliexpress]],")")))</f>
        <v/>
      </c>
      <c r="AR70" s="62" t="str">
        <f>_xlfn.CONCAT("https://www.aliexpress.com/item/",Table1[[#This Row],[Aliexpress]],".html")</f>
        <v>https://www.aliexpress.com/item/.html</v>
      </c>
      <c r="AS70" s="57"/>
      <c r="AT70" s="59"/>
      <c r="AU70" s="61" t="str">
        <f>IF(Table1[[#This Row],[Banggood]]="","", HYPERLINK(Table1[[#This Row],[Destination - Banggood]],_xlfn.CONCAT("Link (",Table1[[#This Row],[Banggood]],")")))</f>
        <v/>
      </c>
      <c r="AV70" s="62" t="str">
        <f>_xlfn.CONCAT("https://www.banggood.com/search/",Table1[[#This Row],[Banggood]],".html")</f>
        <v>https://www.banggood.com/search/.html</v>
      </c>
      <c r="AW70" s="59" t="str">
        <f>IF(Table1[[#This Row],[Other]]&lt;&gt;"","Other","")</f>
        <v/>
      </c>
      <c r="AX70" s="57"/>
      <c r="AY70" s="59"/>
      <c r="AZ70" s="61" t="str">
        <f>IF(Table1[[#This Row],[Other]]="","",IF(Table1[[#This Row],[Destination - Other]]="","",HYPERLINK(Table1[[#This Row],[Destination - Other]],_xlfn.CONCAT("Link ("&amp;Table1[[#This Row],[Other]]&amp;")"))))</f>
        <v/>
      </c>
      <c r="BA70" s="59"/>
      <c r="BB70" s="58" t="str">
        <f>IF(AND( Table1[[#This Row],[Auto Order]]=1,Table1[[#This Row],[Obsolete]]=""),IF(Table1[[#This Row],[In stock]]&lt;Table1[[#This Row],[Min in stock]],1,""),"")</f>
        <v/>
      </c>
      <c r="BC70" s="64"/>
      <c r="BD70" s="66" t="str">
        <f>IF(Table1[[#This Row],[Obsolete]],Table1[[#This Row],[Art. Number]],"")</f>
        <v/>
      </c>
    </row>
    <row r="71" spans="1:56" x14ac:dyDescent="0.25">
      <c r="A71" s="65" t="s">
        <v>599</v>
      </c>
      <c r="B71" s="57" t="s">
        <v>348</v>
      </c>
      <c r="C71" s="57" t="s">
        <v>97</v>
      </c>
      <c r="D71" s="57" t="s">
        <v>600</v>
      </c>
      <c r="E71" s="57" t="s">
        <v>553</v>
      </c>
      <c r="F71" s="58">
        <v>0</v>
      </c>
      <c r="G71" s="58"/>
      <c r="H71" s="58"/>
      <c r="I7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A110874CT-ND</v>
      </c>
      <c r="J7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0.75</v>
      </c>
      <c r="K7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(A110874CT-ND)</v>
      </c>
      <c r="M71" s="57" t="s">
        <v>601</v>
      </c>
      <c r="N71" s="59">
        <v>0.75</v>
      </c>
      <c r="O71" s="61" t="str">
        <f>IF(Table1[[#This Row],[Digikey]]="","", HYPERLINK(Table1[[#This Row],[Destination - Digikey]],_xlfn.CONCAT("Link (",Table1[[#This Row],[Digikey]],")")))</f>
        <v>Link (A110874CT-ND)</v>
      </c>
      <c r="P71" s="62" t="str">
        <f>_xlfn.CONCAT("https://www.digikey.ch/products/en?keywords=",Table1[[#This Row],[Digikey]])</f>
        <v>https://www.digikey.ch/products/en?keywords=A110874CT-ND</v>
      </c>
      <c r="Q71" s="57"/>
      <c r="R71" s="59"/>
      <c r="S71" s="61" t="str">
        <f>IF(Table1[[#This Row],[Farnell]]="","", HYPERLINK(Table1[[#This Row],[Destination - Farnell]],_xlfn.CONCAT("Link (",Table1[[#This Row],[Farnell]],")")))</f>
        <v/>
      </c>
      <c r="T71" s="62" t="str">
        <f>_xlfn.CONCAT("https://ch.farnell.com/fr-CH/",Table1[[#This Row],[Farnell]])</f>
        <v>https://ch.farnell.com/fr-CH/</v>
      </c>
      <c r="U71" s="57"/>
      <c r="V71" s="59"/>
      <c r="W71" s="61" t="str">
        <f>IF(Table1[[#This Row],[Distrelec]]="","", HYPERLINK(Table1[[#This Row],[Destination - Distrelec]],_xlfn.CONCAT("Link (",Table1[[#This Row],[Distrelec]],")")))</f>
        <v/>
      </c>
      <c r="X71" s="62" t="str">
        <f>_xlfn.CONCAT("https://www.distrelec.ch/search?q=",Table1[[#This Row],[Distrelec]])</f>
        <v>https://www.distrelec.ch/search?q=</v>
      </c>
      <c r="Y71" s="57"/>
      <c r="Z71" s="59"/>
      <c r="AA71" s="61" t="str">
        <f>IF(Table1[[#This Row],[Conrad]]="","", HYPERLINK(Table1[[#This Row],[Destination - Conrad]],_xlfn.CONCAT("Link (",Table1[[#This Row],[Conrad]],")")))</f>
        <v/>
      </c>
      <c r="AB71" s="62"/>
      <c r="AC71" s="57"/>
      <c r="AD71" s="59"/>
      <c r="AE71" s="61" t="str">
        <f>IF(Table1[[#This Row],[Mouser]]="","", HYPERLINK(Table1[[#This Row],[Destination - Mouser]],_xlfn.CONCAT("Link (",Table1[[#This Row],[Mouser]],")")))</f>
        <v/>
      </c>
      <c r="AF71" s="62" t="str">
        <f>_xlfn.CONCAT("https://www.mouser.ch/ProductDetail/",Table1[[#This Row],[Mouser]])</f>
        <v>https://www.mouser.ch/ProductDetail/</v>
      </c>
      <c r="AG71" s="57"/>
      <c r="AH71" s="59"/>
      <c r="AI71" s="61" t="str">
        <f>IF(Table1[[#This Row],[Bauhaus]]="","", HYPERLINK(Table1[[#This Row],[Destination - Bauhaus]],_xlfn.CONCAT("Link (",Table1[[#This Row],[Bauhaus]],")")))</f>
        <v/>
      </c>
      <c r="AJ71" s="62" t="str">
        <f>_xlfn.CONCAT("https://www.bauhaus.ch/fr/search?query=",Table1[[#This Row],[Bauhaus]])</f>
        <v>https://www.bauhaus.ch/fr/search?query=</v>
      </c>
      <c r="AK71" s="59"/>
      <c r="AL71" s="59"/>
      <c r="AM71" s="61" t="str">
        <f>IF(Table1[[#This Row],[BricoEtLoisirs]]="","", HYPERLINK(Table1[[#This Row],[Destination - BricoEtLoisirs]],_xlfn.CONCAT("Link (",Table1[[#This Row],[BricoEtLoisirs]],")")))</f>
        <v/>
      </c>
      <c r="AN71" s="62" t="str">
        <f>_xlfn.CONCAT("https://bricoetloisirs.ch/p/",Table1[[#This Row],[BricoEtLoisirs]])</f>
        <v>https://bricoetloisirs.ch/p/</v>
      </c>
      <c r="AO71" s="57"/>
      <c r="AP71" s="59"/>
      <c r="AQ71" s="61" t="str">
        <f>IF(Table1[[#This Row],[Aliexpress]]="","", HYPERLINK(Table1[[#This Row],[Destination - Aliexpress]],_xlfn.CONCAT("Link (",Table1[[#This Row],[Aliexpress]],")")))</f>
        <v/>
      </c>
      <c r="AR71" s="62" t="str">
        <f>_xlfn.CONCAT("https://www.aliexpress.com/item/",Table1[[#This Row],[Aliexpress]],".html")</f>
        <v>https://www.aliexpress.com/item/.html</v>
      </c>
      <c r="AS71" s="57"/>
      <c r="AT71" s="59"/>
      <c r="AU71" s="61" t="str">
        <f>IF(Table1[[#This Row],[Banggood]]="","", HYPERLINK(Table1[[#This Row],[Destination - Banggood]],_xlfn.CONCAT("Link (",Table1[[#This Row],[Banggood]],")")))</f>
        <v/>
      </c>
      <c r="AV71" s="62" t="str">
        <f>_xlfn.CONCAT("https://www.banggood.com/search/",Table1[[#This Row],[Banggood]],".html")</f>
        <v>https://www.banggood.com/search/.html</v>
      </c>
      <c r="AW71" s="59" t="str">
        <f>IF(Table1[[#This Row],[Other]]&lt;&gt;"","Other","")</f>
        <v/>
      </c>
      <c r="AX71" s="57"/>
      <c r="AY71" s="59"/>
      <c r="AZ71" s="61" t="str">
        <f>IF(Table1[[#This Row],[Other]]="","",IF(Table1[[#This Row],[Destination - Other]]="","",HYPERLINK(Table1[[#This Row],[Destination - Other]],_xlfn.CONCAT("Link ("&amp;Table1[[#This Row],[Other]]&amp;")"))))</f>
        <v/>
      </c>
      <c r="BA71" s="59"/>
      <c r="BB71" s="58" t="str">
        <f>IF(AND( Table1[[#This Row],[Auto Order]]=1,Table1[[#This Row],[Obsolete]]=""),IF(Table1[[#This Row],[In stock]]&lt;Table1[[#This Row],[Min in stock]],1,""),"")</f>
        <v/>
      </c>
      <c r="BC71" s="64"/>
      <c r="BD71" s="66" t="str">
        <f>IF(Table1[[#This Row],[Obsolete]],Table1[[#This Row],[Art. Number]],"")</f>
        <v/>
      </c>
    </row>
    <row r="72" spans="1:56" x14ac:dyDescent="0.25">
      <c r="A72" s="65" t="s">
        <v>603</v>
      </c>
      <c r="B72" s="57" t="s">
        <v>348</v>
      </c>
      <c r="C72" s="57" t="s">
        <v>604</v>
      </c>
      <c r="D72" s="57" t="s">
        <v>605</v>
      </c>
      <c r="E72" s="57" t="s">
        <v>553</v>
      </c>
      <c r="F72" s="58">
        <v>0</v>
      </c>
      <c r="G72" s="58"/>
      <c r="H72" s="58"/>
      <c r="I7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A107014CT-ND</v>
      </c>
      <c r="J7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0.76</v>
      </c>
      <c r="K7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(A107014CT-ND)</v>
      </c>
      <c r="M72" s="57" t="s">
        <v>606</v>
      </c>
      <c r="N72" s="59">
        <v>0.76</v>
      </c>
      <c r="O72" s="61" t="str">
        <f>IF(Table1[[#This Row],[Digikey]]="","", HYPERLINK(Table1[[#This Row],[Destination - Digikey]],_xlfn.CONCAT("Link (",Table1[[#This Row],[Digikey]],")")))</f>
        <v>Link (A107014CT-ND)</v>
      </c>
      <c r="P72" s="62" t="str">
        <f>_xlfn.CONCAT("https://www.digikey.ch/products/en?keywords=",Table1[[#This Row],[Digikey]])</f>
        <v>https://www.digikey.ch/products/en?keywords=A107014CT-ND</v>
      </c>
      <c r="Q72" s="57"/>
      <c r="R72" s="59"/>
      <c r="S72" s="61" t="str">
        <f>IF(Table1[[#This Row],[Farnell]]="","", HYPERLINK(Table1[[#This Row],[Destination - Farnell]],_xlfn.CONCAT("Link (",Table1[[#This Row],[Farnell]],")")))</f>
        <v/>
      </c>
      <c r="T72" s="62" t="str">
        <f>_xlfn.CONCAT("https://ch.farnell.com/fr-CH/",Table1[[#This Row],[Farnell]])</f>
        <v>https://ch.farnell.com/fr-CH/</v>
      </c>
      <c r="U72" s="57"/>
      <c r="V72" s="59"/>
      <c r="W72" s="61" t="str">
        <f>IF(Table1[[#This Row],[Distrelec]]="","", HYPERLINK(Table1[[#This Row],[Destination - Distrelec]],_xlfn.CONCAT("Link (",Table1[[#This Row],[Distrelec]],")")))</f>
        <v/>
      </c>
      <c r="X72" s="62" t="str">
        <f>_xlfn.CONCAT("https://www.distrelec.ch/search?q=",Table1[[#This Row],[Distrelec]])</f>
        <v>https://www.distrelec.ch/search?q=</v>
      </c>
      <c r="Y72" s="57"/>
      <c r="Z72" s="59"/>
      <c r="AA72" s="61" t="str">
        <f>IF(Table1[[#This Row],[Conrad]]="","", HYPERLINK(Table1[[#This Row],[Destination - Conrad]],_xlfn.CONCAT("Link (",Table1[[#This Row],[Conrad]],")")))</f>
        <v/>
      </c>
      <c r="AB72" s="62"/>
      <c r="AC72" s="57"/>
      <c r="AD72" s="59"/>
      <c r="AE72" s="61" t="str">
        <f>IF(Table1[[#This Row],[Mouser]]="","", HYPERLINK(Table1[[#This Row],[Destination - Mouser]],_xlfn.CONCAT("Link (",Table1[[#This Row],[Mouser]],")")))</f>
        <v/>
      </c>
      <c r="AF72" s="62" t="str">
        <f>_xlfn.CONCAT("https://www.mouser.ch/ProductDetail/",Table1[[#This Row],[Mouser]])</f>
        <v>https://www.mouser.ch/ProductDetail/</v>
      </c>
      <c r="AG72" s="57"/>
      <c r="AH72" s="59"/>
      <c r="AI72" s="61" t="str">
        <f>IF(Table1[[#This Row],[Bauhaus]]="","", HYPERLINK(Table1[[#This Row],[Destination - Bauhaus]],_xlfn.CONCAT("Link (",Table1[[#This Row],[Bauhaus]],")")))</f>
        <v/>
      </c>
      <c r="AJ72" s="62" t="str">
        <f>_xlfn.CONCAT("https://www.bauhaus.ch/fr/search?query=",Table1[[#This Row],[Bauhaus]])</f>
        <v>https://www.bauhaus.ch/fr/search?query=</v>
      </c>
      <c r="AK72" s="59"/>
      <c r="AL72" s="59"/>
      <c r="AM72" s="61" t="str">
        <f>IF(Table1[[#This Row],[BricoEtLoisirs]]="","", HYPERLINK(Table1[[#This Row],[Destination - BricoEtLoisirs]],_xlfn.CONCAT("Link (",Table1[[#This Row],[BricoEtLoisirs]],")")))</f>
        <v/>
      </c>
      <c r="AN72" s="62" t="str">
        <f>_xlfn.CONCAT("https://bricoetloisirs.ch/p/",Table1[[#This Row],[BricoEtLoisirs]])</f>
        <v>https://bricoetloisirs.ch/p/</v>
      </c>
      <c r="AO72" s="57"/>
      <c r="AP72" s="59"/>
      <c r="AQ72" s="61" t="str">
        <f>IF(Table1[[#This Row],[Aliexpress]]="","", HYPERLINK(Table1[[#This Row],[Destination - Aliexpress]],_xlfn.CONCAT("Link (",Table1[[#This Row],[Aliexpress]],")")))</f>
        <v/>
      </c>
      <c r="AR72" s="62" t="str">
        <f>_xlfn.CONCAT("https://www.aliexpress.com/item/",Table1[[#This Row],[Aliexpress]],".html")</f>
        <v>https://www.aliexpress.com/item/.html</v>
      </c>
      <c r="AS72" s="57"/>
      <c r="AT72" s="59"/>
      <c r="AU72" s="61" t="str">
        <f>IF(Table1[[#This Row],[Banggood]]="","", HYPERLINK(Table1[[#This Row],[Destination - Banggood]],_xlfn.CONCAT("Link (",Table1[[#This Row],[Banggood]],")")))</f>
        <v/>
      </c>
      <c r="AV72" s="62" t="str">
        <f>_xlfn.CONCAT("https://www.banggood.com/search/",Table1[[#This Row],[Banggood]],".html")</f>
        <v>https://www.banggood.com/search/.html</v>
      </c>
      <c r="AW72" s="59" t="str">
        <f>IF(Table1[[#This Row],[Other]]&lt;&gt;"","Other","")</f>
        <v/>
      </c>
      <c r="AX72" s="57"/>
      <c r="AY72" s="59"/>
      <c r="AZ72" s="61" t="str">
        <f>IF(Table1[[#This Row],[Other]]="","",IF(Table1[[#This Row],[Destination - Other]]="","",HYPERLINK(Table1[[#This Row],[Destination - Other]],_xlfn.CONCAT("Link ("&amp;Table1[[#This Row],[Other]]&amp;")"))))</f>
        <v/>
      </c>
      <c r="BA72" s="59"/>
      <c r="BB72" s="58" t="str">
        <f>IF(AND( Table1[[#This Row],[Auto Order]]=1,Table1[[#This Row],[Obsolete]]=""),IF(Table1[[#This Row],[In stock]]&lt;Table1[[#This Row],[Min in stock]],1,""),"")</f>
        <v/>
      </c>
      <c r="BC72" s="64"/>
      <c r="BD72" s="66" t="str">
        <f>IF(Table1[[#This Row],[Obsolete]],Table1[[#This Row],[Art. Number]],"")</f>
        <v/>
      </c>
    </row>
    <row r="73" spans="1:56" x14ac:dyDescent="0.25">
      <c r="A73" s="65" t="s">
        <v>608</v>
      </c>
      <c r="B73" s="57" t="s">
        <v>348</v>
      </c>
      <c r="C73" s="57" t="s">
        <v>97</v>
      </c>
      <c r="D73" s="57" t="s">
        <v>609</v>
      </c>
      <c r="E73" s="57" t="s">
        <v>553</v>
      </c>
      <c r="F73" s="58">
        <v>0</v>
      </c>
      <c r="G73" s="58"/>
      <c r="H73" s="58"/>
      <c r="I7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A111108CT-ND</v>
      </c>
      <c r="J7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0.66</v>
      </c>
      <c r="K7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(A111108CT-ND)</v>
      </c>
      <c r="M73" s="57" t="s">
        <v>610</v>
      </c>
      <c r="N73" s="59">
        <v>0.66</v>
      </c>
      <c r="O73" s="61" t="str">
        <f>IF(Table1[[#This Row],[Digikey]]="","", HYPERLINK(Table1[[#This Row],[Destination - Digikey]],_xlfn.CONCAT("Link (",Table1[[#This Row],[Digikey]],")")))</f>
        <v>Link (A111108CT-ND)</v>
      </c>
      <c r="P73" s="62" t="str">
        <f>_xlfn.CONCAT("https://www.digikey.ch/products/en?keywords=",Table1[[#This Row],[Digikey]])</f>
        <v>https://www.digikey.ch/products/en?keywords=A111108CT-ND</v>
      </c>
      <c r="Q73" s="57"/>
      <c r="R73" s="59"/>
      <c r="S73" s="61" t="str">
        <f>IF(Table1[[#This Row],[Farnell]]="","", HYPERLINK(Table1[[#This Row],[Destination - Farnell]],_xlfn.CONCAT("Link (",Table1[[#This Row],[Farnell]],")")))</f>
        <v/>
      </c>
      <c r="T73" s="62" t="str">
        <f>_xlfn.CONCAT("https://ch.farnell.com/fr-CH/",Table1[[#This Row],[Farnell]])</f>
        <v>https://ch.farnell.com/fr-CH/</v>
      </c>
      <c r="U73" s="57"/>
      <c r="V73" s="59"/>
      <c r="W73" s="61" t="str">
        <f>IF(Table1[[#This Row],[Distrelec]]="","", HYPERLINK(Table1[[#This Row],[Destination - Distrelec]],_xlfn.CONCAT("Link (",Table1[[#This Row],[Distrelec]],")")))</f>
        <v/>
      </c>
      <c r="X73" s="62" t="str">
        <f>_xlfn.CONCAT("https://www.distrelec.ch/search?q=",Table1[[#This Row],[Distrelec]])</f>
        <v>https://www.distrelec.ch/search?q=</v>
      </c>
      <c r="Y73" s="57"/>
      <c r="Z73" s="59"/>
      <c r="AA73" s="61" t="str">
        <f>IF(Table1[[#This Row],[Conrad]]="","", HYPERLINK(Table1[[#This Row],[Destination - Conrad]],_xlfn.CONCAT("Link (",Table1[[#This Row],[Conrad]],")")))</f>
        <v/>
      </c>
      <c r="AB73" s="62"/>
      <c r="AC73" s="57"/>
      <c r="AD73" s="59"/>
      <c r="AE73" s="61" t="str">
        <f>IF(Table1[[#This Row],[Mouser]]="","", HYPERLINK(Table1[[#This Row],[Destination - Mouser]],_xlfn.CONCAT("Link (",Table1[[#This Row],[Mouser]],")")))</f>
        <v/>
      </c>
      <c r="AF73" s="62" t="str">
        <f>_xlfn.CONCAT("https://www.mouser.ch/ProductDetail/",Table1[[#This Row],[Mouser]])</f>
        <v>https://www.mouser.ch/ProductDetail/</v>
      </c>
      <c r="AG73" s="57"/>
      <c r="AH73" s="59"/>
      <c r="AI73" s="61" t="str">
        <f>IF(Table1[[#This Row],[Bauhaus]]="","", HYPERLINK(Table1[[#This Row],[Destination - Bauhaus]],_xlfn.CONCAT("Link (",Table1[[#This Row],[Bauhaus]],")")))</f>
        <v/>
      </c>
      <c r="AJ73" s="62" t="str">
        <f>_xlfn.CONCAT("https://www.bauhaus.ch/fr/search?query=",Table1[[#This Row],[Bauhaus]])</f>
        <v>https://www.bauhaus.ch/fr/search?query=</v>
      </c>
      <c r="AK73" s="59"/>
      <c r="AL73" s="59"/>
      <c r="AM73" s="61" t="str">
        <f>IF(Table1[[#This Row],[BricoEtLoisirs]]="","", HYPERLINK(Table1[[#This Row],[Destination - BricoEtLoisirs]],_xlfn.CONCAT("Link (",Table1[[#This Row],[BricoEtLoisirs]],")")))</f>
        <v/>
      </c>
      <c r="AN73" s="62" t="str">
        <f>_xlfn.CONCAT("https://bricoetloisirs.ch/p/",Table1[[#This Row],[BricoEtLoisirs]])</f>
        <v>https://bricoetloisirs.ch/p/</v>
      </c>
      <c r="AO73" s="57"/>
      <c r="AP73" s="59"/>
      <c r="AQ73" s="61" t="str">
        <f>IF(Table1[[#This Row],[Aliexpress]]="","", HYPERLINK(Table1[[#This Row],[Destination - Aliexpress]],_xlfn.CONCAT("Link (",Table1[[#This Row],[Aliexpress]],")")))</f>
        <v/>
      </c>
      <c r="AR73" s="62" t="str">
        <f>_xlfn.CONCAT("https://www.aliexpress.com/item/",Table1[[#This Row],[Aliexpress]],".html")</f>
        <v>https://www.aliexpress.com/item/.html</v>
      </c>
      <c r="AS73" s="57"/>
      <c r="AT73" s="59"/>
      <c r="AU73" s="61" t="str">
        <f>IF(Table1[[#This Row],[Banggood]]="","", HYPERLINK(Table1[[#This Row],[Destination - Banggood]],_xlfn.CONCAT("Link (",Table1[[#This Row],[Banggood]],")")))</f>
        <v/>
      </c>
      <c r="AV73" s="62" t="str">
        <f>_xlfn.CONCAT("https://www.banggood.com/search/",Table1[[#This Row],[Banggood]],".html")</f>
        <v>https://www.banggood.com/search/.html</v>
      </c>
      <c r="AW73" s="59" t="str">
        <f>IF(Table1[[#This Row],[Other]]&lt;&gt;"","Other","")</f>
        <v/>
      </c>
      <c r="AX73" s="57"/>
      <c r="AY73" s="59"/>
      <c r="AZ73" s="61" t="str">
        <f>IF(Table1[[#This Row],[Other]]="","",IF(Table1[[#This Row],[Destination - Other]]="","",HYPERLINK(Table1[[#This Row],[Destination - Other]],_xlfn.CONCAT("Link ("&amp;Table1[[#This Row],[Other]]&amp;")"))))</f>
        <v/>
      </c>
      <c r="BA73" s="59"/>
      <c r="BB73" s="58" t="str">
        <f>IF(AND( Table1[[#This Row],[Auto Order]]=1,Table1[[#This Row],[Obsolete]]=""),IF(Table1[[#This Row],[In stock]]&lt;Table1[[#This Row],[Min in stock]],1,""),"")</f>
        <v/>
      </c>
      <c r="BC73" s="64"/>
      <c r="BD73" s="66" t="str">
        <f>IF(Table1[[#This Row],[Obsolete]],Table1[[#This Row],[Art. Number]],"")</f>
        <v/>
      </c>
    </row>
    <row r="74" spans="1:56" x14ac:dyDescent="0.25">
      <c r="A74" s="65" t="s">
        <v>612</v>
      </c>
      <c r="B74" s="57" t="s">
        <v>348</v>
      </c>
      <c r="C74" s="57" t="s">
        <v>97</v>
      </c>
      <c r="D74" s="57" t="s">
        <v>613</v>
      </c>
      <c r="E74" s="57" t="s">
        <v>553</v>
      </c>
      <c r="F74" s="58">
        <v>0</v>
      </c>
      <c r="G74" s="58"/>
      <c r="H74" s="58"/>
      <c r="I7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A105451CT-ND</v>
      </c>
      <c r="J7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0.54</v>
      </c>
      <c r="K7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(A105451CT-ND)</v>
      </c>
      <c r="M74" s="57" t="s">
        <v>614</v>
      </c>
      <c r="N74" s="59">
        <v>0.54</v>
      </c>
      <c r="O74" s="61" t="str">
        <f>IF(Table1[[#This Row],[Digikey]]="","", HYPERLINK(Table1[[#This Row],[Destination - Digikey]],_xlfn.CONCAT("Link (",Table1[[#This Row],[Digikey]],")")))</f>
        <v>Link (A105451CT-ND)</v>
      </c>
      <c r="P74" s="62" t="str">
        <f>_xlfn.CONCAT("https://www.digikey.ch/products/en?keywords=",Table1[[#This Row],[Digikey]])</f>
        <v>https://www.digikey.ch/products/en?keywords=A105451CT-ND</v>
      </c>
      <c r="Q74" s="57"/>
      <c r="R74" s="59"/>
      <c r="S74" s="61" t="str">
        <f>IF(Table1[[#This Row],[Farnell]]="","", HYPERLINK(Table1[[#This Row],[Destination - Farnell]],_xlfn.CONCAT("Link (",Table1[[#This Row],[Farnell]],")")))</f>
        <v/>
      </c>
      <c r="T74" s="62" t="str">
        <f>_xlfn.CONCAT("https://ch.farnell.com/fr-CH/",Table1[[#This Row],[Farnell]])</f>
        <v>https://ch.farnell.com/fr-CH/</v>
      </c>
      <c r="U74" s="57"/>
      <c r="V74" s="59"/>
      <c r="W74" s="61" t="str">
        <f>IF(Table1[[#This Row],[Distrelec]]="","", HYPERLINK(Table1[[#This Row],[Destination - Distrelec]],_xlfn.CONCAT("Link (",Table1[[#This Row],[Distrelec]],")")))</f>
        <v/>
      </c>
      <c r="X74" s="62" t="str">
        <f>_xlfn.CONCAT("https://www.distrelec.ch/search?q=",Table1[[#This Row],[Distrelec]])</f>
        <v>https://www.distrelec.ch/search?q=</v>
      </c>
      <c r="Y74" s="57"/>
      <c r="Z74" s="59"/>
      <c r="AA74" s="61" t="str">
        <f>IF(Table1[[#This Row],[Conrad]]="","", HYPERLINK(Table1[[#This Row],[Destination - Conrad]],_xlfn.CONCAT("Link (",Table1[[#This Row],[Conrad]],")")))</f>
        <v/>
      </c>
      <c r="AB74" s="62"/>
      <c r="AC74" s="57"/>
      <c r="AD74" s="59"/>
      <c r="AE74" s="61" t="str">
        <f>IF(Table1[[#This Row],[Mouser]]="","", HYPERLINK(Table1[[#This Row],[Destination - Mouser]],_xlfn.CONCAT("Link (",Table1[[#This Row],[Mouser]],")")))</f>
        <v/>
      </c>
      <c r="AF74" s="62" t="str">
        <f>_xlfn.CONCAT("https://www.mouser.ch/ProductDetail/",Table1[[#This Row],[Mouser]])</f>
        <v>https://www.mouser.ch/ProductDetail/</v>
      </c>
      <c r="AG74" s="57"/>
      <c r="AH74" s="59"/>
      <c r="AI74" s="61" t="str">
        <f>IF(Table1[[#This Row],[Bauhaus]]="","", HYPERLINK(Table1[[#This Row],[Destination - Bauhaus]],_xlfn.CONCAT("Link (",Table1[[#This Row],[Bauhaus]],")")))</f>
        <v/>
      </c>
      <c r="AJ74" s="62" t="str">
        <f>_xlfn.CONCAT("https://www.bauhaus.ch/fr/search?query=",Table1[[#This Row],[Bauhaus]])</f>
        <v>https://www.bauhaus.ch/fr/search?query=</v>
      </c>
      <c r="AK74" s="59"/>
      <c r="AL74" s="59"/>
      <c r="AM74" s="61" t="str">
        <f>IF(Table1[[#This Row],[BricoEtLoisirs]]="","", HYPERLINK(Table1[[#This Row],[Destination - BricoEtLoisirs]],_xlfn.CONCAT("Link (",Table1[[#This Row],[BricoEtLoisirs]],")")))</f>
        <v/>
      </c>
      <c r="AN74" s="62" t="str">
        <f>_xlfn.CONCAT("https://bricoetloisirs.ch/p/",Table1[[#This Row],[BricoEtLoisirs]])</f>
        <v>https://bricoetloisirs.ch/p/</v>
      </c>
      <c r="AO74" s="57"/>
      <c r="AP74" s="59"/>
      <c r="AQ74" s="61" t="str">
        <f>IF(Table1[[#This Row],[Aliexpress]]="","", HYPERLINK(Table1[[#This Row],[Destination - Aliexpress]],_xlfn.CONCAT("Link (",Table1[[#This Row],[Aliexpress]],")")))</f>
        <v/>
      </c>
      <c r="AR74" s="62" t="str">
        <f>_xlfn.CONCAT("https://www.aliexpress.com/item/",Table1[[#This Row],[Aliexpress]],".html")</f>
        <v>https://www.aliexpress.com/item/.html</v>
      </c>
      <c r="AS74" s="57"/>
      <c r="AT74" s="59"/>
      <c r="AU74" s="61" t="str">
        <f>IF(Table1[[#This Row],[Banggood]]="","", HYPERLINK(Table1[[#This Row],[Destination - Banggood]],_xlfn.CONCAT("Link (",Table1[[#This Row],[Banggood]],")")))</f>
        <v/>
      </c>
      <c r="AV74" s="62" t="str">
        <f>_xlfn.CONCAT("https://www.banggood.com/search/",Table1[[#This Row],[Banggood]],".html")</f>
        <v>https://www.banggood.com/search/.html</v>
      </c>
      <c r="AW74" s="59" t="str">
        <f>IF(Table1[[#This Row],[Other]]&lt;&gt;"","Other","")</f>
        <v/>
      </c>
      <c r="AX74" s="57"/>
      <c r="AY74" s="59"/>
      <c r="AZ74" s="61" t="str">
        <f>IF(Table1[[#This Row],[Other]]="","",IF(Table1[[#This Row],[Destination - Other]]="","",HYPERLINK(Table1[[#This Row],[Destination - Other]],_xlfn.CONCAT("Link ("&amp;Table1[[#This Row],[Other]]&amp;")"))))</f>
        <v/>
      </c>
      <c r="BA74" s="59"/>
      <c r="BB74" s="58" t="str">
        <f>IF(AND( Table1[[#This Row],[Auto Order]]=1,Table1[[#This Row],[Obsolete]]=""),IF(Table1[[#This Row],[In stock]]&lt;Table1[[#This Row],[Min in stock]],1,""),"")</f>
        <v/>
      </c>
      <c r="BC74" s="64"/>
      <c r="BD74" s="66" t="str">
        <f>IF(Table1[[#This Row],[Obsolete]],Table1[[#This Row],[Art. Number]],"")</f>
        <v/>
      </c>
    </row>
    <row r="75" spans="1:56" x14ac:dyDescent="0.25">
      <c r="A75" s="65" t="s">
        <v>616</v>
      </c>
      <c r="B75" s="57" t="s">
        <v>348</v>
      </c>
      <c r="C75" s="57" t="s">
        <v>97</v>
      </c>
      <c r="D75" s="57" t="s">
        <v>617</v>
      </c>
      <c r="E75" s="57" t="s">
        <v>553</v>
      </c>
      <c r="F75" s="58">
        <v>0</v>
      </c>
      <c r="G75" s="58"/>
      <c r="H75" s="58"/>
      <c r="I7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A99464CT-ND</v>
      </c>
      <c r="J7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</v>
      </c>
      <c r="K7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(A99464CT-ND)</v>
      </c>
      <c r="M75" s="57" t="s">
        <v>618</v>
      </c>
      <c r="N75" s="59">
        <v>0.8</v>
      </c>
      <c r="O75" s="61" t="str">
        <f>IF(Table1[[#This Row],[Digikey]]="","", HYPERLINK(Table1[[#This Row],[Destination - Digikey]],_xlfn.CONCAT("Link (",Table1[[#This Row],[Digikey]],")")))</f>
        <v>Link (A99464CT-ND)</v>
      </c>
      <c r="P75" s="62" t="str">
        <f>_xlfn.CONCAT("https://www.digikey.ch/products/en?keywords=",Table1[[#This Row],[Digikey]])</f>
        <v>https://www.digikey.ch/products/en?keywords=A99464CT-ND</v>
      </c>
      <c r="Q75" s="57"/>
      <c r="R75" s="59"/>
      <c r="S75" s="61" t="str">
        <f>IF(Table1[[#This Row],[Farnell]]="","", HYPERLINK(Table1[[#This Row],[Destination - Farnell]],_xlfn.CONCAT("Link (",Table1[[#This Row],[Farnell]],")")))</f>
        <v/>
      </c>
      <c r="T75" s="62" t="str">
        <f>_xlfn.CONCAT("https://ch.farnell.com/fr-CH/",Table1[[#This Row],[Farnell]])</f>
        <v>https://ch.farnell.com/fr-CH/</v>
      </c>
      <c r="U75" s="57"/>
      <c r="V75" s="59"/>
      <c r="W75" s="61" t="str">
        <f>IF(Table1[[#This Row],[Distrelec]]="","", HYPERLINK(Table1[[#This Row],[Destination - Distrelec]],_xlfn.CONCAT("Link (",Table1[[#This Row],[Distrelec]],")")))</f>
        <v/>
      </c>
      <c r="X75" s="62" t="str">
        <f>_xlfn.CONCAT("https://www.distrelec.ch/search?q=",Table1[[#This Row],[Distrelec]])</f>
        <v>https://www.distrelec.ch/search?q=</v>
      </c>
      <c r="Y75" s="57"/>
      <c r="Z75" s="59"/>
      <c r="AA75" s="61" t="str">
        <f>IF(Table1[[#This Row],[Conrad]]="","", HYPERLINK(Table1[[#This Row],[Destination - Conrad]],_xlfn.CONCAT("Link (",Table1[[#This Row],[Conrad]],")")))</f>
        <v/>
      </c>
      <c r="AB75" s="62"/>
      <c r="AC75" s="57"/>
      <c r="AD75" s="59"/>
      <c r="AE75" s="61" t="str">
        <f>IF(Table1[[#This Row],[Mouser]]="","", HYPERLINK(Table1[[#This Row],[Destination - Mouser]],_xlfn.CONCAT("Link (",Table1[[#This Row],[Mouser]],")")))</f>
        <v/>
      </c>
      <c r="AF75" s="62" t="str">
        <f>_xlfn.CONCAT("https://www.mouser.ch/ProductDetail/",Table1[[#This Row],[Mouser]])</f>
        <v>https://www.mouser.ch/ProductDetail/</v>
      </c>
      <c r="AG75" s="57"/>
      <c r="AH75" s="59"/>
      <c r="AI75" s="61" t="str">
        <f>IF(Table1[[#This Row],[Bauhaus]]="","", HYPERLINK(Table1[[#This Row],[Destination - Bauhaus]],_xlfn.CONCAT("Link (",Table1[[#This Row],[Bauhaus]],")")))</f>
        <v/>
      </c>
      <c r="AJ75" s="62" t="str">
        <f>_xlfn.CONCAT("https://www.bauhaus.ch/fr/search?query=",Table1[[#This Row],[Bauhaus]])</f>
        <v>https://www.bauhaus.ch/fr/search?query=</v>
      </c>
      <c r="AK75" s="59"/>
      <c r="AL75" s="59"/>
      <c r="AM75" s="61" t="str">
        <f>IF(Table1[[#This Row],[BricoEtLoisirs]]="","", HYPERLINK(Table1[[#This Row],[Destination - BricoEtLoisirs]],_xlfn.CONCAT("Link (",Table1[[#This Row],[BricoEtLoisirs]],")")))</f>
        <v/>
      </c>
      <c r="AN75" s="62" t="str">
        <f>_xlfn.CONCAT("https://bricoetloisirs.ch/p/",Table1[[#This Row],[BricoEtLoisirs]])</f>
        <v>https://bricoetloisirs.ch/p/</v>
      </c>
      <c r="AO75" s="57"/>
      <c r="AP75" s="59"/>
      <c r="AQ75" s="61" t="str">
        <f>IF(Table1[[#This Row],[Aliexpress]]="","", HYPERLINK(Table1[[#This Row],[Destination - Aliexpress]],_xlfn.CONCAT("Link (",Table1[[#This Row],[Aliexpress]],")")))</f>
        <v/>
      </c>
      <c r="AR75" s="62" t="str">
        <f>_xlfn.CONCAT("https://www.aliexpress.com/item/",Table1[[#This Row],[Aliexpress]],".html")</f>
        <v>https://www.aliexpress.com/item/.html</v>
      </c>
      <c r="AS75" s="57"/>
      <c r="AT75" s="59"/>
      <c r="AU75" s="61" t="str">
        <f>IF(Table1[[#This Row],[Banggood]]="","", HYPERLINK(Table1[[#This Row],[Destination - Banggood]],_xlfn.CONCAT("Link (",Table1[[#This Row],[Banggood]],")")))</f>
        <v/>
      </c>
      <c r="AV75" s="62" t="str">
        <f>_xlfn.CONCAT("https://www.banggood.com/search/",Table1[[#This Row],[Banggood]],".html")</f>
        <v>https://www.banggood.com/search/.html</v>
      </c>
      <c r="AW75" s="59" t="str">
        <f>IF(Table1[[#This Row],[Other]]&lt;&gt;"","Other","")</f>
        <v/>
      </c>
      <c r="AX75" s="57"/>
      <c r="AY75" s="59"/>
      <c r="AZ75" s="61" t="str">
        <f>IF(Table1[[#This Row],[Other]]="","",IF(Table1[[#This Row],[Destination - Other]]="","",HYPERLINK(Table1[[#This Row],[Destination - Other]],_xlfn.CONCAT("Link ("&amp;Table1[[#This Row],[Other]]&amp;")"))))</f>
        <v/>
      </c>
      <c r="BA75" s="59"/>
      <c r="BB75" s="58" t="str">
        <f>IF(AND( Table1[[#This Row],[Auto Order]]=1,Table1[[#This Row],[Obsolete]]=""),IF(Table1[[#This Row],[In stock]]&lt;Table1[[#This Row],[Min in stock]],1,""),"")</f>
        <v/>
      </c>
      <c r="BC75" s="64"/>
      <c r="BD75" s="66" t="str">
        <f>IF(Table1[[#This Row],[Obsolete]],Table1[[#This Row],[Art. Number]],"")</f>
        <v/>
      </c>
    </row>
    <row r="76" spans="1:56" x14ac:dyDescent="0.25">
      <c r="A76" s="65" t="s">
        <v>2385</v>
      </c>
      <c r="B76" s="57" t="s">
        <v>508</v>
      </c>
      <c r="C76" s="57" t="s">
        <v>97</v>
      </c>
      <c r="D76" s="57" t="s">
        <v>620</v>
      </c>
      <c r="E76" s="57" t="s">
        <v>621</v>
      </c>
      <c r="F76" s="58">
        <v>0</v>
      </c>
      <c r="G76" s="58"/>
      <c r="H76" s="58"/>
      <c r="I7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WM4201-ND</v>
      </c>
      <c r="J7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0.24</v>
      </c>
      <c r="K7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(WM4201-ND)</v>
      </c>
      <c r="M76" s="57" t="s">
        <v>622</v>
      </c>
      <c r="N76" s="59">
        <v>0.24</v>
      </c>
      <c r="O76" s="61" t="str">
        <f>IF(Table1[[#This Row],[Digikey]]="","", HYPERLINK(Table1[[#This Row],[Destination - Digikey]],_xlfn.CONCAT("Link (",Table1[[#This Row],[Digikey]],")")))</f>
        <v>Link (WM4201-ND)</v>
      </c>
      <c r="P76" s="62" t="str">
        <f>_xlfn.CONCAT("https://www.digikey.ch/products/en?keywords=",Table1[[#This Row],[Digikey]])</f>
        <v>https://www.digikey.ch/products/en?keywords=WM4201-ND</v>
      </c>
      <c r="Q76" s="57"/>
      <c r="R76" s="59"/>
      <c r="S76" s="61" t="str">
        <f>IF(Table1[[#This Row],[Farnell]]="","", HYPERLINK(Table1[[#This Row],[Destination - Farnell]],_xlfn.CONCAT("Link (",Table1[[#This Row],[Farnell]],")")))</f>
        <v/>
      </c>
      <c r="T76" s="62" t="str">
        <f>_xlfn.CONCAT("https://ch.farnell.com/fr-CH/",Table1[[#This Row],[Farnell]])</f>
        <v>https://ch.farnell.com/fr-CH/</v>
      </c>
      <c r="U76" s="57"/>
      <c r="V76" s="59"/>
      <c r="W76" s="61" t="str">
        <f>IF(Table1[[#This Row],[Distrelec]]="","", HYPERLINK(Table1[[#This Row],[Destination - Distrelec]],_xlfn.CONCAT("Link (",Table1[[#This Row],[Distrelec]],")")))</f>
        <v/>
      </c>
      <c r="X76" s="62" t="str">
        <f>_xlfn.CONCAT("https://www.distrelec.ch/search?q=",Table1[[#This Row],[Distrelec]])</f>
        <v>https://www.distrelec.ch/search?q=</v>
      </c>
      <c r="Y76" s="57"/>
      <c r="Z76" s="59"/>
      <c r="AA76" s="61" t="str">
        <f>IF(Table1[[#This Row],[Conrad]]="","", HYPERLINK(Table1[[#This Row],[Destination - Conrad]],_xlfn.CONCAT("Link (",Table1[[#This Row],[Conrad]],")")))</f>
        <v/>
      </c>
      <c r="AB76" s="62"/>
      <c r="AC76" s="57"/>
      <c r="AD76" s="59"/>
      <c r="AE76" s="61" t="str">
        <f>IF(Table1[[#This Row],[Mouser]]="","", HYPERLINK(Table1[[#This Row],[Destination - Mouser]],_xlfn.CONCAT("Link (",Table1[[#This Row],[Mouser]],")")))</f>
        <v/>
      </c>
      <c r="AF76" s="62" t="str">
        <f>_xlfn.CONCAT("https://www.mouser.ch/ProductDetail/",Table1[[#This Row],[Mouser]])</f>
        <v>https://www.mouser.ch/ProductDetail/</v>
      </c>
      <c r="AG76" s="57"/>
      <c r="AH76" s="59"/>
      <c r="AI76" s="61" t="str">
        <f>IF(Table1[[#This Row],[Bauhaus]]="","", HYPERLINK(Table1[[#This Row],[Destination - Bauhaus]],_xlfn.CONCAT("Link (",Table1[[#This Row],[Bauhaus]],")")))</f>
        <v/>
      </c>
      <c r="AJ76" s="62" t="str">
        <f>_xlfn.CONCAT("https://www.bauhaus.ch/fr/search?query=",Table1[[#This Row],[Bauhaus]])</f>
        <v>https://www.bauhaus.ch/fr/search?query=</v>
      </c>
      <c r="AK76" s="59"/>
      <c r="AL76" s="59"/>
      <c r="AM76" s="61" t="str">
        <f>IF(Table1[[#This Row],[BricoEtLoisirs]]="","", HYPERLINK(Table1[[#This Row],[Destination - BricoEtLoisirs]],_xlfn.CONCAT("Link (",Table1[[#This Row],[BricoEtLoisirs]],")")))</f>
        <v/>
      </c>
      <c r="AN76" s="62" t="str">
        <f>_xlfn.CONCAT("https://bricoetloisirs.ch/p/",Table1[[#This Row],[BricoEtLoisirs]])</f>
        <v>https://bricoetloisirs.ch/p/</v>
      </c>
      <c r="AO76" s="57"/>
      <c r="AP76" s="59"/>
      <c r="AQ76" s="61" t="str">
        <f>IF(Table1[[#This Row],[Aliexpress]]="","", HYPERLINK(Table1[[#This Row],[Destination - Aliexpress]],_xlfn.CONCAT("Link (",Table1[[#This Row],[Aliexpress]],")")))</f>
        <v/>
      </c>
      <c r="AR76" s="62" t="str">
        <f>_xlfn.CONCAT("https://www.aliexpress.com/item/",Table1[[#This Row],[Aliexpress]],".html")</f>
        <v>https://www.aliexpress.com/item/.html</v>
      </c>
      <c r="AS76" s="57"/>
      <c r="AT76" s="59"/>
      <c r="AU76" s="61" t="str">
        <f>IF(Table1[[#This Row],[Banggood]]="","", HYPERLINK(Table1[[#This Row],[Destination - Banggood]],_xlfn.CONCAT("Link (",Table1[[#This Row],[Banggood]],")")))</f>
        <v/>
      </c>
      <c r="AV76" s="62" t="str">
        <f>_xlfn.CONCAT("https://www.banggood.com/search/",Table1[[#This Row],[Banggood]],".html")</f>
        <v>https://www.banggood.com/search/.html</v>
      </c>
      <c r="AW76" s="59" t="str">
        <f>IF(Table1[[#This Row],[Other]]&lt;&gt;"","Other","")</f>
        <v/>
      </c>
      <c r="AX76" s="57"/>
      <c r="AY76" s="59"/>
      <c r="AZ76" s="61" t="str">
        <f>IF(Table1[[#This Row],[Other]]="","",IF(Table1[[#This Row],[Destination - Other]]="","",HYPERLINK(Table1[[#This Row],[Destination - Other]],_xlfn.CONCAT("Link ("&amp;Table1[[#This Row],[Other]]&amp;")"))))</f>
        <v/>
      </c>
      <c r="BA76" s="59"/>
      <c r="BB76" s="58" t="str">
        <f>IF(AND( Table1[[#This Row],[Auto Order]]=1,Table1[[#This Row],[Obsolete]]=""),IF(Table1[[#This Row],[In stock]]&lt;Table1[[#This Row],[Min in stock]],1,""),"")</f>
        <v/>
      </c>
      <c r="BC76" s="64"/>
      <c r="BD76" s="66" t="str">
        <f>IF(Table1[[#This Row],[Obsolete]],Table1[[#This Row],[Art. Number]],"")</f>
        <v/>
      </c>
    </row>
    <row r="77" spans="1:56" x14ac:dyDescent="0.25">
      <c r="A77" s="65" t="s">
        <v>2386</v>
      </c>
      <c r="B77" s="57" t="s">
        <v>508</v>
      </c>
      <c r="C77" s="57" t="s">
        <v>97</v>
      </c>
      <c r="D77" s="57" t="s">
        <v>624</v>
      </c>
      <c r="E77" s="57" t="s">
        <v>621</v>
      </c>
      <c r="F77" s="58">
        <v>0</v>
      </c>
      <c r="G77" s="58"/>
      <c r="H77" s="58"/>
      <c r="I7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WM4202-ND</v>
      </c>
      <c r="J7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0.27</v>
      </c>
      <c r="K7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(WM4202-ND)</v>
      </c>
      <c r="M77" s="57" t="s">
        <v>625</v>
      </c>
      <c r="N77" s="59">
        <v>0.27</v>
      </c>
      <c r="O77" s="61" t="str">
        <f>IF(Table1[[#This Row],[Digikey]]="","", HYPERLINK(Table1[[#This Row],[Destination - Digikey]],_xlfn.CONCAT("Link (",Table1[[#This Row],[Digikey]],")")))</f>
        <v>Link (WM4202-ND)</v>
      </c>
      <c r="P77" s="62" t="str">
        <f>_xlfn.CONCAT("https://www.digikey.ch/products/en?keywords=",Table1[[#This Row],[Digikey]])</f>
        <v>https://www.digikey.ch/products/en?keywords=WM4202-ND</v>
      </c>
      <c r="Q77" s="57"/>
      <c r="R77" s="59"/>
      <c r="S77" s="61" t="str">
        <f>IF(Table1[[#This Row],[Farnell]]="","", HYPERLINK(Table1[[#This Row],[Destination - Farnell]],_xlfn.CONCAT("Link (",Table1[[#This Row],[Farnell]],")")))</f>
        <v/>
      </c>
      <c r="T77" s="62" t="str">
        <f>_xlfn.CONCAT("https://ch.farnell.com/fr-CH/",Table1[[#This Row],[Farnell]])</f>
        <v>https://ch.farnell.com/fr-CH/</v>
      </c>
      <c r="U77" s="57"/>
      <c r="V77" s="59"/>
      <c r="W77" s="61" t="str">
        <f>IF(Table1[[#This Row],[Distrelec]]="","", HYPERLINK(Table1[[#This Row],[Destination - Distrelec]],_xlfn.CONCAT("Link (",Table1[[#This Row],[Distrelec]],")")))</f>
        <v/>
      </c>
      <c r="X77" s="62" t="str">
        <f>_xlfn.CONCAT("https://www.distrelec.ch/search?q=",Table1[[#This Row],[Distrelec]])</f>
        <v>https://www.distrelec.ch/search?q=</v>
      </c>
      <c r="Y77" s="57"/>
      <c r="Z77" s="59"/>
      <c r="AA77" s="61" t="str">
        <f>IF(Table1[[#This Row],[Conrad]]="","", HYPERLINK(Table1[[#This Row],[Destination - Conrad]],_xlfn.CONCAT("Link (",Table1[[#This Row],[Conrad]],")")))</f>
        <v/>
      </c>
      <c r="AB77" s="62"/>
      <c r="AC77" s="57"/>
      <c r="AD77" s="59"/>
      <c r="AE77" s="61" t="str">
        <f>IF(Table1[[#This Row],[Mouser]]="","", HYPERLINK(Table1[[#This Row],[Destination - Mouser]],_xlfn.CONCAT("Link (",Table1[[#This Row],[Mouser]],")")))</f>
        <v/>
      </c>
      <c r="AF77" s="62" t="str">
        <f>_xlfn.CONCAT("https://www.mouser.ch/ProductDetail/",Table1[[#This Row],[Mouser]])</f>
        <v>https://www.mouser.ch/ProductDetail/</v>
      </c>
      <c r="AG77" s="57"/>
      <c r="AH77" s="59"/>
      <c r="AI77" s="61" t="str">
        <f>IF(Table1[[#This Row],[Bauhaus]]="","", HYPERLINK(Table1[[#This Row],[Destination - Bauhaus]],_xlfn.CONCAT("Link (",Table1[[#This Row],[Bauhaus]],")")))</f>
        <v/>
      </c>
      <c r="AJ77" s="62" t="str">
        <f>_xlfn.CONCAT("https://www.bauhaus.ch/fr/search?query=",Table1[[#This Row],[Bauhaus]])</f>
        <v>https://www.bauhaus.ch/fr/search?query=</v>
      </c>
      <c r="AK77" s="59"/>
      <c r="AL77" s="59"/>
      <c r="AM77" s="61" t="str">
        <f>IF(Table1[[#This Row],[BricoEtLoisirs]]="","", HYPERLINK(Table1[[#This Row],[Destination - BricoEtLoisirs]],_xlfn.CONCAT("Link (",Table1[[#This Row],[BricoEtLoisirs]],")")))</f>
        <v/>
      </c>
      <c r="AN77" s="62" t="str">
        <f>_xlfn.CONCAT("https://bricoetloisirs.ch/p/",Table1[[#This Row],[BricoEtLoisirs]])</f>
        <v>https://bricoetloisirs.ch/p/</v>
      </c>
      <c r="AO77" s="57"/>
      <c r="AP77" s="59"/>
      <c r="AQ77" s="61" t="str">
        <f>IF(Table1[[#This Row],[Aliexpress]]="","", HYPERLINK(Table1[[#This Row],[Destination - Aliexpress]],_xlfn.CONCAT("Link (",Table1[[#This Row],[Aliexpress]],")")))</f>
        <v/>
      </c>
      <c r="AR77" s="62" t="str">
        <f>_xlfn.CONCAT("https://www.aliexpress.com/item/",Table1[[#This Row],[Aliexpress]],".html")</f>
        <v>https://www.aliexpress.com/item/.html</v>
      </c>
      <c r="AS77" s="57"/>
      <c r="AT77" s="59"/>
      <c r="AU77" s="61" t="str">
        <f>IF(Table1[[#This Row],[Banggood]]="","", HYPERLINK(Table1[[#This Row],[Destination - Banggood]],_xlfn.CONCAT("Link (",Table1[[#This Row],[Banggood]],")")))</f>
        <v/>
      </c>
      <c r="AV77" s="62" t="str">
        <f>_xlfn.CONCAT("https://www.banggood.com/search/",Table1[[#This Row],[Banggood]],".html")</f>
        <v>https://www.banggood.com/search/.html</v>
      </c>
      <c r="AW77" s="59" t="str">
        <f>IF(Table1[[#This Row],[Other]]&lt;&gt;"","Other","")</f>
        <v/>
      </c>
      <c r="AX77" s="57"/>
      <c r="AY77" s="59"/>
      <c r="AZ77" s="61" t="str">
        <f>IF(Table1[[#This Row],[Other]]="","",IF(Table1[[#This Row],[Destination - Other]]="","",HYPERLINK(Table1[[#This Row],[Destination - Other]],_xlfn.CONCAT("Link ("&amp;Table1[[#This Row],[Other]]&amp;")"))))</f>
        <v/>
      </c>
      <c r="BA77" s="59"/>
      <c r="BB77" s="58" t="str">
        <f>IF(AND( Table1[[#This Row],[Auto Order]]=1,Table1[[#This Row],[Obsolete]]=""),IF(Table1[[#This Row],[In stock]]&lt;Table1[[#This Row],[Min in stock]],1,""),"")</f>
        <v/>
      </c>
      <c r="BC77" s="64"/>
      <c r="BD77" s="66" t="str">
        <f>IF(Table1[[#This Row],[Obsolete]],Table1[[#This Row],[Art. Number]],"")</f>
        <v/>
      </c>
    </row>
    <row r="78" spans="1:56" x14ac:dyDescent="0.25">
      <c r="A78" s="65" t="s">
        <v>2387</v>
      </c>
      <c r="B78" s="57" t="s">
        <v>508</v>
      </c>
      <c r="C78" s="57" t="s">
        <v>97</v>
      </c>
      <c r="D78" s="57" t="s">
        <v>627</v>
      </c>
      <c r="E78" s="57" t="s">
        <v>621</v>
      </c>
      <c r="F78" s="58">
        <v>0</v>
      </c>
      <c r="G78" s="58"/>
      <c r="H78" s="58"/>
      <c r="I7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WM4203-ND</v>
      </c>
      <c r="J7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0.36</v>
      </c>
      <c r="K7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(WM4203-ND)</v>
      </c>
      <c r="M78" s="57" t="s">
        <v>628</v>
      </c>
      <c r="N78" s="59">
        <v>0.36</v>
      </c>
      <c r="O78" s="61" t="str">
        <f>IF(Table1[[#This Row],[Digikey]]="","", HYPERLINK(Table1[[#This Row],[Destination - Digikey]],_xlfn.CONCAT("Link (",Table1[[#This Row],[Digikey]],")")))</f>
        <v>Link (WM4203-ND)</v>
      </c>
      <c r="P78" s="62" t="str">
        <f>_xlfn.CONCAT("https://www.digikey.ch/products/en?keywords=",Table1[[#This Row],[Digikey]])</f>
        <v>https://www.digikey.ch/products/en?keywords=WM4203-ND</v>
      </c>
      <c r="Q78" s="57"/>
      <c r="R78" s="59"/>
      <c r="S78" s="61" t="str">
        <f>IF(Table1[[#This Row],[Farnell]]="","", HYPERLINK(Table1[[#This Row],[Destination - Farnell]],_xlfn.CONCAT("Link (",Table1[[#This Row],[Farnell]],")")))</f>
        <v/>
      </c>
      <c r="T78" s="62" t="str">
        <f>_xlfn.CONCAT("https://ch.farnell.com/fr-CH/",Table1[[#This Row],[Farnell]])</f>
        <v>https://ch.farnell.com/fr-CH/</v>
      </c>
      <c r="U78" s="57"/>
      <c r="V78" s="59"/>
      <c r="W78" s="61" t="str">
        <f>IF(Table1[[#This Row],[Distrelec]]="","", HYPERLINK(Table1[[#This Row],[Destination - Distrelec]],_xlfn.CONCAT("Link (",Table1[[#This Row],[Distrelec]],")")))</f>
        <v/>
      </c>
      <c r="X78" s="62" t="str">
        <f>_xlfn.CONCAT("https://www.distrelec.ch/search?q=",Table1[[#This Row],[Distrelec]])</f>
        <v>https://www.distrelec.ch/search?q=</v>
      </c>
      <c r="Y78" s="57"/>
      <c r="Z78" s="59"/>
      <c r="AA78" s="61" t="str">
        <f>IF(Table1[[#This Row],[Conrad]]="","", HYPERLINK(Table1[[#This Row],[Destination - Conrad]],_xlfn.CONCAT("Link (",Table1[[#This Row],[Conrad]],")")))</f>
        <v/>
      </c>
      <c r="AB78" s="62"/>
      <c r="AC78" s="57"/>
      <c r="AD78" s="59"/>
      <c r="AE78" s="61" t="str">
        <f>IF(Table1[[#This Row],[Mouser]]="","", HYPERLINK(Table1[[#This Row],[Destination - Mouser]],_xlfn.CONCAT("Link (",Table1[[#This Row],[Mouser]],")")))</f>
        <v/>
      </c>
      <c r="AF78" s="62" t="str">
        <f>_xlfn.CONCAT("https://www.mouser.ch/ProductDetail/",Table1[[#This Row],[Mouser]])</f>
        <v>https://www.mouser.ch/ProductDetail/</v>
      </c>
      <c r="AG78" s="57"/>
      <c r="AH78" s="59"/>
      <c r="AI78" s="61" t="str">
        <f>IF(Table1[[#This Row],[Bauhaus]]="","", HYPERLINK(Table1[[#This Row],[Destination - Bauhaus]],_xlfn.CONCAT("Link (",Table1[[#This Row],[Bauhaus]],")")))</f>
        <v/>
      </c>
      <c r="AJ78" s="62" t="str">
        <f>_xlfn.CONCAT("https://www.bauhaus.ch/fr/search?query=",Table1[[#This Row],[Bauhaus]])</f>
        <v>https://www.bauhaus.ch/fr/search?query=</v>
      </c>
      <c r="AK78" s="59"/>
      <c r="AL78" s="59"/>
      <c r="AM78" s="61" t="str">
        <f>IF(Table1[[#This Row],[BricoEtLoisirs]]="","", HYPERLINK(Table1[[#This Row],[Destination - BricoEtLoisirs]],_xlfn.CONCAT("Link (",Table1[[#This Row],[BricoEtLoisirs]],")")))</f>
        <v/>
      </c>
      <c r="AN78" s="62" t="str">
        <f>_xlfn.CONCAT("https://bricoetloisirs.ch/p/",Table1[[#This Row],[BricoEtLoisirs]])</f>
        <v>https://bricoetloisirs.ch/p/</v>
      </c>
      <c r="AO78" s="57"/>
      <c r="AP78" s="59"/>
      <c r="AQ78" s="61" t="str">
        <f>IF(Table1[[#This Row],[Aliexpress]]="","", HYPERLINK(Table1[[#This Row],[Destination - Aliexpress]],_xlfn.CONCAT("Link (",Table1[[#This Row],[Aliexpress]],")")))</f>
        <v/>
      </c>
      <c r="AR78" s="62" t="str">
        <f>_xlfn.CONCAT("https://www.aliexpress.com/item/",Table1[[#This Row],[Aliexpress]],".html")</f>
        <v>https://www.aliexpress.com/item/.html</v>
      </c>
      <c r="AS78" s="57"/>
      <c r="AT78" s="59"/>
      <c r="AU78" s="61" t="str">
        <f>IF(Table1[[#This Row],[Banggood]]="","", HYPERLINK(Table1[[#This Row],[Destination - Banggood]],_xlfn.CONCAT("Link (",Table1[[#This Row],[Banggood]],")")))</f>
        <v/>
      </c>
      <c r="AV78" s="62" t="str">
        <f>_xlfn.CONCAT("https://www.banggood.com/search/",Table1[[#This Row],[Banggood]],".html")</f>
        <v>https://www.banggood.com/search/.html</v>
      </c>
      <c r="AW78" s="59" t="str">
        <f>IF(Table1[[#This Row],[Other]]&lt;&gt;"","Other","")</f>
        <v/>
      </c>
      <c r="AX78" s="57"/>
      <c r="AY78" s="59"/>
      <c r="AZ78" s="61" t="str">
        <f>IF(Table1[[#This Row],[Other]]="","",IF(Table1[[#This Row],[Destination - Other]]="","",HYPERLINK(Table1[[#This Row],[Destination - Other]],_xlfn.CONCAT("Link ("&amp;Table1[[#This Row],[Other]]&amp;")"))))</f>
        <v/>
      </c>
      <c r="BA78" s="59"/>
      <c r="BB78" s="58" t="str">
        <f>IF(AND( Table1[[#This Row],[Auto Order]]=1,Table1[[#This Row],[Obsolete]]=""),IF(Table1[[#This Row],[In stock]]&lt;Table1[[#This Row],[Min in stock]],1,""),"")</f>
        <v/>
      </c>
      <c r="BC78" s="64"/>
      <c r="BD78" s="66" t="str">
        <f>IF(Table1[[#This Row],[Obsolete]],Table1[[#This Row],[Art. Number]],"")</f>
        <v/>
      </c>
    </row>
    <row r="79" spans="1:56" x14ac:dyDescent="0.25">
      <c r="A79" s="65" t="s">
        <v>2388</v>
      </c>
      <c r="B79" s="57" t="s">
        <v>508</v>
      </c>
      <c r="C79" s="57" t="s">
        <v>97</v>
      </c>
      <c r="D79" s="57" t="s">
        <v>630</v>
      </c>
      <c r="E79" s="57" t="s">
        <v>621</v>
      </c>
      <c r="F79" s="58">
        <v>0</v>
      </c>
      <c r="G79" s="58"/>
      <c r="H79" s="58"/>
      <c r="I7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WM4204-ND</v>
      </c>
      <c r="J7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0.42</v>
      </c>
      <c r="K7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7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(WM4204-ND)</v>
      </c>
      <c r="M79" s="57" t="s">
        <v>631</v>
      </c>
      <c r="N79" s="59">
        <v>0.42</v>
      </c>
      <c r="O79" s="61" t="str">
        <f>IF(Table1[[#This Row],[Digikey]]="","", HYPERLINK(Table1[[#This Row],[Destination - Digikey]],_xlfn.CONCAT("Link (",Table1[[#This Row],[Digikey]],")")))</f>
        <v>Link (WM4204-ND)</v>
      </c>
      <c r="P79" s="62" t="str">
        <f>_xlfn.CONCAT("https://www.digikey.ch/products/en?keywords=",Table1[[#This Row],[Digikey]])</f>
        <v>https://www.digikey.ch/products/en?keywords=WM4204-ND</v>
      </c>
      <c r="Q79" s="57"/>
      <c r="R79" s="59"/>
      <c r="S79" s="61" t="str">
        <f>IF(Table1[[#This Row],[Farnell]]="","", HYPERLINK(Table1[[#This Row],[Destination - Farnell]],_xlfn.CONCAT("Link (",Table1[[#This Row],[Farnell]],")")))</f>
        <v/>
      </c>
      <c r="T79" s="62" t="str">
        <f>_xlfn.CONCAT("https://ch.farnell.com/fr-CH/",Table1[[#This Row],[Farnell]])</f>
        <v>https://ch.farnell.com/fr-CH/</v>
      </c>
      <c r="U79" s="57"/>
      <c r="V79" s="59"/>
      <c r="W79" s="61" t="str">
        <f>IF(Table1[[#This Row],[Distrelec]]="","", HYPERLINK(Table1[[#This Row],[Destination - Distrelec]],_xlfn.CONCAT("Link (",Table1[[#This Row],[Distrelec]],")")))</f>
        <v/>
      </c>
      <c r="X79" s="62" t="str">
        <f>_xlfn.CONCAT("https://www.distrelec.ch/search?q=",Table1[[#This Row],[Distrelec]])</f>
        <v>https://www.distrelec.ch/search?q=</v>
      </c>
      <c r="Y79" s="57"/>
      <c r="Z79" s="59"/>
      <c r="AA79" s="61" t="str">
        <f>IF(Table1[[#This Row],[Conrad]]="","", HYPERLINK(Table1[[#This Row],[Destination - Conrad]],_xlfn.CONCAT("Link (",Table1[[#This Row],[Conrad]],")")))</f>
        <v/>
      </c>
      <c r="AB79" s="62"/>
      <c r="AC79" s="57"/>
      <c r="AD79" s="59"/>
      <c r="AE79" s="61" t="str">
        <f>IF(Table1[[#This Row],[Mouser]]="","", HYPERLINK(Table1[[#This Row],[Destination - Mouser]],_xlfn.CONCAT("Link (",Table1[[#This Row],[Mouser]],")")))</f>
        <v/>
      </c>
      <c r="AF79" s="62" t="str">
        <f>_xlfn.CONCAT("https://www.mouser.ch/ProductDetail/",Table1[[#This Row],[Mouser]])</f>
        <v>https://www.mouser.ch/ProductDetail/</v>
      </c>
      <c r="AG79" s="57"/>
      <c r="AH79" s="59"/>
      <c r="AI79" s="61" t="str">
        <f>IF(Table1[[#This Row],[Bauhaus]]="","", HYPERLINK(Table1[[#This Row],[Destination - Bauhaus]],_xlfn.CONCAT("Link (",Table1[[#This Row],[Bauhaus]],")")))</f>
        <v/>
      </c>
      <c r="AJ79" s="62" t="str">
        <f>_xlfn.CONCAT("https://www.bauhaus.ch/fr/search?query=",Table1[[#This Row],[Bauhaus]])</f>
        <v>https://www.bauhaus.ch/fr/search?query=</v>
      </c>
      <c r="AK79" s="59"/>
      <c r="AL79" s="59"/>
      <c r="AM79" s="61" t="str">
        <f>IF(Table1[[#This Row],[BricoEtLoisirs]]="","", HYPERLINK(Table1[[#This Row],[Destination - BricoEtLoisirs]],_xlfn.CONCAT("Link (",Table1[[#This Row],[BricoEtLoisirs]],")")))</f>
        <v/>
      </c>
      <c r="AN79" s="62" t="str">
        <f>_xlfn.CONCAT("https://bricoetloisirs.ch/p/",Table1[[#This Row],[BricoEtLoisirs]])</f>
        <v>https://bricoetloisirs.ch/p/</v>
      </c>
      <c r="AO79" s="57"/>
      <c r="AP79" s="59"/>
      <c r="AQ79" s="61" t="str">
        <f>IF(Table1[[#This Row],[Aliexpress]]="","", HYPERLINK(Table1[[#This Row],[Destination - Aliexpress]],_xlfn.CONCAT("Link (",Table1[[#This Row],[Aliexpress]],")")))</f>
        <v/>
      </c>
      <c r="AR79" s="62" t="str">
        <f>_xlfn.CONCAT("https://www.aliexpress.com/item/",Table1[[#This Row],[Aliexpress]],".html")</f>
        <v>https://www.aliexpress.com/item/.html</v>
      </c>
      <c r="AS79" s="57"/>
      <c r="AT79" s="59"/>
      <c r="AU79" s="61" t="str">
        <f>IF(Table1[[#This Row],[Banggood]]="","", HYPERLINK(Table1[[#This Row],[Destination - Banggood]],_xlfn.CONCAT("Link (",Table1[[#This Row],[Banggood]],")")))</f>
        <v/>
      </c>
      <c r="AV79" s="62" t="str">
        <f>_xlfn.CONCAT("https://www.banggood.com/search/",Table1[[#This Row],[Banggood]],".html")</f>
        <v>https://www.banggood.com/search/.html</v>
      </c>
      <c r="AW79" s="59" t="str">
        <f>IF(Table1[[#This Row],[Other]]&lt;&gt;"","Other","")</f>
        <v/>
      </c>
      <c r="AX79" s="57"/>
      <c r="AY79" s="59"/>
      <c r="AZ79" s="61" t="str">
        <f>IF(Table1[[#This Row],[Other]]="","",IF(Table1[[#This Row],[Destination - Other]]="","",HYPERLINK(Table1[[#This Row],[Destination - Other]],_xlfn.CONCAT("Link ("&amp;Table1[[#This Row],[Other]]&amp;")"))))</f>
        <v/>
      </c>
      <c r="BA79" s="59"/>
      <c r="BB79" s="58" t="str">
        <f>IF(AND( Table1[[#This Row],[Auto Order]]=1,Table1[[#This Row],[Obsolete]]=""),IF(Table1[[#This Row],[In stock]]&lt;Table1[[#This Row],[Min in stock]],1,""),"")</f>
        <v/>
      </c>
      <c r="BC79" s="64"/>
      <c r="BD79" s="66" t="str">
        <f>IF(Table1[[#This Row],[Obsolete]],Table1[[#This Row],[Art. Number]],"")</f>
        <v/>
      </c>
    </row>
    <row r="80" spans="1:56" x14ac:dyDescent="0.25">
      <c r="A80" s="65" t="s">
        <v>2389</v>
      </c>
      <c r="B80" s="57" t="s">
        <v>508</v>
      </c>
      <c r="C80" s="57" t="s">
        <v>97</v>
      </c>
      <c r="D80" s="57" t="s">
        <v>633</v>
      </c>
      <c r="E80" s="57" t="s">
        <v>621</v>
      </c>
      <c r="F80" s="58">
        <v>0</v>
      </c>
      <c r="G80" s="58"/>
      <c r="H80" s="58"/>
      <c r="I8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WM4205-ND</v>
      </c>
      <c r="J8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0.44</v>
      </c>
      <c r="K8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(WM4205-ND)</v>
      </c>
      <c r="M80" s="57" t="s">
        <v>634</v>
      </c>
      <c r="N80" s="59">
        <v>0.44</v>
      </c>
      <c r="O80" s="61" t="str">
        <f>IF(Table1[[#This Row],[Digikey]]="","", HYPERLINK(Table1[[#This Row],[Destination - Digikey]],_xlfn.CONCAT("Link (",Table1[[#This Row],[Digikey]],")")))</f>
        <v>Link (WM4205-ND)</v>
      </c>
      <c r="P80" s="62" t="str">
        <f>_xlfn.CONCAT("https://www.digikey.ch/products/en?keywords=",Table1[[#This Row],[Digikey]])</f>
        <v>https://www.digikey.ch/products/en?keywords=WM4205-ND</v>
      </c>
      <c r="Q80" s="57"/>
      <c r="R80" s="59"/>
      <c r="S80" s="61" t="str">
        <f>IF(Table1[[#This Row],[Farnell]]="","", HYPERLINK(Table1[[#This Row],[Destination - Farnell]],_xlfn.CONCAT("Link (",Table1[[#This Row],[Farnell]],")")))</f>
        <v/>
      </c>
      <c r="T80" s="62" t="str">
        <f>_xlfn.CONCAT("https://ch.farnell.com/fr-CH/",Table1[[#This Row],[Farnell]])</f>
        <v>https://ch.farnell.com/fr-CH/</v>
      </c>
      <c r="U80" s="57"/>
      <c r="V80" s="59"/>
      <c r="W80" s="61" t="str">
        <f>IF(Table1[[#This Row],[Distrelec]]="","", HYPERLINK(Table1[[#This Row],[Destination - Distrelec]],_xlfn.CONCAT("Link (",Table1[[#This Row],[Distrelec]],")")))</f>
        <v/>
      </c>
      <c r="X80" s="62" t="str">
        <f>_xlfn.CONCAT("https://www.distrelec.ch/search?q=",Table1[[#This Row],[Distrelec]])</f>
        <v>https://www.distrelec.ch/search?q=</v>
      </c>
      <c r="Y80" s="57"/>
      <c r="Z80" s="59"/>
      <c r="AA80" s="61" t="str">
        <f>IF(Table1[[#This Row],[Conrad]]="","", HYPERLINK(Table1[[#This Row],[Destination - Conrad]],_xlfn.CONCAT("Link (",Table1[[#This Row],[Conrad]],")")))</f>
        <v/>
      </c>
      <c r="AB80" s="62"/>
      <c r="AC80" s="57"/>
      <c r="AD80" s="59"/>
      <c r="AE80" s="61" t="str">
        <f>IF(Table1[[#This Row],[Mouser]]="","", HYPERLINK(Table1[[#This Row],[Destination - Mouser]],_xlfn.CONCAT("Link (",Table1[[#This Row],[Mouser]],")")))</f>
        <v/>
      </c>
      <c r="AF80" s="62" t="str">
        <f>_xlfn.CONCAT("https://www.mouser.ch/ProductDetail/",Table1[[#This Row],[Mouser]])</f>
        <v>https://www.mouser.ch/ProductDetail/</v>
      </c>
      <c r="AG80" s="57"/>
      <c r="AH80" s="59"/>
      <c r="AI80" s="61" t="str">
        <f>IF(Table1[[#This Row],[Bauhaus]]="","", HYPERLINK(Table1[[#This Row],[Destination - Bauhaus]],_xlfn.CONCAT("Link (",Table1[[#This Row],[Bauhaus]],")")))</f>
        <v/>
      </c>
      <c r="AJ80" s="62" t="str">
        <f>_xlfn.CONCAT("https://www.bauhaus.ch/fr/search?query=",Table1[[#This Row],[Bauhaus]])</f>
        <v>https://www.bauhaus.ch/fr/search?query=</v>
      </c>
      <c r="AK80" s="59"/>
      <c r="AL80" s="59"/>
      <c r="AM80" s="61" t="str">
        <f>IF(Table1[[#This Row],[BricoEtLoisirs]]="","", HYPERLINK(Table1[[#This Row],[Destination - BricoEtLoisirs]],_xlfn.CONCAT("Link (",Table1[[#This Row],[BricoEtLoisirs]],")")))</f>
        <v/>
      </c>
      <c r="AN80" s="62" t="str">
        <f>_xlfn.CONCAT("https://bricoetloisirs.ch/p/",Table1[[#This Row],[BricoEtLoisirs]])</f>
        <v>https://bricoetloisirs.ch/p/</v>
      </c>
      <c r="AO80" s="57"/>
      <c r="AP80" s="59"/>
      <c r="AQ80" s="61" t="str">
        <f>IF(Table1[[#This Row],[Aliexpress]]="","", HYPERLINK(Table1[[#This Row],[Destination - Aliexpress]],_xlfn.CONCAT("Link (",Table1[[#This Row],[Aliexpress]],")")))</f>
        <v/>
      </c>
      <c r="AR80" s="62" t="str">
        <f>_xlfn.CONCAT("https://www.aliexpress.com/item/",Table1[[#This Row],[Aliexpress]],".html")</f>
        <v>https://www.aliexpress.com/item/.html</v>
      </c>
      <c r="AS80" s="57"/>
      <c r="AT80" s="59"/>
      <c r="AU80" s="61" t="str">
        <f>IF(Table1[[#This Row],[Banggood]]="","", HYPERLINK(Table1[[#This Row],[Destination - Banggood]],_xlfn.CONCAT("Link (",Table1[[#This Row],[Banggood]],")")))</f>
        <v/>
      </c>
      <c r="AV80" s="62" t="str">
        <f>_xlfn.CONCAT("https://www.banggood.com/search/",Table1[[#This Row],[Banggood]],".html")</f>
        <v>https://www.banggood.com/search/.html</v>
      </c>
      <c r="AW80" s="59" t="str">
        <f>IF(Table1[[#This Row],[Other]]&lt;&gt;"","Other","")</f>
        <v/>
      </c>
      <c r="AX80" s="57"/>
      <c r="AY80" s="59"/>
      <c r="AZ80" s="61" t="str">
        <f>IF(Table1[[#This Row],[Other]]="","",IF(Table1[[#This Row],[Destination - Other]]="","",HYPERLINK(Table1[[#This Row],[Destination - Other]],_xlfn.CONCAT("Link ("&amp;Table1[[#This Row],[Other]]&amp;")"))))</f>
        <v/>
      </c>
      <c r="BA80" s="59"/>
      <c r="BB80" s="58" t="str">
        <f>IF(AND( Table1[[#This Row],[Auto Order]]=1,Table1[[#This Row],[Obsolete]]=""),IF(Table1[[#This Row],[In stock]]&lt;Table1[[#This Row],[Min in stock]],1,""),"")</f>
        <v/>
      </c>
      <c r="BC80" s="64"/>
      <c r="BD80" s="66" t="str">
        <f>IF(Table1[[#This Row],[Obsolete]],Table1[[#This Row],[Art. Number]],"")</f>
        <v/>
      </c>
    </row>
    <row r="81" spans="1:56" x14ac:dyDescent="0.25">
      <c r="A81" s="65" t="s">
        <v>2390</v>
      </c>
      <c r="B81" s="57" t="s">
        <v>508</v>
      </c>
      <c r="C81" s="57" t="s">
        <v>97</v>
      </c>
      <c r="D81" s="57" t="s">
        <v>636</v>
      </c>
      <c r="E81" s="57" t="s">
        <v>621</v>
      </c>
      <c r="F81" s="58">
        <v>0</v>
      </c>
      <c r="G81" s="58"/>
      <c r="H81" s="58"/>
      <c r="I8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WM4206-ND</v>
      </c>
      <c r="J8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0.54</v>
      </c>
      <c r="K8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(WM4206-ND)</v>
      </c>
      <c r="M81" s="57" t="s">
        <v>637</v>
      </c>
      <c r="N81" s="59">
        <v>0.54</v>
      </c>
      <c r="O81" s="61" t="str">
        <f>IF(Table1[[#This Row],[Digikey]]="","", HYPERLINK(Table1[[#This Row],[Destination - Digikey]],_xlfn.CONCAT("Link (",Table1[[#This Row],[Digikey]],")")))</f>
        <v>Link (WM4206-ND)</v>
      </c>
      <c r="P81" s="62" t="str">
        <f>_xlfn.CONCAT("https://www.digikey.ch/products/en?keywords=",Table1[[#This Row],[Digikey]])</f>
        <v>https://www.digikey.ch/products/en?keywords=WM4206-ND</v>
      </c>
      <c r="Q81" s="57"/>
      <c r="R81" s="59"/>
      <c r="S81" s="61" t="str">
        <f>IF(Table1[[#This Row],[Farnell]]="","", HYPERLINK(Table1[[#This Row],[Destination - Farnell]],_xlfn.CONCAT("Link (",Table1[[#This Row],[Farnell]],")")))</f>
        <v/>
      </c>
      <c r="T81" s="62" t="str">
        <f>_xlfn.CONCAT("https://ch.farnell.com/fr-CH/",Table1[[#This Row],[Farnell]])</f>
        <v>https://ch.farnell.com/fr-CH/</v>
      </c>
      <c r="U81" s="57"/>
      <c r="V81" s="59"/>
      <c r="W81" s="61" t="str">
        <f>IF(Table1[[#This Row],[Distrelec]]="","", HYPERLINK(Table1[[#This Row],[Destination - Distrelec]],_xlfn.CONCAT("Link (",Table1[[#This Row],[Distrelec]],")")))</f>
        <v/>
      </c>
      <c r="X81" s="62" t="str">
        <f>_xlfn.CONCAT("https://www.distrelec.ch/search?q=",Table1[[#This Row],[Distrelec]])</f>
        <v>https://www.distrelec.ch/search?q=</v>
      </c>
      <c r="Y81" s="57"/>
      <c r="Z81" s="59"/>
      <c r="AA81" s="61" t="str">
        <f>IF(Table1[[#This Row],[Conrad]]="","", HYPERLINK(Table1[[#This Row],[Destination - Conrad]],_xlfn.CONCAT("Link (",Table1[[#This Row],[Conrad]],")")))</f>
        <v/>
      </c>
      <c r="AB81" s="62"/>
      <c r="AC81" s="57"/>
      <c r="AD81" s="59"/>
      <c r="AE81" s="61" t="str">
        <f>IF(Table1[[#This Row],[Mouser]]="","", HYPERLINK(Table1[[#This Row],[Destination - Mouser]],_xlfn.CONCAT("Link (",Table1[[#This Row],[Mouser]],")")))</f>
        <v/>
      </c>
      <c r="AF81" s="62" t="str">
        <f>_xlfn.CONCAT("https://www.mouser.ch/ProductDetail/",Table1[[#This Row],[Mouser]])</f>
        <v>https://www.mouser.ch/ProductDetail/</v>
      </c>
      <c r="AG81" s="57"/>
      <c r="AH81" s="59"/>
      <c r="AI81" s="61" t="str">
        <f>IF(Table1[[#This Row],[Bauhaus]]="","", HYPERLINK(Table1[[#This Row],[Destination - Bauhaus]],_xlfn.CONCAT("Link (",Table1[[#This Row],[Bauhaus]],")")))</f>
        <v/>
      </c>
      <c r="AJ81" s="62" t="str">
        <f>_xlfn.CONCAT("https://www.bauhaus.ch/fr/search?query=",Table1[[#This Row],[Bauhaus]])</f>
        <v>https://www.bauhaus.ch/fr/search?query=</v>
      </c>
      <c r="AK81" s="59"/>
      <c r="AL81" s="59"/>
      <c r="AM81" s="61" t="str">
        <f>IF(Table1[[#This Row],[BricoEtLoisirs]]="","", HYPERLINK(Table1[[#This Row],[Destination - BricoEtLoisirs]],_xlfn.CONCAT("Link (",Table1[[#This Row],[BricoEtLoisirs]],")")))</f>
        <v/>
      </c>
      <c r="AN81" s="62" t="str">
        <f>_xlfn.CONCAT("https://bricoetloisirs.ch/p/",Table1[[#This Row],[BricoEtLoisirs]])</f>
        <v>https://bricoetloisirs.ch/p/</v>
      </c>
      <c r="AO81" s="57"/>
      <c r="AP81" s="59"/>
      <c r="AQ81" s="61" t="str">
        <f>IF(Table1[[#This Row],[Aliexpress]]="","", HYPERLINK(Table1[[#This Row],[Destination - Aliexpress]],_xlfn.CONCAT("Link (",Table1[[#This Row],[Aliexpress]],")")))</f>
        <v/>
      </c>
      <c r="AR81" s="62" t="str">
        <f>_xlfn.CONCAT("https://www.aliexpress.com/item/",Table1[[#This Row],[Aliexpress]],".html")</f>
        <v>https://www.aliexpress.com/item/.html</v>
      </c>
      <c r="AS81" s="57"/>
      <c r="AT81" s="59"/>
      <c r="AU81" s="61" t="str">
        <f>IF(Table1[[#This Row],[Banggood]]="","", HYPERLINK(Table1[[#This Row],[Destination - Banggood]],_xlfn.CONCAT("Link (",Table1[[#This Row],[Banggood]],")")))</f>
        <v/>
      </c>
      <c r="AV81" s="62" t="str">
        <f>_xlfn.CONCAT("https://www.banggood.com/search/",Table1[[#This Row],[Banggood]],".html")</f>
        <v>https://www.banggood.com/search/.html</v>
      </c>
      <c r="AW81" s="59" t="str">
        <f>IF(Table1[[#This Row],[Other]]&lt;&gt;"","Other","")</f>
        <v/>
      </c>
      <c r="AX81" s="57"/>
      <c r="AY81" s="59"/>
      <c r="AZ81" s="61" t="str">
        <f>IF(Table1[[#This Row],[Other]]="","",IF(Table1[[#This Row],[Destination - Other]]="","",HYPERLINK(Table1[[#This Row],[Destination - Other]],_xlfn.CONCAT("Link ("&amp;Table1[[#This Row],[Other]]&amp;")"))))</f>
        <v/>
      </c>
      <c r="BA81" s="59"/>
      <c r="BB81" s="58" t="str">
        <f>IF(AND( Table1[[#This Row],[Auto Order]]=1,Table1[[#This Row],[Obsolete]]=""),IF(Table1[[#This Row],[In stock]]&lt;Table1[[#This Row],[Min in stock]],1,""),"")</f>
        <v/>
      </c>
      <c r="BC81" s="64"/>
      <c r="BD81" s="66" t="str">
        <f>IF(Table1[[#This Row],[Obsolete]],Table1[[#This Row],[Art. Number]],"")</f>
        <v/>
      </c>
    </row>
    <row r="82" spans="1:56" x14ac:dyDescent="0.25">
      <c r="A82" s="65" t="s">
        <v>2391</v>
      </c>
      <c r="B82" s="57" t="s">
        <v>508</v>
      </c>
      <c r="C82" s="57" t="s">
        <v>97</v>
      </c>
      <c r="D82" s="57" t="s">
        <v>639</v>
      </c>
      <c r="E82" s="57" t="s">
        <v>621</v>
      </c>
      <c r="F82" s="58">
        <v>0</v>
      </c>
      <c r="G82" s="58"/>
      <c r="H82" s="58"/>
      <c r="I8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WM4207-ND</v>
      </c>
      <c r="J8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0.61</v>
      </c>
      <c r="K8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(WM4207-ND)</v>
      </c>
      <c r="M82" s="57" t="s">
        <v>640</v>
      </c>
      <c r="N82" s="59">
        <v>0.61</v>
      </c>
      <c r="O82" s="61" t="str">
        <f>IF(Table1[[#This Row],[Digikey]]="","", HYPERLINK(Table1[[#This Row],[Destination - Digikey]],_xlfn.CONCAT("Link (",Table1[[#This Row],[Digikey]],")")))</f>
        <v>Link (WM4207-ND)</v>
      </c>
      <c r="P82" s="62" t="str">
        <f>_xlfn.CONCAT("https://www.digikey.ch/products/en?keywords=",Table1[[#This Row],[Digikey]])</f>
        <v>https://www.digikey.ch/products/en?keywords=WM4207-ND</v>
      </c>
      <c r="Q82" s="57"/>
      <c r="R82" s="59"/>
      <c r="S82" s="61" t="str">
        <f>IF(Table1[[#This Row],[Farnell]]="","", HYPERLINK(Table1[[#This Row],[Destination - Farnell]],_xlfn.CONCAT("Link (",Table1[[#This Row],[Farnell]],")")))</f>
        <v/>
      </c>
      <c r="T82" s="62" t="str">
        <f>_xlfn.CONCAT("https://ch.farnell.com/fr-CH/",Table1[[#This Row],[Farnell]])</f>
        <v>https://ch.farnell.com/fr-CH/</v>
      </c>
      <c r="U82" s="57"/>
      <c r="V82" s="59"/>
      <c r="W82" s="61" t="str">
        <f>IF(Table1[[#This Row],[Distrelec]]="","", HYPERLINK(Table1[[#This Row],[Destination - Distrelec]],_xlfn.CONCAT("Link (",Table1[[#This Row],[Distrelec]],")")))</f>
        <v/>
      </c>
      <c r="X82" s="62" t="str">
        <f>_xlfn.CONCAT("https://www.distrelec.ch/search?q=",Table1[[#This Row],[Distrelec]])</f>
        <v>https://www.distrelec.ch/search?q=</v>
      </c>
      <c r="Y82" s="57"/>
      <c r="Z82" s="59"/>
      <c r="AA82" s="61" t="str">
        <f>IF(Table1[[#This Row],[Conrad]]="","", HYPERLINK(Table1[[#This Row],[Destination - Conrad]],_xlfn.CONCAT("Link (",Table1[[#This Row],[Conrad]],")")))</f>
        <v/>
      </c>
      <c r="AB82" s="62"/>
      <c r="AC82" s="57"/>
      <c r="AD82" s="59"/>
      <c r="AE82" s="61" t="str">
        <f>IF(Table1[[#This Row],[Mouser]]="","", HYPERLINK(Table1[[#This Row],[Destination - Mouser]],_xlfn.CONCAT("Link (",Table1[[#This Row],[Mouser]],")")))</f>
        <v/>
      </c>
      <c r="AF82" s="62" t="str">
        <f>_xlfn.CONCAT("https://www.mouser.ch/ProductDetail/",Table1[[#This Row],[Mouser]])</f>
        <v>https://www.mouser.ch/ProductDetail/</v>
      </c>
      <c r="AG82" s="57"/>
      <c r="AH82" s="59"/>
      <c r="AI82" s="61" t="str">
        <f>IF(Table1[[#This Row],[Bauhaus]]="","", HYPERLINK(Table1[[#This Row],[Destination - Bauhaus]],_xlfn.CONCAT("Link (",Table1[[#This Row],[Bauhaus]],")")))</f>
        <v/>
      </c>
      <c r="AJ82" s="62" t="str">
        <f>_xlfn.CONCAT("https://www.bauhaus.ch/fr/search?query=",Table1[[#This Row],[Bauhaus]])</f>
        <v>https://www.bauhaus.ch/fr/search?query=</v>
      </c>
      <c r="AK82" s="59"/>
      <c r="AL82" s="59"/>
      <c r="AM82" s="61" t="str">
        <f>IF(Table1[[#This Row],[BricoEtLoisirs]]="","", HYPERLINK(Table1[[#This Row],[Destination - BricoEtLoisirs]],_xlfn.CONCAT("Link (",Table1[[#This Row],[BricoEtLoisirs]],")")))</f>
        <v/>
      </c>
      <c r="AN82" s="62" t="str">
        <f>_xlfn.CONCAT("https://bricoetloisirs.ch/p/",Table1[[#This Row],[BricoEtLoisirs]])</f>
        <v>https://bricoetloisirs.ch/p/</v>
      </c>
      <c r="AO82" s="57"/>
      <c r="AP82" s="59"/>
      <c r="AQ82" s="61" t="str">
        <f>IF(Table1[[#This Row],[Aliexpress]]="","", HYPERLINK(Table1[[#This Row],[Destination - Aliexpress]],_xlfn.CONCAT("Link (",Table1[[#This Row],[Aliexpress]],")")))</f>
        <v/>
      </c>
      <c r="AR82" s="62" t="str">
        <f>_xlfn.CONCAT("https://www.aliexpress.com/item/",Table1[[#This Row],[Aliexpress]],".html")</f>
        <v>https://www.aliexpress.com/item/.html</v>
      </c>
      <c r="AS82" s="57"/>
      <c r="AT82" s="59"/>
      <c r="AU82" s="61" t="str">
        <f>IF(Table1[[#This Row],[Banggood]]="","", HYPERLINK(Table1[[#This Row],[Destination - Banggood]],_xlfn.CONCAT("Link (",Table1[[#This Row],[Banggood]],")")))</f>
        <v/>
      </c>
      <c r="AV82" s="62" t="str">
        <f>_xlfn.CONCAT("https://www.banggood.com/search/",Table1[[#This Row],[Banggood]],".html")</f>
        <v>https://www.banggood.com/search/.html</v>
      </c>
      <c r="AW82" s="59" t="str">
        <f>IF(Table1[[#This Row],[Other]]&lt;&gt;"","Other","")</f>
        <v/>
      </c>
      <c r="AX82" s="57"/>
      <c r="AY82" s="59"/>
      <c r="AZ82" s="61" t="str">
        <f>IF(Table1[[#This Row],[Other]]="","",IF(Table1[[#This Row],[Destination - Other]]="","",HYPERLINK(Table1[[#This Row],[Destination - Other]],_xlfn.CONCAT("Link ("&amp;Table1[[#This Row],[Other]]&amp;")"))))</f>
        <v/>
      </c>
      <c r="BA82" s="59"/>
      <c r="BB82" s="58" t="str">
        <f>IF(AND( Table1[[#This Row],[Auto Order]]=1,Table1[[#This Row],[Obsolete]]=""),IF(Table1[[#This Row],[In stock]]&lt;Table1[[#This Row],[Min in stock]],1,""),"")</f>
        <v/>
      </c>
      <c r="BC82" s="64"/>
      <c r="BD82" s="66" t="str">
        <f>IF(Table1[[#This Row],[Obsolete]],Table1[[#This Row],[Art. Number]],"")</f>
        <v/>
      </c>
    </row>
    <row r="83" spans="1:56" x14ac:dyDescent="0.25">
      <c r="A83" s="65" t="s">
        <v>2392</v>
      </c>
      <c r="B83" s="57" t="s">
        <v>508</v>
      </c>
      <c r="C83" s="57" t="s">
        <v>97</v>
      </c>
      <c r="D83" s="57" t="s">
        <v>642</v>
      </c>
      <c r="E83" s="57" t="s">
        <v>621</v>
      </c>
      <c r="F83" s="58">
        <v>0</v>
      </c>
      <c r="G83" s="58"/>
      <c r="H83" s="58"/>
      <c r="I8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WM4208-ND</v>
      </c>
      <c r="J8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</v>
      </c>
      <c r="K8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(WM4208-ND)</v>
      </c>
      <c r="M83" s="57" t="s">
        <v>643</v>
      </c>
      <c r="N83" s="59">
        <v>0.6</v>
      </c>
      <c r="O83" s="61" t="str">
        <f>IF(Table1[[#This Row],[Digikey]]="","", HYPERLINK(Table1[[#This Row],[Destination - Digikey]],_xlfn.CONCAT("Link (",Table1[[#This Row],[Digikey]],")")))</f>
        <v>Link (WM4208-ND)</v>
      </c>
      <c r="P83" s="62" t="str">
        <f>_xlfn.CONCAT("https://www.digikey.ch/products/en?keywords=",Table1[[#This Row],[Digikey]])</f>
        <v>https://www.digikey.ch/products/en?keywords=WM4208-ND</v>
      </c>
      <c r="Q83" s="57"/>
      <c r="R83" s="59"/>
      <c r="S83" s="61" t="str">
        <f>IF(Table1[[#This Row],[Farnell]]="","", HYPERLINK(Table1[[#This Row],[Destination - Farnell]],_xlfn.CONCAT("Link (",Table1[[#This Row],[Farnell]],")")))</f>
        <v/>
      </c>
      <c r="T83" s="62" t="str">
        <f>_xlfn.CONCAT("https://ch.farnell.com/fr-CH/",Table1[[#This Row],[Farnell]])</f>
        <v>https://ch.farnell.com/fr-CH/</v>
      </c>
      <c r="U83" s="57"/>
      <c r="V83" s="59"/>
      <c r="W83" s="61" t="str">
        <f>IF(Table1[[#This Row],[Distrelec]]="","", HYPERLINK(Table1[[#This Row],[Destination - Distrelec]],_xlfn.CONCAT("Link (",Table1[[#This Row],[Distrelec]],")")))</f>
        <v/>
      </c>
      <c r="X83" s="62" t="str">
        <f>_xlfn.CONCAT("https://www.distrelec.ch/search?q=",Table1[[#This Row],[Distrelec]])</f>
        <v>https://www.distrelec.ch/search?q=</v>
      </c>
      <c r="Y83" s="57"/>
      <c r="Z83" s="59"/>
      <c r="AA83" s="61" t="str">
        <f>IF(Table1[[#This Row],[Conrad]]="","", HYPERLINK(Table1[[#This Row],[Destination - Conrad]],_xlfn.CONCAT("Link (",Table1[[#This Row],[Conrad]],")")))</f>
        <v/>
      </c>
      <c r="AB83" s="62"/>
      <c r="AC83" s="57"/>
      <c r="AD83" s="59"/>
      <c r="AE83" s="61" t="str">
        <f>IF(Table1[[#This Row],[Mouser]]="","", HYPERLINK(Table1[[#This Row],[Destination - Mouser]],_xlfn.CONCAT("Link (",Table1[[#This Row],[Mouser]],")")))</f>
        <v/>
      </c>
      <c r="AF83" s="62" t="str">
        <f>_xlfn.CONCAT("https://www.mouser.ch/ProductDetail/",Table1[[#This Row],[Mouser]])</f>
        <v>https://www.mouser.ch/ProductDetail/</v>
      </c>
      <c r="AG83" s="57"/>
      <c r="AH83" s="59"/>
      <c r="AI83" s="61" t="str">
        <f>IF(Table1[[#This Row],[Bauhaus]]="","", HYPERLINK(Table1[[#This Row],[Destination - Bauhaus]],_xlfn.CONCAT("Link (",Table1[[#This Row],[Bauhaus]],")")))</f>
        <v/>
      </c>
      <c r="AJ83" s="62" t="str">
        <f>_xlfn.CONCAT("https://www.bauhaus.ch/fr/search?query=",Table1[[#This Row],[Bauhaus]])</f>
        <v>https://www.bauhaus.ch/fr/search?query=</v>
      </c>
      <c r="AK83" s="59"/>
      <c r="AL83" s="59"/>
      <c r="AM83" s="61" t="str">
        <f>IF(Table1[[#This Row],[BricoEtLoisirs]]="","", HYPERLINK(Table1[[#This Row],[Destination - BricoEtLoisirs]],_xlfn.CONCAT("Link (",Table1[[#This Row],[BricoEtLoisirs]],")")))</f>
        <v/>
      </c>
      <c r="AN83" s="62" t="str">
        <f>_xlfn.CONCAT("https://bricoetloisirs.ch/p/",Table1[[#This Row],[BricoEtLoisirs]])</f>
        <v>https://bricoetloisirs.ch/p/</v>
      </c>
      <c r="AO83" s="57"/>
      <c r="AP83" s="59"/>
      <c r="AQ83" s="61" t="str">
        <f>IF(Table1[[#This Row],[Aliexpress]]="","", HYPERLINK(Table1[[#This Row],[Destination - Aliexpress]],_xlfn.CONCAT("Link (",Table1[[#This Row],[Aliexpress]],")")))</f>
        <v/>
      </c>
      <c r="AR83" s="62" t="str">
        <f>_xlfn.CONCAT("https://www.aliexpress.com/item/",Table1[[#This Row],[Aliexpress]],".html")</f>
        <v>https://www.aliexpress.com/item/.html</v>
      </c>
      <c r="AS83" s="57"/>
      <c r="AT83" s="59"/>
      <c r="AU83" s="61" t="str">
        <f>IF(Table1[[#This Row],[Banggood]]="","", HYPERLINK(Table1[[#This Row],[Destination - Banggood]],_xlfn.CONCAT("Link (",Table1[[#This Row],[Banggood]],")")))</f>
        <v/>
      </c>
      <c r="AV83" s="62" t="str">
        <f>_xlfn.CONCAT("https://www.banggood.com/search/",Table1[[#This Row],[Banggood]],".html")</f>
        <v>https://www.banggood.com/search/.html</v>
      </c>
      <c r="AW83" s="59" t="str">
        <f>IF(Table1[[#This Row],[Other]]&lt;&gt;"","Other","")</f>
        <v/>
      </c>
      <c r="AX83" s="57"/>
      <c r="AY83" s="59"/>
      <c r="AZ83" s="61" t="str">
        <f>IF(Table1[[#This Row],[Other]]="","",IF(Table1[[#This Row],[Destination - Other]]="","",HYPERLINK(Table1[[#This Row],[Destination - Other]],_xlfn.CONCAT("Link ("&amp;Table1[[#This Row],[Other]]&amp;")"))))</f>
        <v/>
      </c>
      <c r="BA83" s="59"/>
      <c r="BB83" s="58" t="str">
        <f>IF(AND( Table1[[#This Row],[Auto Order]]=1,Table1[[#This Row],[Obsolete]]=""),IF(Table1[[#This Row],[In stock]]&lt;Table1[[#This Row],[Min in stock]],1,""),"")</f>
        <v/>
      </c>
      <c r="BC83" s="64"/>
      <c r="BD83" s="66" t="str">
        <f>IF(Table1[[#This Row],[Obsolete]],Table1[[#This Row],[Art. Number]],"")</f>
        <v/>
      </c>
    </row>
    <row r="84" spans="1:56" x14ac:dyDescent="0.25">
      <c r="A84" s="65" t="s">
        <v>2393</v>
      </c>
      <c r="B84" s="57" t="s">
        <v>508</v>
      </c>
      <c r="C84" s="57" t="s">
        <v>97</v>
      </c>
      <c r="D84" s="57" t="s">
        <v>645</v>
      </c>
      <c r="E84" s="57" t="s">
        <v>621</v>
      </c>
      <c r="F84" s="58">
        <v>0</v>
      </c>
      <c r="G84" s="58"/>
      <c r="H84" s="58"/>
      <c r="I8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WM4210-ND</v>
      </c>
      <c r="J8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0.74</v>
      </c>
      <c r="K8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(WM4210-ND)</v>
      </c>
      <c r="M84" s="57" t="s">
        <v>646</v>
      </c>
      <c r="N84" s="59">
        <v>0.74</v>
      </c>
      <c r="O84" s="61" t="str">
        <f>IF(Table1[[#This Row],[Digikey]]="","", HYPERLINK(Table1[[#This Row],[Destination - Digikey]],_xlfn.CONCAT("Link (",Table1[[#This Row],[Digikey]],")")))</f>
        <v>Link (WM4210-ND)</v>
      </c>
      <c r="P84" s="62" t="str">
        <f>_xlfn.CONCAT("https://www.digikey.ch/products/en?keywords=",Table1[[#This Row],[Digikey]])</f>
        <v>https://www.digikey.ch/products/en?keywords=WM4210-ND</v>
      </c>
      <c r="Q84" s="57"/>
      <c r="R84" s="59"/>
      <c r="S84" s="61" t="str">
        <f>IF(Table1[[#This Row],[Farnell]]="","", HYPERLINK(Table1[[#This Row],[Destination - Farnell]],_xlfn.CONCAT("Link (",Table1[[#This Row],[Farnell]],")")))</f>
        <v/>
      </c>
      <c r="T84" s="62" t="str">
        <f>_xlfn.CONCAT("https://ch.farnell.com/fr-CH/",Table1[[#This Row],[Farnell]])</f>
        <v>https://ch.farnell.com/fr-CH/</v>
      </c>
      <c r="U84" s="57"/>
      <c r="V84" s="59"/>
      <c r="W84" s="61" t="str">
        <f>IF(Table1[[#This Row],[Distrelec]]="","", HYPERLINK(Table1[[#This Row],[Destination - Distrelec]],_xlfn.CONCAT("Link (",Table1[[#This Row],[Distrelec]],")")))</f>
        <v/>
      </c>
      <c r="X84" s="62" t="str">
        <f>_xlfn.CONCAT("https://www.distrelec.ch/search?q=",Table1[[#This Row],[Distrelec]])</f>
        <v>https://www.distrelec.ch/search?q=</v>
      </c>
      <c r="Y84" s="57"/>
      <c r="Z84" s="59"/>
      <c r="AA84" s="61" t="str">
        <f>IF(Table1[[#This Row],[Conrad]]="","", HYPERLINK(Table1[[#This Row],[Destination - Conrad]],_xlfn.CONCAT("Link (",Table1[[#This Row],[Conrad]],")")))</f>
        <v/>
      </c>
      <c r="AB84" s="62"/>
      <c r="AC84" s="57"/>
      <c r="AD84" s="59"/>
      <c r="AE84" s="61" t="str">
        <f>IF(Table1[[#This Row],[Mouser]]="","", HYPERLINK(Table1[[#This Row],[Destination - Mouser]],_xlfn.CONCAT("Link (",Table1[[#This Row],[Mouser]],")")))</f>
        <v/>
      </c>
      <c r="AF84" s="62" t="str">
        <f>_xlfn.CONCAT("https://www.mouser.ch/ProductDetail/",Table1[[#This Row],[Mouser]])</f>
        <v>https://www.mouser.ch/ProductDetail/</v>
      </c>
      <c r="AG84" s="57"/>
      <c r="AH84" s="59"/>
      <c r="AI84" s="61" t="str">
        <f>IF(Table1[[#This Row],[Bauhaus]]="","", HYPERLINK(Table1[[#This Row],[Destination - Bauhaus]],_xlfn.CONCAT("Link (",Table1[[#This Row],[Bauhaus]],")")))</f>
        <v/>
      </c>
      <c r="AJ84" s="62" t="str">
        <f>_xlfn.CONCAT("https://www.bauhaus.ch/fr/search?query=",Table1[[#This Row],[Bauhaus]])</f>
        <v>https://www.bauhaus.ch/fr/search?query=</v>
      </c>
      <c r="AK84" s="59"/>
      <c r="AL84" s="59"/>
      <c r="AM84" s="61" t="str">
        <f>IF(Table1[[#This Row],[BricoEtLoisirs]]="","", HYPERLINK(Table1[[#This Row],[Destination - BricoEtLoisirs]],_xlfn.CONCAT("Link (",Table1[[#This Row],[BricoEtLoisirs]],")")))</f>
        <v/>
      </c>
      <c r="AN84" s="62" t="str">
        <f>_xlfn.CONCAT("https://bricoetloisirs.ch/p/",Table1[[#This Row],[BricoEtLoisirs]])</f>
        <v>https://bricoetloisirs.ch/p/</v>
      </c>
      <c r="AO84" s="57"/>
      <c r="AP84" s="59"/>
      <c r="AQ84" s="61" t="str">
        <f>IF(Table1[[#This Row],[Aliexpress]]="","", HYPERLINK(Table1[[#This Row],[Destination - Aliexpress]],_xlfn.CONCAT("Link (",Table1[[#This Row],[Aliexpress]],")")))</f>
        <v/>
      </c>
      <c r="AR84" s="62" t="str">
        <f>_xlfn.CONCAT("https://www.aliexpress.com/item/",Table1[[#This Row],[Aliexpress]],".html")</f>
        <v>https://www.aliexpress.com/item/.html</v>
      </c>
      <c r="AS84" s="57"/>
      <c r="AT84" s="59"/>
      <c r="AU84" s="61" t="str">
        <f>IF(Table1[[#This Row],[Banggood]]="","", HYPERLINK(Table1[[#This Row],[Destination - Banggood]],_xlfn.CONCAT("Link (",Table1[[#This Row],[Banggood]],")")))</f>
        <v/>
      </c>
      <c r="AV84" s="62" t="str">
        <f>_xlfn.CONCAT("https://www.banggood.com/search/",Table1[[#This Row],[Banggood]],".html")</f>
        <v>https://www.banggood.com/search/.html</v>
      </c>
      <c r="AW84" s="59" t="str">
        <f>IF(Table1[[#This Row],[Other]]&lt;&gt;"","Other","")</f>
        <v/>
      </c>
      <c r="AX84" s="57"/>
      <c r="AY84" s="59"/>
      <c r="AZ84" s="61" t="str">
        <f>IF(Table1[[#This Row],[Other]]="","",IF(Table1[[#This Row],[Destination - Other]]="","",HYPERLINK(Table1[[#This Row],[Destination - Other]],_xlfn.CONCAT("Link ("&amp;Table1[[#This Row],[Other]]&amp;")"))))</f>
        <v/>
      </c>
      <c r="BA84" s="59"/>
      <c r="BB84" s="58" t="str">
        <f>IF(AND( Table1[[#This Row],[Auto Order]]=1,Table1[[#This Row],[Obsolete]]=""),IF(Table1[[#This Row],[In stock]]&lt;Table1[[#This Row],[Min in stock]],1,""),"")</f>
        <v/>
      </c>
      <c r="BC84" s="64"/>
      <c r="BD84" s="66" t="str">
        <f>IF(Table1[[#This Row],[Obsolete]],Table1[[#This Row],[Art. Number]],"")</f>
        <v/>
      </c>
    </row>
    <row r="85" spans="1:56" x14ac:dyDescent="0.25">
      <c r="A85" s="65" t="s">
        <v>648</v>
      </c>
      <c r="B85" s="57" t="s">
        <v>508</v>
      </c>
      <c r="C85" s="57" t="s">
        <v>97</v>
      </c>
      <c r="D85" s="57" t="s">
        <v>649</v>
      </c>
      <c r="E85" s="57" t="s">
        <v>621</v>
      </c>
      <c r="F85" s="58">
        <v>0</v>
      </c>
      <c r="G85" s="58"/>
      <c r="H85" s="58"/>
      <c r="I8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WM4200-ND</v>
      </c>
      <c r="J8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0.17</v>
      </c>
      <c r="K8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(WM4200-ND)</v>
      </c>
      <c r="M85" s="57" t="s">
        <v>650</v>
      </c>
      <c r="N85" s="59">
        <v>0.17</v>
      </c>
      <c r="O85" s="61" t="str">
        <f>IF(Table1[[#This Row],[Digikey]]="","", HYPERLINK(Table1[[#This Row],[Destination - Digikey]],_xlfn.CONCAT("Link (",Table1[[#This Row],[Digikey]],")")))</f>
        <v>Link (WM4200-ND)</v>
      </c>
      <c r="P85" s="62" t="str">
        <f>_xlfn.CONCAT("https://www.digikey.ch/products/en?keywords=",Table1[[#This Row],[Digikey]])</f>
        <v>https://www.digikey.ch/products/en?keywords=WM4200-ND</v>
      </c>
      <c r="Q85" s="57"/>
      <c r="R85" s="59"/>
      <c r="S85" s="61" t="str">
        <f>IF(Table1[[#This Row],[Farnell]]="","", HYPERLINK(Table1[[#This Row],[Destination - Farnell]],_xlfn.CONCAT("Link (",Table1[[#This Row],[Farnell]],")")))</f>
        <v/>
      </c>
      <c r="T85" s="62" t="str">
        <f>_xlfn.CONCAT("https://ch.farnell.com/fr-CH/",Table1[[#This Row],[Farnell]])</f>
        <v>https://ch.farnell.com/fr-CH/</v>
      </c>
      <c r="U85" s="57"/>
      <c r="V85" s="59"/>
      <c r="W85" s="61" t="str">
        <f>IF(Table1[[#This Row],[Distrelec]]="","", HYPERLINK(Table1[[#This Row],[Destination - Distrelec]],_xlfn.CONCAT("Link (",Table1[[#This Row],[Distrelec]],")")))</f>
        <v/>
      </c>
      <c r="X85" s="62" t="str">
        <f>_xlfn.CONCAT("https://www.distrelec.ch/search?q=",Table1[[#This Row],[Distrelec]])</f>
        <v>https://www.distrelec.ch/search?q=</v>
      </c>
      <c r="Y85" s="57"/>
      <c r="Z85" s="59"/>
      <c r="AA85" s="61" t="str">
        <f>IF(Table1[[#This Row],[Conrad]]="","", HYPERLINK(Table1[[#This Row],[Destination - Conrad]],_xlfn.CONCAT("Link (",Table1[[#This Row],[Conrad]],")")))</f>
        <v/>
      </c>
      <c r="AB85" s="62"/>
      <c r="AC85" s="57"/>
      <c r="AD85" s="59"/>
      <c r="AE85" s="61" t="str">
        <f>IF(Table1[[#This Row],[Mouser]]="","", HYPERLINK(Table1[[#This Row],[Destination - Mouser]],_xlfn.CONCAT("Link (",Table1[[#This Row],[Mouser]],")")))</f>
        <v/>
      </c>
      <c r="AF85" s="62" t="str">
        <f>_xlfn.CONCAT("https://www.mouser.ch/ProductDetail/",Table1[[#This Row],[Mouser]])</f>
        <v>https://www.mouser.ch/ProductDetail/</v>
      </c>
      <c r="AG85" s="57"/>
      <c r="AH85" s="59"/>
      <c r="AI85" s="61" t="str">
        <f>IF(Table1[[#This Row],[Bauhaus]]="","", HYPERLINK(Table1[[#This Row],[Destination - Bauhaus]],_xlfn.CONCAT("Link (",Table1[[#This Row],[Bauhaus]],")")))</f>
        <v/>
      </c>
      <c r="AJ85" s="62" t="str">
        <f>_xlfn.CONCAT("https://www.bauhaus.ch/fr/search?query=",Table1[[#This Row],[Bauhaus]])</f>
        <v>https://www.bauhaus.ch/fr/search?query=</v>
      </c>
      <c r="AK85" s="59"/>
      <c r="AL85" s="59"/>
      <c r="AM85" s="61" t="str">
        <f>IF(Table1[[#This Row],[BricoEtLoisirs]]="","", HYPERLINK(Table1[[#This Row],[Destination - BricoEtLoisirs]],_xlfn.CONCAT("Link (",Table1[[#This Row],[BricoEtLoisirs]],")")))</f>
        <v/>
      </c>
      <c r="AN85" s="62" t="str">
        <f>_xlfn.CONCAT("https://bricoetloisirs.ch/p/",Table1[[#This Row],[BricoEtLoisirs]])</f>
        <v>https://bricoetloisirs.ch/p/</v>
      </c>
      <c r="AO85" s="57"/>
      <c r="AP85" s="59"/>
      <c r="AQ85" s="61" t="str">
        <f>IF(Table1[[#This Row],[Aliexpress]]="","", HYPERLINK(Table1[[#This Row],[Destination - Aliexpress]],_xlfn.CONCAT("Link (",Table1[[#This Row],[Aliexpress]],")")))</f>
        <v/>
      </c>
      <c r="AR85" s="62" t="str">
        <f>_xlfn.CONCAT("https://www.aliexpress.com/item/",Table1[[#This Row],[Aliexpress]],".html")</f>
        <v>https://www.aliexpress.com/item/.html</v>
      </c>
      <c r="AS85" s="57"/>
      <c r="AT85" s="59"/>
      <c r="AU85" s="61" t="str">
        <f>IF(Table1[[#This Row],[Banggood]]="","", HYPERLINK(Table1[[#This Row],[Destination - Banggood]],_xlfn.CONCAT("Link (",Table1[[#This Row],[Banggood]],")")))</f>
        <v/>
      </c>
      <c r="AV85" s="62" t="str">
        <f>_xlfn.CONCAT("https://www.banggood.com/search/",Table1[[#This Row],[Banggood]],".html")</f>
        <v>https://www.banggood.com/search/.html</v>
      </c>
      <c r="AW85" s="59" t="str">
        <f>IF(Table1[[#This Row],[Other]]&lt;&gt;"","Other","")</f>
        <v/>
      </c>
      <c r="AX85" s="57"/>
      <c r="AY85" s="59"/>
      <c r="AZ85" s="61" t="str">
        <f>IF(Table1[[#This Row],[Other]]="","",IF(Table1[[#This Row],[Destination - Other]]="","",HYPERLINK(Table1[[#This Row],[Destination - Other]],_xlfn.CONCAT("Link ("&amp;Table1[[#This Row],[Other]]&amp;")"))))</f>
        <v/>
      </c>
      <c r="BA85" s="59"/>
      <c r="BB85" s="58" t="str">
        <f>IF(AND( Table1[[#This Row],[Auto Order]]=1,Table1[[#This Row],[Obsolete]]=""),IF(Table1[[#This Row],[In stock]]&lt;Table1[[#This Row],[Min in stock]],1,""),"")</f>
        <v/>
      </c>
      <c r="BC85" s="64"/>
      <c r="BD85" s="66" t="str">
        <f>IF(Table1[[#This Row],[Obsolete]],Table1[[#This Row],[Art. Number]],"")</f>
        <v/>
      </c>
    </row>
    <row r="86" spans="1:56" x14ac:dyDescent="0.25">
      <c r="A86" s="65" t="s">
        <v>652</v>
      </c>
      <c r="B86" s="57" t="s">
        <v>348</v>
      </c>
      <c r="C86" s="57" t="s">
        <v>514</v>
      </c>
      <c r="D86" s="57" t="s">
        <v>653</v>
      </c>
      <c r="E86" s="57" t="s">
        <v>621</v>
      </c>
      <c r="F86" s="58">
        <v>2</v>
      </c>
      <c r="G86" s="58"/>
      <c r="H86" s="58"/>
      <c r="I8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A107034CT-ND</v>
      </c>
      <c r="J8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0.48</v>
      </c>
      <c r="K8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(A107034CT-ND)</v>
      </c>
      <c r="M86" s="57" t="s">
        <v>654</v>
      </c>
      <c r="N86" s="59">
        <v>0.48</v>
      </c>
      <c r="O86" s="61" t="str">
        <f>IF(Table1[[#This Row],[Digikey]]="","", HYPERLINK(Table1[[#This Row],[Destination - Digikey]],_xlfn.CONCAT("Link (",Table1[[#This Row],[Digikey]],")")))</f>
        <v>Link (A107034CT-ND)</v>
      </c>
      <c r="P86" s="62" t="str">
        <f>_xlfn.CONCAT("https://www.digikey.ch/products/en?keywords=",Table1[[#This Row],[Digikey]])</f>
        <v>https://www.digikey.ch/products/en?keywords=A107034CT-ND</v>
      </c>
      <c r="Q86" s="57"/>
      <c r="R86" s="59"/>
      <c r="S86" s="61" t="str">
        <f>IF(Table1[[#This Row],[Farnell]]="","", HYPERLINK(Table1[[#This Row],[Destination - Farnell]],_xlfn.CONCAT("Link (",Table1[[#This Row],[Farnell]],")")))</f>
        <v/>
      </c>
      <c r="T86" s="62" t="str">
        <f>_xlfn.CONCAT("https://ch.farnell.com/fr-CH/",Table1[[#This Row],[Farnell]])</f>
        <v>https://ch.farnell.com/fr-CH/</v>
      </c>
      <c r="U86" s="57"/>
      <c r="V86" s="59"/>
      <c r="W86" s="61" t="str">
        <f>IF(Table1[[#This Row],[Distrelec]]="","", HYPERLINK(Table1[[#This Row],[Destination - Distrelec]],_xlfn.CONCAT("Link (",Table1[[#This Row],[Distrelec]],")")))</f>
        <v/>
      </c>
      <c r="X86" s="62" t="str">
        <f>_xlfn.CONCAT("https://www.distrelec.ch/search?q=",Table1[[#This Row],[Distrelec]])</f>
        <v>https://www.distrelec.ch/search?q=</v>
      </c>
      <c r="Y86" s="57"/>
      <c r="Z86" s="59"/>
      <c r="AA86" s="61" t="str">
        <f>IF(Table1[[#This Row],[Conrad]]="","", HYPERLINK(Table1[[#This Row],[Destination - Conrad]],_xlfn.CONCAT("Link (",Table1[[#This Row],[Conrad]],")")))</f>
        <v/>
      </c>
      <c r="AB86" s="62"/>
      <c r="AC86" s="57"/>
      <c r="AD86" s="59"/>
      <c r="AE86" s="61" t="str">
        <f>IF(Table1[[#This Row],[Mouser]]="","", HYPERLINK(Table1[[#This Row],[Destination - Mouser]],_xlfn.CONCAT("Link (",Table1[[#This Row],[Mouser]],")")))</f>
        <v/>
      </c>
      <c r="AF86" s="62" t="str">
        <f>_xlfn.CONCAT("https://www.mouser.ch/ProductDetail/",Table1[[#This Row],[Mouser]])</f>
        <v>https://www.mouser.ch/ProductDetail/</v>
      </c>
      <c r="AG86" s="57"/>
      <c r="AH86" s="59"/>
      <c r="AI86" s="61" t="str">
        <f>IF(Table1[[#This Row],[Bauhaus]]="","", HYPERLINK(Table1[[#This Row],[Destination - Bauhaus]],_xlfn.CONCAT("Link (",Table1[[#This Row],[Bauhaus]],")")))</f>
        <v/>
      </c>
      <c r="AJ86" s="62" t="str">
        <f>_xlfn.CONCAT("https://www.bauhaus.ch/fr/search?query=",Table1[[#This Row],[Bauhaus]])</f>
        <v>https://www.bauhaus.ch/fr/search?query=</v>
      </c>
      <c r="AK86" s="59"/>
      <c r="AL86" s="59"/>
      <c r="AM86" s="61" t="str">
        <f>IF(Table1[[#This Row],[BricoEtLoisirs]]="","", HYPERLINK(Table1[[#This Row],[Destination - BricoEtLoisirs]],_xlfn.CONCAT("Link (",Table1[[#This Row],[BricoEtLoisirs]],")")))</f>
        <v/>
      </c>
      <c r="AN86" s="62" t="str">
        <f>_xlfn.CONCAT("https://bricoetloisirs.ch/p/",Table1[[#This Row],[BricoEtLoisirs]])</f>
        <v>https://bricoetloisirs.ch/p/</v>
      </c>
      <c r="AO86" s="57"/>
      <c r="AP86" s="59"/>
      <c r="AQ86" s="61" t="str">
        <f>IF(Table1[[#This Row],[Aliexpress]]="","", HYPERLINK(Table1[[#This Row],[Destination - Aliexpress]],_xlfn.CONCAT("Link (",Table1[[#This Row],[Aliexpress]],")")))</f>
        <v/>
      </c>
      <c r="AR86" s="62" t="str">
        <f>_xlfn.CONCAT("https://www.aliexpress.com/item/",Table1[[#This Row],[Aliexpress]],".html")</f>
        <v>https://www.aliexpress.com/item/.html</v>
      </c>
      <c r="AS86" s="57"/>
      <c r="AT86" s="59"/>
      <c r="AU86" s="61" t="str">
        <f>IF(Table1[[#This Row],[Banggood]]="","", HYPERLINK(Table1[[#This Row],[Destination - Banggood]],_xlfn.CONCAT("Link (",Table1[[#This Row],[Banggood]],")")))</f>
        <v/>
      </c>
      <c r="AV86" s="62" t="str">
        <f>_xlfn.CONCAT("https://www.banggood.com/search/",Table1[[#This Row],[Banggood]],".html")</f>
        <v>https://www.banggood.com/search/.html</v>
      </c>
      <c r="AW86" s="59" t="str">
        <f>IF(Table1[[#This Row],[Other]]&lt;&gt;"","Other","")</f>
        <v/>
      </c>
      <c r="AX86" s="57"/>
      <c r="AY86" s="59"/>
      <c r="AZ86" s="61" t="str">
        <f>IF(Table1[[#This Row],[Other]]="","",IF(Table1[[#This Row],[Destination - Other]]="","",HYPERLINK(Table1[[#This Row],[Destination - Other]],_xlfn.CONCAT("Link ("&amp;Table1[[#This Row],[Other]]&amp;")"))))</f>
        <v/>
      </c>
      <c r="BA86" s="59"/>
      <c r="BB86" s="58" t="str">
        <f>IF(AND( Table1[[#This Row],[Auto Order]]=1,Table1[[#This Row],[Obsolete]]=""),IF(Table1[[#This Row],[In stock]]&lt;Table1[[#This Row],[Min in stock]],1,""),"")</f>
        <v/>
      </c>
      <c r="BC86" s="64"/>
      <c r="BD86" s="66" t="str">
        <f>IF(Table1[[#This Row],[Obsolete]],Table1[[#This Row],[Art. Number]],"")</f>
        <v/>
      </c>
    </row>
    <row r="87" spans="1:56" x14ac:dyDescent="0.25">
      <c r="A87" s="65" t="s">
        <v>656</v>
      </c>
      <c r="B87" s="57" t="s">
        <v>348</v>
      </c>
      <c r="C87" s="57" t="s">
        <v>520</v>
      </c>
      <c r="D87" s="57" t="s">
        <v>657</v>
      </c>
      <c r="E87" s="57" t="s">
        <v>621</v>
      </c>
      <c r="F87" s="58">
        <v>2</v>
      </c>
      <c r="G87" s="58"/>
      <c r="H87" s="58"/>
      <c r="I8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A107035CT-ND</v>
      </c>
      <c r="J8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</v>
      </c>
      <c r="K8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(A107035CT-ND)</v>
      </c>
      <c r="M87" s="57" t="s">
        <v>658</v>
      </c>
      <c r="N87" s="59">
        <v>0.7</v>
      </c>
      <c r="O87" s="61" t="str">
        <f>IF(Table1[[#This Row],[Digikey]]="","", HYPERLINK(Table1[[#This Row],[Destination - Digikey]],_xlfn.CONCAT("Link (",Table1[[#This Row],[Digikey]],")")))</f>
        <v>Link (A107035CT-ND)</v>
      </c>
      <c r="P87" s="62" t="str">
        <f>_xlfn.CONCAT("https://www.digikey.ch/products/en?keywords=",Table1[[#This Row],[Digikey]])</f>
        <v>https://www.digikey.ch/products/en?keywords=A107035CT-ND</v>
      </c>
      <c r="Q87" s="57"/>
      <c r="R87" s="59"/>
      <c r="S87" s="61" t="str">
        <f>IF(Table1[[#This Row],[Farnell]]="","", HYPERLINK(Table1[[#This Row],[Destination - Farnell]],_xlfn.CONCAT("Link (",Table1[[#This Row],[Farnell]],")")))</f>
        <v/>
      </c>
      <c r="T87" s="62" t="str">
        <f>_xlfn.CONCAT("https://ch.farnell.com/fr-CH/",Table1[[#This Row],[Farnell]])</f>
        <v>https://ch.farnell.com/fr-CH/</v>
      </c>
      <c r="U87" s="57"/>
      <c r="V87" s="59"/>
      <c r="W87" s="61" t="str">
        <f>IF(Table1[[#This Row],[Distrelec]]="","", HYPERLINK(Table1[[#This Row],[Destination - Distrelec]],_xlfn.CONCAT("Link (",Table1[[#This Row],[Distrelec]],")")))</f>
        <v/>
      </c>
      <c r="X87" s="62" t="str">
        <f>_xlfn.CONCAT("https://www.distrelec.ch/search?q=",Table1[[#This Row],[Distrelec]])</f>
        <v>https://www.distrelec.ch/search?q=</v>
      </c>
      <c r="Y87" s="57"/>
      <c r="Z87" s="59"/>
      <c r="AA87" s="61" t="str">
        <f>IF(Table1[[#This Row],[Conrad]]="","", HYPERLINK(Table1[[#This Row],[Destination - Conrad]],_xlfn.CONCAT("Link (",Table1[[#This Row],[Conrad]],")")))</f>
        <v/>
      </c>
      <c r="AB87" s="62"/>
      <c r="AC87" s="57"/>
      <c r="AD87" s="59"/>
      <c r="AE87" s="61" t="str">
        <f>IF(Table1[[#This Row],[Mouser]]="","", HYPERLINK(Table1[[#This Row],[Destination - Mouser]],_xlfn.CONCAT("Link (",Table1[[#This Row],[Mouser]],")")))</f>
        <v/>
      </c>
      <c r="AF87" s="62" t="str">
        <f>_xlfn.CONCAT("https://www.mouser.ch/ProductDetail/",Table1[[#This Row],[Mouser]])</f>
        <v>https://www.mouser.ch/ProductDetail/</v>
      </c>
      <c r="AG87" s="57"/>
      <c r="AH87" s="59"/>
      <c r="AI87" s="61" t="str">
        <f>IF(Table1[[#This Row],[Bauhaus]]="","", HYPERLINK(Table1[[#This Row],[Destination - Bauhaus]],_xlfn.CONCAT("Link (",Table1[[#This Row],[Bauhaus]],")")))</f>
        <v/>
      </c>
      <c r="AJ87" s="62" t="str">
        <f>_xlfn.CONCAT("https://www.bauhaus.ch/fr/search?query=",Table1[[#This Row],[Bauhaus]])</f>
        <v>https://www.bauhaus.ch/fr/search?query=</v>
      </c>
      <c r="AK87" s="59"/>
      <c r="AL87" s="59"/>
      <c r="AM87" s="61" t="str">
        <f>IF(Table1[[#This Row],[BricoEtLoisirs]]="","", HYPERLINK(Table1[[#This Row],[Destination - BricoEtLoisirs]],_xlfn.CONCAT("Link (",Table1[[#This Row],[BricoEtLoisirs]],")")))</f>
        <v/>
      </c>
      <c r="AN87" s="62" t="str">
        <f>_xlfn.CONCAT("https://bricoetloisirs.ch/p/",Table1[[#This Row],[BricoEtLoisirs]])</f>
        <v>https://bricoetloisirs.ch/p/</v>
      </c>
      <c r="AO87" s="57"/>
      <c r="AP87" s="59"/>
      <c r="AQ87" s="61" t="str">
        <f>IF(Table1[[#This Row],[Aliexpress]]="","", HYPERLINK(Table1[[#This Row],[Destination - Aliexpress]],_xlfn.CONCAT("Link (",Table1[[#This Row],[Aliexpress]],")")))</f>
        <v/>
      </c>
      <c r="AR87" s="62" t="str">
        <f>_xlfn.CONCAT("https://www.aliexpress.com/item/",Table1[[#This Row],[Aliexpress]],".html")</f>
        <v>https://www.aliexpress.com/item/.html</v>
      </c>
      <c r="AS87" s="57"/>
      <c r="AT87" s="59"/>
      <c r="AU87" s="61" t="str">
        <f>IF(Table1[[#This Row],[Banggood]]="","", HYPERLINK(Table1[[#This Row],[Destination - Banggood]],_xlfn.CONCAT("Link (",Table1[[#This Row],[Banggood]],")")))</f>
        <v/>
      </c>
      <c r="AV87" s="62" t="str">
        <f>_xlfn.CONCAT("https://www.banggood.com/search/",Table1[[#This Row],[Banggood]],".html")</f>
        <v>https://www.banggood.com/search/.html</v>
      </c>
      <c r="AW87" s="59" t="str">
        <f>IF(Table1[[#This Row],[Other]]&lt;&gt;"","Other","")</f>
        <v/>
      </c>
      <c r="AX87" s="57"/>
      <c r="AY87" s="59"/>
      <c r="AZ87" s="61" t="str">
        <f>IF(Table1[[#This Row],[Other]]="","",IF(Table1[[#This Row],[Destination - Other]]="","",HYPERLINK(Table1[[#This Row],[Destination - Other]],_xlfn.CONCAT("Link ("&amp;Table1[[#This Row],[Other]]&amp;")"))))</f>
        <v/>
      </c>
      <c r="BA87" s="59"/>
      <c r="BB87" s="58" t="str">
        <f>IF(AND( Table1[[#This Row],[Auto Order]]=1,Table1[[#This Row],[Obsolete]]=""),IF(Table1[[#This Row],[In stock]]&lt;Table1[[#This Row],[Min in stock]],1,""),"")</f>
        <v/>
      </c>
      <c r="BC87" s="64"/>
      <c r="BD87" s="66" t="str">
        <f>IF(Table1[[#This Row],[Obsolete]],Table1[[#This Row],[Art. Number]],"")</f>
        <v/>
      </c>
    </row>
    <row r="88" spans="1:56" x14ac:dyDescent="0.25">
      <c r="A88" s="65" t="s">
        <v>660</v>
      </c>
      <c r="B88" s="57" t="s">
        <v>348</v>
      </c>
      <c r="C88" s="57" t="s">
        <v>97</v>
      </c>
      <c r="D88" s="57" t="s">
        <v>661</v>
      </c>
      <c r="E88" s="57" t="s">
        <v>621</v>
      </c>
      <c r="F88" s="58">
        <v>0</v>
      </c>
      <c r="G88" s="58"/>
      <c r="H88" s="58"/>
      <c r="I8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A116230CT-ND</v>
      </c>
      <c r="J8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0.64</v>
      </c>
      <c r="K8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(A116230CT-ND)</v>
      </c>
      <c r="M88" s="57" t="s">
        <v>662</v>
      </c>
      <c r="N88" s="59">
        <v>0.64</v>
      </c>
      <c r="O88" s="61" t="str">
        <f>IF(Table1[[#This Row],[Digikey]]="","", HYPERLINK(Table1[[#This Row],[Destination - Digikey]],_xlfn.CONCAT("Link (",Table1[[#This Row],[Digikey]],")")))</f>
        <v>Link (A116230CT-ND)</v>
      </c>
      <c r="P88" s="62" t="str">
        <f>_xlfn.CONCAT("https://www.digikey.ch/products/en?keywords=",Table1[[#This Row],[Digikey]])</f>
        <v>https://www.digikey.ch/products/en?keywords=A116230CT-ND</v>
      </c>
      <c r="Q88" s="57"/>
      <c r="R88" s="59"/>
      <c r="S88" s="61" t="str">
        <f>IF(Table1[[#This Row],[Farnell]]="","", HYPERLINK(Table1[[#This Row],[Destination - Farnell]],_xlfn.CONCAT("Link (",Table1[[#This Row],[Farnell]],")")))</f>
        <v/>
      </c>
      <c r="T88" s="62" t="str">
        <f>_xlfn.CONCAT("https://ch.farnell.com/fr-CH/",Table1[[#This Row],[Farnell]])</f>
        <v>https://ch.farnell.com/fr-CH/</v>
      </c>
      <c r="U88" s="57"/>
      <c r="V88" s="59"/>
      <c r="W88" s="61" t="str">
        <f>IF(Table1[[#This Row],[Distrelec]]="","", HYPERLINK(Table1[[#This Row],[Destination - Distrelec]],_xlfn.CONCAT("Link (",Table1[[#This Row],[Distrelec]],")")))</f>
        <v/>
      </c>
      <c r="X88" s="62" t="str">
        <f>_xlfn.CONCAT("https://www.distrelec.ch/search?q=",Table1[[#This Row],[Distrelec]])</f>
        <v>https://www.distrelec.ch/search?q=</v>
      </c>
      <c r="Y88" s="57"/>
      <c r="Z88" s="59"/>
      <c r="AA88" s="61" t="str">
        <f>IF(Table1[[#This Row],[Conrad]]="","", HYPERLINK(Table1[[#This Row],[Destination - Conrad]],_xlfn.CONCAT("Link (",Table1[[#This Row],[Conrad]],")")))</f>
        <v/>
      </c>
      <c r="AB88" s="62"/>
      <c r="AC88" s="57"/>
      <c r="AD88" s="59"/>
      <c r="AE88" s="61" t="str">
        <f>IF(Table1[[#This Row],[Mouser]]="","", HYPERLINK(Table1[[#This Row],[Destination - Mouser]],_xlfn.CONCAT("Link (",Table1[[#This Row],[Mouser]],")")))</f>
        <v/>
      </c>
      <c r="AF88" s="62" t="str">
        <f>_xlfn.CONCAT("https://www.mouser.ch/ProductDetail/",Table1[[#This Row],[Mouser]])</f>
        <v>https://www.mouser.ch/ProductDetail/</v>
      </c>
      <c r="AG88" s="57"/>
      <c r="AH88" s="59"/>
      <c r="AI88" s="61" t="str">
        <f>IF(Table1[[#This Row],[Bauhaus]]="","", HYPERLINK(Table1[[#This Row],[Destination - Bauhaus]],_xlfn.CONCAT("Link (",Table1[[#This Row],[Bauhaus]],")")))</f>
        <v/>
      </c>
      <c r="AJ88" s="62" t="str">
        <f>_xlfn.CONCAT("https://www.bauhaus.ch/fr/search?query=",Table1[[#This Row],[Bauhaus]])</f>
        <v>https://www.bauhaus.ch/fr/search?query=</v>
      </c>
      <c r="AK88" s="59"/>
      <c r="AL88" s="59"/>
      <c r="AM88" s="61" t="str">
        <f>IF(Table1[[#This Row],[BricoEtLoisirs]]="","", HYPERLINK(Table1[[#This Row],[Destination - BricoEtLoisirs]],_xlfn.CONCAT("Link (",Table1[[#This Row],[BricoEtLoisirs]],")")))</f>
        <v/>
      </c>
      <c r="AN88" s="62" t="str">
        <f>_xlfn.CONCAT("https://bricoetloisirs.ch/p/",Table1[[#This Row],[BricoEtLoisirs]])</f>
        <v>https://bricoetloisirs.ch/p/</v>
      </c>
      <c r="AO88" s="57"/>
      <c r="AP88" s="59"/>
      <c r="AQ88" s="61" t="str">
        <f>IF(Table1[[#This Row],[Aliexpress]]="","", HYPERLINK(Table1[[#This Row],[Destination - Aliexpress]],_xlfn.CONCAT("Link (",Table1[[#This Row],[Aliexpress]],")")))</f>
        <v/>
      </c>
      <c r="AR88" s="62" t="str">
        <f>_xlfn.CONCAT("https://www.aliexpress.com/item/",Table1[[#This Row],[Aliexpress]],".html")</f>
        <v>https://www.aliexpress.com/item/.html</v>
      </c>
      <c r="AS88" s="57"/>
      <c r="AT88" s="59"/>
      <c r="AU88" s="61" t="str">
        <f>IF(Table1[[#This Row],[Banggood]]="","", HYPERLINK(Table1[[#This Row],[Destination - Banggood]],_xlfn.CONCAT("Link (",Table1[[#This Row],[Banggood]],")")))</f>
        <v/>
      </c>
      <c r="AV88" s="62" t="str">
        <f>_xlfn.CONCAT("https://www.banggood.com/search/",Table1[[#This Row],[Banggood]],".html")</f>
        <v>https://www.banggood.com/search/.html</v>
      </c>
      <c r="AW88" s="59" t="str">
        <f>IF(Table1[[#This Row],[Other]]&lt;&gt;"","Other","")</f>
        <v/>
      </c>
      <c r="AX88" s="57"/>
      <c r="AY88" s="59"/>
      <c r="AZ88" s="61" t="str">
        <f>IF(Table1[[#This Row],[Other]]="","",IF(Table1[[#This Row],[Destination - Other]]="","",HYPERLINK(Table1[[#This Row],[Destination - Other]],_xlfn.CONCAT("Link ("&amp;Table1[[#This Row],[Other]]&amp;")"))))</f>
        <v/>
      </c>
      <c r="BA88" s="59"/>
      <c r="BB88" s="58" t="str">
        <f>IF(AND( Table1[[#This Row],[Auto Order]]=1,Table1[[#This Row],[Obsolete]]=""),IF(Table1[[#This Row],[In stock]]&lt;Table1[[#This Row],[Min in stock]],1,""),"")</f>
        <v/>
      </c>
      <c r="BC88" s="64"/>
      <c r="BD88" s="66" t="str">
        <f>IF(Table1[[#This Row],[Obsolete]],Table1[[#This Row],[Art. Number]],"")</f>
        <v/>
      </c>
    </row>
    <row r="89" spans="1:56" x14ac:dyDescent="0.25">
      <c r="A89" s="65" t="s">
        <v>664</v>
      </c>
      <c r="B89" s="57" t="s">
        <v>348</v>
      </c>
      <c r="C89" s="57" t="s">
        <v>604</v>
      </c>
      <c r="D89" s="57" t="s">
        <v>665</v>
      </c>
      <c r="E89" s="57" t="s">
        <v>621</v>
      </c>
      <c r="F89" s="58">
        <v>2</v>
      </c>
      <c r="G89" s="58"/>
      <c r="H89" s="58"/>
      <c r="I8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A110881CT-ND</v>
      </c>
      <c r="J8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0.75</v>
      </c>
      <c r="K8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8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(A110881CT-ND)</v>
      </c>
      <c r="M89" s="57" t="s">
        <v>666</v>
      </c>
      <c r="N89" s="59">
        <v>0.75</v>
      </c>
      <c r="O89" s="61" t="str">
        <f>IF(Table1[[#This Row],[Digikey]]="","", HYPERLINK(Table1[[#This Row],[Destination - Digikey]],_xlfn.CONCAT("Link (",Table1[[#This Row],[Digikey]],")")))</f>
        <v>Link (A110881CT-ND)</v>
      </c>
      <c r="P89" s="62" t="str">
        <f>_xlfn.CONCAT("https://www.digikey.ch/products/en?keywords=",Table1[[#This Row],[Digikey]])</f>
        <v>https://www.digikey.ch/products/en?keywords=A110881CT-ND</v>
      </c>
      <c r="Q89" s="57"/>
      <c r="R89" s="59"/>
      <c r="S89" s="61" t="str">
        <f>IF(Table1[[#This Row],[Farnell]]="","", HYPERLINK(Table1[[#This Row],[Destination - Farnell]],_xlfn.CONCAT("Link (",Table1[[#This Row],[Farnell]],")")))</f>
        <v/>
      </c>
      <c r="T89" s="62" t="str">
        <f>_xlfn.CONCAT("https://ch.farnell.com/fr-CH/",Table1[[#This Row],[Farnell]])</f>
        <v>https://ch.farnell.com/fr-CH/</v>
      </c>
      <c r="U89" s="57"/>
      <c r="V89" s="59"/>
      <c r="W89" s="61" t="str">
        <f>IF(Table1[[#This Row],[Distrelec]]="","", HYPERLINK(Table1[[#This Row],[Destination - Distrelec]],_xlfn.CONCAT("Link (",Table1[[#This Row],[Distrelec]],")")))</f>
        <v/>
      </c>
      <c r="X89" s="62" t="str">
        <f>_xlfn.CONCAT("https://www.distrelec.ch/search?q=",Table1[[#This Row],[Distrelec]])</f>
        <v>https://www.distrelec.ch/search?q=</v>
      </c>
      <c r="Y89" s="57"/>
      <c r="Z89" s="59"/>
      <c r="AA89" s="61" t="str">
        <f>IF(Table1[[#This Row],[Conrad]]="","", HYPERLINK(Table1[[#This Row],[Destination - Conrad]],_xlfn.CONCAT("Link (",Table1[[#This Row],[Conrad]],")")))</f>
        <v/>
      </c>
      <c r="AB89" s="62"/>
      <c r="AC89" s="57"/>
      <c r="AD89" s="59"/>
      <c r="AE89" s="61" t="str">
        <f>IF(Table1[[#This Row],[Mouser]]="","", HYPERLINK(Table1[[#This Row],[Destination - Mouser]],_xlfn.CONCAT("Link (",Table1[[#This Row],[Mouser]],")")))</f>
        <v/>
      </c>
      <c r="AF89" s="62" t="str">
        <f>_xlfn.CONCAT("https://www.mouser.ch/ProductDetail/",Table1[[#This Row],[Mouser]])</f>
        <v>https://www.mouser.ch/ProductDetail/</v>
      </c>
      <c r="AG89" s="57"/>
      <c r="AH89" s="59"/>
      <c r="AI89" s="61" t="str">
        <f>IF(Table1[[#This Row],[Bauhaus]]="","", HYPERLINK(Table1[[#This Row],[Destination - Bauhaus]],_xlfn.CONCAT("Link (",Table1[[#This Row],[Bauhaus]],")")))</f>
        <v/>
      </c>
      <c r="AJ89" s="62" t="str">
        <f>_xlfn.CONCAT("https://www.bauhaus.ch/fr/search?query=",Table1[[#This Row],[Bauhaus]])</f>
        <v>https://www.bauhaus.ch/fr/search?query=</v>
      </c>
      <c r="AK89" s="59"/>
      <c r="AL89" s="59"/>
      <c r="AM89" s="61" t="str">
        <f>IF(Table1[[#This Row],[BricoEtLoisirs]]="","", HYPERLINK(Table1[[#This Row],[Destination - BricoEtLoisirs]],_xlfn.CONCAT("Link (",Table1[[#This Row],[BricoEtLoisirs]],")")))</f>
        <v/>
      </c>
      <c r="AN89" s="62" t="str">
        <f>_xlfn.CONCAT("https://bricoetloisirs.ch/p/",Table1[[#This Row],[BricoEtLoisirs]])</f>
        <v>https://bricoetloisirs.ch/p/</v>
      </c>
      <c r="AO89" s="57"/>
      <c r="AP89" s="59"/>
      <c r="AQ89" s="61" t="str">
        <f>IF(Table1[[#This Row],[Aliexpress]]="","", HYPERLINK(Table1[[#This Row],[Destination - Aliexpress]],_xlfn.CONCAT("Link (",Table1[[#This Row],[Aliexpress]],")")))</f>
        <v/>
      </c>
      <c r="AR89" s="62" t="str">
        <f>_xlfn.CONCAT("https://www.aliexpress.com/item/",Table1[[#This Row],[Aliexpress]],".html")</f>
        <v>https://www.aliexpress.com/item/.html</v>
      </c>
      <c r="AS89" s="57"/>
      <c r="AT89" s="59"/>
      <c r="AU89" s="61" t="str">
        <f>IF(Table1[[#This Row],[Banggood]]="","", HYPERLINK(Table1[[#This Row],[Destination - Banggood]],_xlfn.CONCAT("Link (",Table1[[#This Row],[Banggood]],")")))</f>
        <v/>
      </c>
      <c r="AV89" s="62" t="str">
        <f>_xlfn.CONCAT("https://www.banggood.com/search/",Table1[[#This Row],[Banggood]],".html")</f>
        <v>https://www.banggood.com/search/.html</v>
      </c>
      <c r="AW89" s="59" t="str">
        <f>IF(Table1[[#This Row],[Other]]&lt;&gt;"","Other","")</f>
        <v/>
      </c>
      <c r="AX89" s="57"/>
      <c r="AY89" s="59"/>
      <c r="AZ89" s="61" t="str">
        <f>IF(Table1[[#This Row],[Other]]="","",IF(Table1[[#This Row],[Destination - Other]]="","",HYPERLINK(Table1[[#This Row],[Destination - Other]],_xlfn.CONCAT("Link ("&amp;Table1[[#This Row],[Other]]&amp;")"))))</f>
        <v/>
      </c>
      <c r="BA89" s="59"/>
      <c r="BB89" s="58" t="str">
        <f>IF(AND( Table1[[#This Row],[Auto Order]]=1,Table1[[#This Row],[Obsolete]]=""),IF(Table1[[#This Row],[In stock]]&lt;Table1[[#This Row],[Min in stock]],1,""),"")</f>
        <v/>
      </c>
      <c r="BC89" s="64"/>
      <c r="BD89" s="66" t="str">
        <f>IF(Table1[[#This Row],[Obsolete]],Table1[[#This Row],[Art. Number]],"")</f>
        <v/>
      </c>
    </row>
    <row r="90" spans="1:56" x14ac:dyDescent="0.25">
      <c r="A90" s="65" t="s">
        <v>668</v>
      </c>
      <c r="B90" s="57" t="s">
        <v>348</v>
      </c>
      <c r="C90" s="57" t="s">
        <v>97</v>
      </c>
      <c r="D90" s="57" t="s">
        <v>669</v>
      </c>
      <c r="E90" s="57" t="s">
        <v>621</v>
      </c>
      <c r="F90" s="58">
        <v>0</v>
      </c>
      <c r="G90" s="58"/>
      <c r="H90" s="58"/>
      <c r="I9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A110882CT-ND</v>
      </c>
      <c r="J9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0.84</v>
      </c>
      <c r="K9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(A110882CT-ND)</v>
      </c>
      <c r="M90" s="57" t="s">
        <v>670</v>
      </c>
      <c r="N90" s="59">
        <v>0.84</v>
      </c>
      <c r="O90" s="61" t="str">
        <f>IF(Table1[[#This Row],[Digikey]]="","", HYPERLINK(Table1[[#This Row],[Destination - Digikey]],_xlfn.CONCAT("Link (",Table1[[#This Row],[Digikey]],")")))</f>
        <v>Link (A110882CT-ND)</v>
      </c>
      <c r="P90" s="62" t="str">
        <f>_xlfn.CONCAT("https://www.digikey.ch/products/en?keywords=",Table1[[#This Row],[Digikey]])</f>
        <v>https://www.digikey.ch/products/en?keywords=A110882CT-ND</v>
      </c>
      <c r="Q90" s="57"/>
      <c r="R90" s="59"/>
      <c r="S90" s="61" t="str">
        <f>IF(Table1[[#This Row],[Farnell]]="","", HYPERLINK(Table1[[#This Row],[Destination - Farnell]],_xlfn.CONCAT("Link (",Table1[[#This Row],[Farnell]],")")))</f>
        <v/>
      </c>
      <c r="T90" s="62" t="str">
        <f>_xlfn.CONCAT("https://ch.farnell.com/fr-CH/",Table1[[#This Row],[Farnell]])</f>
        <v>https://ch.farnell.com/fr-CH/</v>
      </c>
      <c r="U90" s="57"/>
      <c r="V90" s="59"/>
      <c r="W90" s="61" t="str">
        <f>IF(Table1[[#This Row],[Distrelec]]="","", HYPERLINK(Table1[[#This Row],[Destination - Distrelec]],_xlfn.CONCAT("Link (",Table1[[#This Row],[Distrelec]],")")))</f>
        <v/>
      </c>
      <c r="X90" s="62" t="str">
        <f>_xlfn.CONCAT("https://www.distrelec.ch/search?q=",Table1[[#This Row],[Distrelec]])</f>
        <v>https://www.distrelec.ch/search?q=</v>
      </c>
      <c r="Y90" s="57"/>
      <c r="Z90" s="59"/>
      <c r="AA90" s="61" t="str">
        <f>IF(Table1[[#This Row],[Conrad]]="","", HYPERLINK(Table1[[#This Row],[Destination - Conrad]],_xlfn.CONCAT("Link (",Table1[[#This Row],[Conrad]],")")))</f>
        <v/>
      </c>
      <c r="AB90" s="62"/>
      <c r="AC90" s="57"/>
      <c r="AD90" s="59"/>
      <c r="AE90" s="61" t="str">
        <f>IF(Table1[[#This Row],[Mouser]]="","", HYPERLINK(Table1[[#This Row],[Destination - Mouser]],_xlfn.CONCAT("Link (",Table1[[#This Row],[Mouser]],")")))</f>
        <v/>
      </c>
      <c r="AF90" s="62" t="str">
        <f>_xlfn.CONCAT("https://www.mouser.ch/ProductDetail/",Table1[[#This Row],[Mouser]])</f>
        <v>https://www.mouser.ch/ProductDetail/</v>
      </c>
      <c r="AG90" s="57"/>
      <c r="AH90" s="59"/>
      <c r="AI90" s="61" t="str">
        <f>IF(Table1[[#This Row],[Bauhaus]]="","", HYPERLINK(Table1[[#This Row],[Destination - Bauhaus]],_xlfn.CONCAT("Link (",Table1[[#This Row],[Bauhaus]],")")))</f>
        <v/>
      </c>
      <c r="AJ90" s="62" t="str">
        <f>_xlfn.CONCAT("https://www.bauhaus.ch/fr/search?query=",Table1[[#This Row],[Bauhaus]])</f>
        <v>https://www.bauhaus.ch/fr/search?query=</v>
      </c>
      <c r="AK90" s="59"/>
      <c r="AL90" s="59"/>
      <c r="AM90" s="61" t="str">
        <f>IF(Table1[[#This Row],[BricoEtLoisirs]]="","", HYPERLINK(Table1[[#This Row],[Destination - BricoEtLoisirs]],_xlfn.CONCAT("Link (",Table1[[#This Row],[BricoEtLoisirs]],")")))</f>
        <v/>
      </c>
      <c r="AN90" s="62" t="str">
        <f>_xlfn.CONCAT("https://bricoetloisirs.ch/p/",Table1[[#This Row],[BricoEtLoisirs]])</f>
        <v>https://bricoetloisirs.ch/p/</v>
      </c>
      <c r="AO90" s="57"/>
      <c r="AP90" s="59"/>
      <c r="AQ90" s="61" t="str">
        <f>IF(Table1[[#This Row],[Aliexpress]]="","", HYPERLINK(Table1[[#This Row],[Destination - Aliexpress]],_xlfn.CONCAT("Link (",Table1[[#This Row],[Aliexpress]],")")))</f>
        <v/>
      </c>
      <c r="AR90" s="62" t="str">
        <f>_xlfn.CONCAT("https://www.aliexpress.com/item/",Table1[[#This Row],[Aliexpress]],".html")</f>
        <v>https://www.aliexpress.com/item/.html</v>
      </c>
      <c r="AS90" s="57"/>
      <c r="AT90" s="59"/>
      <c r="AU90" s="61" t="str">
        <f>IF(Table1[[#This Row],[Banggood]]="","", HYPERLINK(Table1[[#This Row],[Destination - Banggood]],_xlfn.CONCAT("Link (",Table1[[#This Row],[Banggood]],")")))</f>
        <v/>
      </c>
      <c r="AV90" s="62" t="str">
        <f>_xlfn.CONCAT("https://www.banggood.com/search/",Table1[[#This Row],[Banggood]],".html")</f>
        <v>https://www.banggood.com/search/.html</v>
      </c>
      <c r="AW90" s="59" t="str">
        <f>IF(Table1[[#This Row],[Other]]&lt;&gt;"","Other","")</f>
        <v/>
      </c>
      <c r="AX90" s="57"/>
      <c r="AY90" s="59"/>
      <c r="AZ90" s="61" t="str">
        <f>IF(Table1[[#This Row],[Other]]="","",IF(Table1[[#This Row],[Destination - Other]]="","",HYPERLINK(Table1[[#This Row],[Destination - Other]],_xlfn.CONCAT("Link ("&amp;Table1[[#This Row],[Other]]&amp;")"))))</f>
        <v/>
      </c>
      <c r="BA90" s="59"/>
      <c r="BB90" s="58" t="str">
        <f>IF(AND( Table1[[#This Row],[Auto Order]]=1,Table1[[#This Row],[Obsolete]]=""),IF(Table1[[#This Row],[In stock]]&lt;Table1[[#This Row],[Min in stock]],1,""),"")</f>
        <v/>
      </c>
      <c r="BC90" s="64"/>
      <c r="BD90" s="66" t="str">
        <f>IF(Table1[[#This Row],[Obsolete]],Table1[[#This Row],[Art. Number]],"")</f>
        <v/>
      </c>
    </row>
    <row r="91" spans="1:56" x14ac:dyDescent="0.25">
      <c r="A91" s="65" t="s">
        <v>672</v>
      </c>
      <c r="B91" s="57" t="s">
        <v>348</v>
      </c>
      <c r="C91" s="57" t="s">
        <v>97</v>
      </c>
      <c r="D91" s="57" t="s">
        <v>673</v>
      </c>
      <c r="E91" s="57" t="s">
        <v>621</v>
      </c>
      <c r="F91" s="58">
        <v>0</v>
      </c>
      <c r="G91" s="58"/>
      <c r="H91" s="58"/>
      <c r="I9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A110883CT-ND</v>
      </c>
      <c r="J9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0.96</v>
      </c>
      <c r="K9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(A110883CT-ND)</v>
      </c>
      <c r="M91" s="57" t="s">
        <v>674</v>
      </c>
      <c r="N91" s="59">
        <v>0.96</v>
      </c>
      <c r="O91" s="61" t="str">
        <f>IF(Table1[[#This Row],[Digikey]]="","", HYPERLINK(Table1[[#This Row],[Destination - Digikey]],_xlfn.CONCAT("Link (",Table1[[#This Row],[Digikey]],")")))</f>
        <v>Link (A110883CT-ND)</v>
      </c>
      <c r="P91" s="62" t="str">
        <f>_xlfn.CONCAT("https://www.digikey.ch/products/en?keywords=",Table1[[#This Row],[Digikey]])</f>
        <v>https://www.digikey.ch/products/en?keywords=A110883CT-ND</v>
      </c>
      <c r="Q91" s="57"/>
      <c r="R91" s="59"/>
      <c r="S91" s="61" t="str">
        <f>IF(Table1[[#This Row],[Farnell]]="","", HYPERLINK(Table1[[#This Row],[Destination - Farnell]],_xlfn.CONCAT("Link (",Table1[[#This Row],[Farnell]],")")))</f>
        <v/>
      </c>
      <c r="T91" s="62" t="str">
        <f>_xlfn.CONCAT("https://ch.farnell.com/fr-CH/",Table1[[#This Row],[Farnell]])</f>
        <v>https://ch.farnell.com/fr-CH/</v>
      </c>
      <c r="U91" s="57"/>
      <c r="V91" s="59"/>
      <c r="W91" s="61" t="str">
        <f>IF(Table1[[#This Row],[Distrelec]]="","", HYPERLINK(Table1[[#This Row],[Destination - Distrelec]],_xlfn.CONCAT("Link (",Table1[[#This Row],[Distrelec]],")")))</f>
        <v/>
      </c>
      <c r="X91" s="62" t="str">
        <f>_xlfn.CONCAT("https://www.distrelec.ch/search?q=",Table1[[#This Row],[Distrelec]])</f>
        <v>https://www.distrelec.ch/search?q=</v>
      </c>
      <c r="Y91" s="57"/>
      <c r="Z91" s="59"/>
      <c r="AA91" s="61" t="str">
        <f>IF(Table1[[#This Row],[Conrad]]="","", HYPERLINK(Table1[[#This Row],[Destination - Conrad]],_xlfn.CONCAT("Link (",Table1[[#This Row],[Conrad]],")")))</f>
        <v/>
      </c>
      <c r="AB91" s="62"/>
      <c r="AC91" s="57"/>
      <c r="AD91" s="59"/>
      <c r="AE91" s="61" t="str">
        <f>IF(Table1[[#This Row],[Mouser]]="","", HYPERLINK(Table1[[#This Row],[Destination - Mouser]],_xlfn.CONCAT("Link (",Table1[[#This Row],[Mouser]],")")))</f>
        <v/>
      </c>
      <c r="AF91" s="62" t="str">
        <f>_xlfn.CONCAT("https://www.mouser.ch/ProductDetail/",Table1[[#This Row],[Mouser]])</f>
        <v>https://www.mouser.ch/ProductDetail/</v>
      </c>
      <c r="AG91" s="57"/>
      <c r="AH91" s="59"/>
      <c r="AI91" s="61" t="str">
        <f>IF(Table1[[#This Row],[Bauhaus]]="","", HYPERLINK(Table1[[#This Row],[Destination - Bauhaus]],_xlfn.CONCAT("Link (",Table1[[#This Row],[Bauhaus]],")")))</f>
        <v/>
      </c>
      <c r="AJ91" s="62" t="str">
        <f>_xlfn.CONCAT("https://www.bauhaus.ch/fr/search?query=",Table1[[#This Row],[Bauhaus]])</f>
        <v>https://www.bauhaus.ch/fr/search?query=</v>
      </c>
      <c r="AK91" s="59"/>
      <c r="AL91" s="59"/>
      <c r="AM91" s="61" t="str">
        <f>IF(Table1[[#This Row],[BricoEtLoisirs]]="","", HYPERLINK(Table1[[#This Row],[Destination - BricoEtLoisirs]],_xlfn.CONCAT("Link (",Table1[[#This Row],[BricoEtLoisirs]],")")))</f>
        <v/>
      </c>
      <c r="AN91" s="62" t="str">
        <f>_xlfn.CONCAT("https://bricoetloisirs.ch/p/",Table1[[#This Row],[BricoEtLoisirs]])</f>
        <v>https://bricoetloisirs.ch/p/</v>
      </c>
      <c r="AO91" s="57"/>
      <c r="AP91" s="59"/>
      <c r="AQ91" s="61" t="str">
        <f>IF(Table1[[#This Row],[Aliexpress]]="","", HYPERLINK(Table1[[#This Row],[Destination - Aliexpress]],_xlfn.CONCAT("Link (",Table1[[#This Row],[Aliexpress]],")")))</f>
        <v/>
      </c>
      <c r="AR91" s="62" t="str">
        <f>_xlfn.CONCAT("https://www.aliexpress.com/item/",Table1[[#This Row],[Aliexpress]],".html")</f>
        <v>https://www.aliexpress.com/item/.html</v>
      </c>
      <c r="AS91" s="57"/>
      <c r="AT91" s="59"/>
      <c r="AU91" s="61" t="str">
        <f>IF(Table1[[#This Row],[Banggood]]="","", HYPERLINK(Table1[[#This Row],[Destination - Banggood]],_xlfn.CONCAT("Link (",Table1[[#This Row],[Banggood]],")")))</f>
        <v/>
      </c>
      <c r="AV91" s="62" t="str">
        <f>_xlfn.CONCAT("https://www.banggood.com/search/",Table1[[#This Row],[Banggood]],".html")</f>
        <v>https://www.banggood.com/search/.html</v>
      </c>
      <c r="AW91" s="59" t="str">
        <f>IF(Table1[[#This Row],[Other]]&lt;&gt;"","Other","")</f>
        <v/>
      </c>
      <c r="AX91" s="57"/>
      <c r="AY91" s="59"/>
      <c r="AZ91" s="61" t="str">
        <f>IF(Table1[[#This Row],[Other]]="","",IF(Table1[[#This Row],[Destination - Other]]="","",HYPERLINK(Table1[[#This Row],[Destination - Other]],_xlfn.CONCAT("Link ("&amp;Table1[[#This Row],[Other]]&amp;")"))))</f>
        <v/>
      </c>
      <c r="BA91" s="59"/>
      <c r="BB91" s="58" t="str">
        <f>IF(AND( Table1[[#This Row],[Auto Order]]=1,Table1[[#This Row],[Obsolete]]=""),IF(Table1[[#This Row],[In stock]]&lt;Table1[[#This Row],[Min in stock]],1,""),"")</f>
        <v/>
      </c>
      <c r="BC91" s="64"/>
      <c r="BD91" s="66" t="str">
        <f>IF(Table1[[#This Row],[Obsolete]],Table1[[#This Row],[Art. Number]],"")</f>
        <v/>
      </c>
    </row>
    <row r="92" spans="1:56" x14ac:dyDescent="0.25">
      <c r="A92" s="65" t="s">
        <v>676</v>
      </c>
      <c r="B92" s="57" t="s">
        <v>348</v>
      </c>
      <c r="C92" s="57" t="s">
        <v>97</v>
      </c>
      <c r="D92" s="57" t="s">
        <v>677</v>
      </c>
      <c r="E92" s="57" t="s">
        <v>621</v>
      </c>
      <c r="F92" s="58">
        <v>0</v>
      </c>
      <c r="G92" s="58"/>
      <c r="H92" s="58"/>
      <c r="I9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A116164CT-ND</v>
      </c>
      <c r="J9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1.22</v>
      </c>
      <c r="K9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(A116164CT-ND)</v>
      </c>
      <c r="M92" s="57" t="s">
        <v>678</v>
      </c>
      <c r="N92" s="59">
        <v>1.22</v>
      </c>
      <c r="O92" s="61" t="str">
        <f>IF(Table1[[#This Row],[Digikey]]="","", HYPERLINK(Table1[[#This Row],[Destination - Digikey]],_xlfn.CONCAT("Link (",Table1[[#This Row],[Digikey]],")")))</f>
        <v>Link (A116164CT-ND)</v>
      </c>
      <c r="P92" s="62" t="str">
        <f>_xlfn.CONCAT("https://www.digikey.ch/products/en?keywords=",Table1[[#This Row],[Digikey]])</f>
        <v>https://www.digikey.ch/products/en?keywords=A116164CT-ND</v>
      </c>
      <c r="Q92" s="57"/>
      <c r="R92" s="59"/>
      <c r="S92" s="61" t="str">
        <f>IF(Table1[[#This Row],[Farnell]]="","", HYPERLINK(Table1[[#This Row],[Destination - Farnell]],_xlfn.CONCAT("Link (",Table1[[#This Row],[Farnell]],")")))</f>
        <v/>
      </c>
      <c r="T92" s="62" t="str">
        <f>_xlfn.CONCAT("https://ch.farnell.com/fr-CH/",Table1[[#This Row],[Farnell]])</f>
        <v>https://ch.farnell.com/fr-CH/</v>
      </c>
      <c r="U92" s="57"/>
      <c r="V92" s="59"/>
      <c r="W92" s="61" t="str">
        <f>IF(Table1[[#This Row],[Distrelec]]="","", HYPERLINK(Table1[[#This Row],[Destination - Distrelec]],_xlfn.CONCAT("Link (",Table1[[#This Row],[Distrelec]],")")))</f>
        <v/>
      </c>
      <c r="X92" s="62" t="str">
        <f>_xlfn.CONCAT("https://www.distrelec.ch/search?q=",Table1[[#This Row],[Distrelec]])</f>
        <v>https://www.distrelec.ch/search?q=</v>
      </c>
      <c r="Y92" s="57"/>
      <c r="Z92" s="59"/>
      <c r="AA92" s="61" t="str">
        <f>IF(Table1[[#This Row],[Conrad]]="","", HYPERLINK(Table1[[#This Row],[Destination - Conrad]],_xlfn.CONCAT("Link (",Table1[[#This Row],[Conrad]],")")))</f>
        <v/>
      </c>
      <c r="AB92" s="62"/>
      <c r="AC92" s="57"/>
      <c r="AD92" s="59"/>
      <c r="AE92" s="61" t="str">
        <f>IF(Table1[[#This Row],[Mouser]]="","", HYPERLINK(Table1[[#This Row],[Destination - Mouser]],_xlfn.CONCAT("Link (",Table1[[#This Row],[Mouser]],")")))</f>
        <v/>
      </c>
      <c r="AF92" s="62" t="str">
        <f>_xlfn.CONCAT("https://www.mouser.ch/ProductDetail/",Table1[[#This Row],[Mouser]])</f>
        <v>https://www.mouser.ch/ProductDetail/</v>
      </c>
      <c r="AG92" s="57"/>
      <c r="AH92" s="59"/>
      <c r="AI92" s="61" t="str">
        <f>IF(Table1[[#This Row],[Bauhaus]]="","", HYPERLINK(Table1[[#This Row],[Destination - Bauhaus]],_xlfn.CONCAT("Link (",Table1[[#This Row],[Bauhaus]],")")))</f>
        <v/>
      </c>
      <c r="AJ92" s="62" t="str">
        <f>_xlfn.CONCAT("https://www.bauhaus.ch/fr/search?query=",Table1[[#This Row],[Bauhaus]])</f>
        <v>https://www.bauhaus.ch/fr/search?query=</v>
      </c>
      <c r="AK92" s="59"/>
      <c r="AL92" s="59"/>
      <c r="AM92" s="61" t="str">
        <f>IF(Table1[[#This Row],[BricoEtLoisirs]]="","", HYPERLINK(Table1[[#This Row],[Destination - BricoEtLoisirs]],_xlfn.CONCAT("Link (",Table1[[#This Row],[BricoEtLoisirs]],")")))</f>
        <v/>
      </c>
      <c r="AN92" s="62" t="str">
        <f>_xlfn.CONCAT("https://bricoetloisirs.ch/p/",Table1[[#This Row],[BricoEtLoisirs]])</f>
        <v>https://bricoetloisirs.ch/p/</v>
      </c>
      <c r="AO92" s="57"/>
      <c r="AP92" s="59"/>
      <c r="AQ92" s="61" t="str">
        <f>IF(Table1[[#This Row],[Aliexpress]]="","", HYPERLINK(Table1[[#This Row],[Destination - Aliexpress]],_xlfn.CONCAT("Link (",Table1[[#This Row],[Aliexpress]],")")))</f>
        <v/>
      </c>
      <c r="AR92" s="62" t="str">
        <f>_xlfn.CONCAT("https://www.aliexpress.com/item/",Table1[[#This Row],[Aliexpress]],".html")</f>
        <v>https://www.aliexpress.com/item/.html</v>
      </c>
      <c r="AS92" s="57"/>
      <c r="AT92" s="59"/>
      <c r="AU92" s="61" t="str">
        <f>IF(Table1[[#This Row],[Banggood]]="","", HYPERLINK(Table1[[#This Row],[Destination - Banggood]],_xlfn.CONCAT("Link (",Table1[[#This Row],[Banggood]],")")))</f>
        <v/>
      </c>
      <c r="AV92" s="62" t="str">
        <f>_xlfn.CONCAT("https://www.banggood.com/search/",Table1[[#This Row],[Banggood]],".html")</f>
        <v>https://www.banggood.com/search/.html</v>
      </c>
      <c r="AW92" s="59" t="str">
        <f>IF(Table1[[#This Row],[Other]]&lt;&gt;"","Other","")</f>
        <v/>
      </c>
      <c r="AX92" s="57"/>
      <c r="AY92" s="59"/>
      <c r="AZ92" s="61" t="str">
        <f>IF(Table1[[#This Row],[Other]]="","",IF(Table1[[#This Row],[Destination - Other]]="","",HYPERLINK(Table1[[#This Row],[Destination - Other]],_xlfn.CONCAT("Link ("&amp;Table1[[#This Row],[Other]]&amp;")"))))</f>
        <v/>
      </c>
      <c r="BA92" s="59"/>
      <c r="BB92" s="58" t="str">
        <f>IF(AND( Table1[[#This Row],[Auto Order]]=1,Table1[[#This Row],[Obsolete]]=""),IF(Table1[[#This Row],[In stock]]&lt;Table1[[#This Row],[Min in stock]],1,""),"")</f>
        <v/>
      </c>
      <c r="BC92" s="64"/>
      <c r="BD92" s="66" t="str">
        <f>IF(Table1[[#This Row],[Obsolete]],Table1[[#This Row],[Art. Number]],"")</f>
        <v/>
      </c>
    </row>
    <row r="93" spans="1:56" x14ac:dyDescent="0.25">
      <c r="A93" s="65" t="s">
        <v>680</v>
      </c>
      <c r="B93" s="57" t="s">
        <v>348</v>
      </c>
      <c r="C93" s="57" t="s">
        <v>97</v>
      </c>
      <c r="D93" s="57" t="s">
        <v>681</v>
      </c>
      <c r="E93" s="57" t="s">
        <v>621</v>
      </c>
      <c r="F93" s="58">
        <v>0</v>
      </c>
      <c r="G93" s="58"/>
      <c r="H93" s="58"/>
      <c r="I9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A110884CT-ND</v>
      </c>
      <c r="J9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1.31</v>
      </c>
      <c r="K9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(A110884CT-ND)</v>
      </c>
      <c r="M93" s="57" t="s">
        <v>682</v>
      </c>
      <c r="N93" s="59">
        <v>1.31</v>
      </c>
      <c r="O93" s="61" t="str">
        <f>IF(Table1[[#This Row],[Digikey]]="","", HYPERLINK(Table1[[#This Row],[Destination - Digikey]],_xlfn.CONCAT("Link (",Table1[[#This Row],[Digikey]],")")))</f>
        <v>Link (A110884CT-ND)</v>
      </c>
      <c r="P93" s="62" t="str">
        <f>_xlfn.CONCAT("https://www.digikey.ch/products/en?keywords=",Table1[[#This Row],[Digikey]])</f>
        <v>https://www.digikey.ch/products/en?keywords=A110884CT-ND</v>
      </c>
      <c r="Q93" s="57"/>
      <c r="R93" s="59"/>
      <c r="S93" s="61" t="str">
        <f>IF(Table1[[#This Row],[Farnell]]="","", HYPERLINK(Table1[[#This Row],[Destination - Farnell]],_xlfn.CONCAT("Link (",Table1[[#This Row],[Farnell]],")")))</f>
        <v/>
      </c>
      <c r="T93" s="62" t="str">
        <f>_xlfn.CONCAT("https://ch.farnell.com/fr-CH/",Table1[[#This Row],[Farnell]])</f>
        <v>https://ch.farnell.com/fr-CH/</v>
      </c>
      <c r="U93" s="57"/>
      <c r="V93" s="59"/>
      <c r="W93" s="61" t="str">
        <f>IF(Table1[[#This Row],[Distrelec]]="","", HYPERLINK(Table1[[#This Row],[Destination - Distrelec]],_xlfn.CONCAT("Link (",Table1[[#This Row],[Distrelec]],")")))</f>
        <v/>
      </c>
      <c r="X93" s="62" t="str">
        <f>_xlfn.CONCAT("https://www.distrelec.ch/search?q=",Table1[[#This Row],[Distrelec]])</f>
        <v>https://www.distrelec.ch/search?q=</v>
      </c>
      <c r="Y93" s="57"/>
      <c r="Z93" s="59"/>
      <c r="AA93" s="61" t="str">
        <f>IF(Table1[[#This Row],[Conrad]]="","", HYPERLINK(Table1[[#This Row],[Destination - Conrad]],_xlfn.CONCAT("Link (",Table1[[#This Row],[Conrad]],")")))</f>
        <v/>
      </c>
      <c r="AB93" s="62"/>
      <c r="AC93" s="57"/>
      <c r="AD93" s="59"/>
      <c r="AE93" s="61" t="str">
        <f>IF(Table1[[#This Row],[Mouser]]="","", HYPERLINK(Table1[[#This Row],[Destination - Mouser]],_xlfn.CONCAT("Link (",Table1[[#This Row],[Mouser]],")")))</f>
        <v/>
      </c>
      <c r="AF93" s="62" t="str">
        <f>_xlfn.CONCAT("https://www.mouser.ch/ProductDetail/",Table1[[#This Row],[Mouser]])</f>
        <v>https://www.mouser.ch/ProductDetail/</v>
      </c>
      <c r="AG93" s="57"/>
      <c r="AH93" s="59"/>
      <c r="AI93" s="61" t="str">
        <f>IF(Table1[[#This Row],[Bauhaus]]="","", HYPERLINK(Table1[[#This Row],[Destination - Bauhaus]],_xlfn.CONCAT("Link (",Table1[[#This Row],[Bauhaus]],")")))</f>
        <v/>
      </c>
      <c r="AJ93" s="62" t="str">
        <f>_xlfn.CONCAT("https://www.bauhaus.ch/fr/search?query=",Table1[[#This Row],[Bauhaus]])</f>
        <v>https://www.bauhaus.ch/fr/search?query=</v>
      </c>
      <c r="AK93" s="59"/>
      <c r="AL93" s="59"/>
      <c r="AM93" s="61" t="str">
        <f>IF(Table1[[#This Row],[BricoEtLoisirs]]="","", HYPERLINK(Table1[[#This Row],[Destination - BricoEtLoisirs]],_xlfn.CONCAT("Link (",Table1[[#This Row],[BricoEtLoisirs]],")")))</f>
        <v/>
      </c>
      <c r="AN93" s="62" t="str">
        <f>_xlfn.CONCAT("https://bricoetloisirs.ch/p/",Table1[[#This Row],[BricoEtLoisirs]])</f>
        <v>https://bricoetloisirs.ch/p/</v>
      </c>
      <c r="AO93" s="57"/>
      <c r="AP93" s="59"/>
      <c r="AQ93" s="61" t="str">
        <f>IF(Table1[[#This Row],[Aliexpress]]="","", HYPERLINK(Table1[[#This Row],[Destination - Aliexpress]],_xlfn.CONCAT("Link (",Table1[[#This Row],[Aliexpress]],")")))</f>
        <v/>
      </c>
      <c r="AR93" s="62" t="str">
        <f>_xlfn.CONCAT("https://www.aliexpress.com/item/",Table1[[#This Row],[Aliexpress]],".html")</f>
        <v>https://www.aliexpress.com/item/.html</v>
      </c>
      <c r="AS93" s="57"/>
      <c r="AT93" s="59"/>
      <c r="AU93" s="61" t="str">
        <f>IF(Table1[[#This Row],[Banggood]]="","", HYPERLINK(Table1[[#This Row],[Destination - Banggood]],_xlfn.CONCAT("Link (",Table1[[#This Row],[Banggood]],")")))</f>
        <v/>
      </c>
      <c r="AV93" s="62" t="str">
        <f>_xlfn.CONCAT("https://www.banggood.com/search/",Table1[[#This Row],[Banggood]],".html")</f>
        <v>https://www.banggood.com/search/.html</v>
      </c>
      <c r="AW93" s="59" t="str">
        <f>IF(Table1[[#This Row],[Other]]&lt;&gt;"","Other","")</f>
        <v/>
      </c>
      <c r="AX93" s="57"/>
      <c r="AY93" s="59"/>
      <c r="AZ93" s="61" t="str">
        <f>IF(Table1[[#This Row],[Other]]="","",IF(Table1[[#This Row],[Destination - Other]]="","",HYPERLINK(Table1[[#This Row],[Destination - Other]],_xlfn.CONCAT("Link ("&amp;Table1[[#This Row],[Other]]&amp;")"))))</f>
        <v/>
      </c>
      <c r="BA93" s="59"/>
      <c r="BB93" s="58" t="str">
        <f>IF(AND( Table1[[#This Row],[Auto Order]]=1,Table1[[#This Row],[Obsolete]]=""),IF(Table1[[#This Row],[In stock]]&lt;Table1[[#This Row],[Min in stock]],1,""),"")</f>
        <v/>
      </c>
      <c r="BC93" s="64"/>
      <c r="BD93" s="66" t="str">
        <f>IF(Table1[[#This Row],[Obsolete]],Table1[[#This Row],[Art. Number]],"")</f>
        <v/>
      </c>
    </row>
    <row r="94" spans="1:56" x14ac:dyDescent="0.25">
      <c r="A94" s="65" t="s">
        <v>684</v>
      </c>
      <c r="B94" s="57" t="s">
        <v>348</v>
      </c>
      <c r="C94" s="57" t="s">
        <v>97</v>
      </c>
      <c r="D94" s="57" t="s">
        <v>685</v>
      </c>
      <c r="E94" s="57" t="s">
        <v>621</v>
      </c>
      <c r="F94" s="58">
        <v>0</v>
      </c>
      <c r="G94" s="58"/>
      <c r="H94" s="58"/>
      <c r="I9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A111126CT-ND</v>
      </c>
      <c r="J9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1.32</v>
      </c>
      <c r="K9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(A111126CT-ND)</v>
      </c>
      <c r="M94" s="57" t="s">
        <v>686</v>
      </c>
      <c r="N94" s="59">
        <v>1.32</v>
      </c>
      <c r="O94" s="61" t="str">
        <f>IF(Table1[[#This Row],[Digikey]]="","", HYPERLINK(Table1[[#This Row],[Destination - Digikey]],_xlfn.CONCAT("Link (",Table1[[#This Row],[Digikey]],")")))</f>
        <v>Link (A111126CT-ND)</v>
      </c>
      <c r="P94" s="62" t="str">
        <f>_xlfn.CONCAT("https://www.digikey.ch/products/en?keywords=",Table1[[#This Row],[Digikey]])</f>
        <v>https://www.digikey.ch/products/en?keywords=A111126CT-ND</v>
      </c>
      <c r="Q94" s="57"/>
      <c r="R94" s="59"/>
      <c r="S94" s="61" t="str">
        <f>IF(Table1[[#This Row],[Farnell]]="","", HYPERLINK(Table1[[#This Row],[Destination - Farnell]],_xlfn.CONCAT("Link (",Table1[[#This Row],[Farnell]],")")))</f>
        <v/>
      </c>
      <c r="T94" s="62" t="str">
        <f>_xlfn.CONCAT("https://ch.farnell.com/fr-CH/",Table1[[#This Row],[Farnell]])</f>
        <v>https://ch.farnell.com/fr-CH/</v>
      </c>
      <c r="U94" s="57"/>
      <c r="V94" s="59"/>
      <c r="W94" s="61" t="str">
        <f>IF(Table1[[#This Row],[Distrelec]]="","", HYPERLINK(Table1[[#This Row],[Destination - Distrelec]],_xlfn.CONCAT("Link (",Table1[[#This Row],[Distrelec]],")")))</f>
        <v/>
      </c>
      <c r="X94" s="62" t="str">
        <f>_xlfn.CONCAT("https://www.distrelec.ch/search?q=",Table1[[#This Row],[Distrelec]])</f>
        <v>https://www.distrelec.ch/search?q=</v>
      </c>
      <c r="Y94" s="57"/>
      <c r="Z94" s="59"/>
      <c r="AA94" s="61" t="str">
        <f>IF(Table1[[#This Row],[Conrad]]="","", HYPERLINK(Table1[[#This Row],[Destination - Conrad]],_xlfn.CONCAT("Link (",Table1[[#This Row],[Conrad]],")")))</f>
        <v/>
      </c>
      <c r="AB94" s="62"/>
      <c r="AC94" s="57"/>
      <c r="AD94" s="59"/>
      <c r="AE94" s="61" t="str">
        <f>IF(Table1[[#This Row],[Mouser]]="","", HYPERLINK(Table1[[#This Row],[Destination - Mouser]],_xlfn.CONCAT("Link (",Table1[[#This Row],[Mouser]],")")))</f>
        <v/>
      </c>
      <c r="AF94" s="62" t="str">
        <f>_xlfn.CONCAT("https://www.mouser.ch/ProductDetail/",Table1[[#This Row],[Mouser]])</f>
        <v>https://www.mouser.ch/ProductDetail/</v>
      </c>
      <c r="AG94" s="57"/>
      <c r="AH94" s="59"/>
      <c r="AI94" s="61" t="str">
        <f>IF(Table1[[#This Row],[Bauhaus]]="","", HYPERLINK(Table1[[#This Row],[Destination - Bauhaus]],_xlfn.CONCAT("Link (",Table1[[#This Row],[Bauhaus]],")")))</f>
        <v/>
      </c>
      <c r="AJ94" s="62" t="str">
        <f>_xlfn.CONCAT("https://www.bauhaus.ch/fr/search?query=",Table1[[#This Row],[Bauhaus]])</f>
        <v>https://www.bauhaus.ch/fr/search?query=</v>
      </c>
      <c r="AK94" s="59"/>
      <c r="AL94" s="59"/>
      <c r="AM94" s="61" t="str">
        <f>IF(Table1[[#This Row],[BricoEtLoisirs]]="","", HYPERLINK(Table1[[#This Row],[Destination - BricoEtLoisirs]],_xlfn.CONCAT("Link (",Table1[[#This Row],[BricoEtLoisirs]],")")))</f>
        <v/>
      </c>
      <c r="AN94" s="62" t="str">
        <f>_xlfn.CONCAT("https://bricoetloisirs.ch/p/",Table1[[#This Row],[BricoEtLoisirs]])</f>
        <v>https://bricoetloisirs.ch/p/</v>
      </c>
      <c r="AO94" s="57"/>
      <c r="AP94" s="59"/>
      <c r="AQ94" s="61" t="str">
        <f>IF(Table1[[#This Row],[Aliexpress]]="","", HYPERLINK(Table1[[#This Row],[Destination - Aliexpress]],_xlfn.CONCAT("Link (",Table1[[#This Row],[Aliexpress]],")")))</f>
        <v/>
      </c>
      <c r="AR94" s="62" t="str">
        <f>_xlfn.CONCAT("https://www.aliexpress.com/item/",Table1[[#This Row],[Aliexpress]],".html")</f>
        <v>https://www.aliexpress.com/item/.html</v>
      </c>
      <c r="AS94" s="57"/>
      <c r="AT94" s="59"/>
      <c r="AU94" s="61" t="str">
        <f>IF(Table1[[#This Row],[Banggood]]="","", HYPERLINK(Table1[[#This Row],[Destination - Banggood]],_xlfn.CONCAT("Link (",Table1[[#This Row],[Banggood]],")")))</f>
        <v/>
      </c>
      <c r="AV94" s="62" t="str">
        <f>_xlfn.CONCAT("https://www.banggood.com/search/",Table1[[#This Row],[Banggood]],".html")</f>
        <v>https://www.banggood.com/search/.html</v>
      </c>
      <c r="AW94" s="59" t="str">
        <f>IF(Table1[[#This Row],[Other]]&lt;&gt;"","Other","")</f>
        <v/>
      </c>
      <c r="AX94" s="57"/>
      <c r="AY94" s="59"/>
      <c r="AZ94" s="61" t="str">
        <f>IF(Table1[[#This Row],[Other]]="","",IF(Table1[[#This Row],[Destination - Other]]="","",HYPERLINK(Table1[[#This Row],[Destination - Other]],_xlfn.CONCAT("Link ("&amp;Table1[[#This Row],[Other]]&amp;")"))))</f>
        <v/>
      </c>
      <c r="BA94" s="59"/>
      <c r="BB94" s="58" t="str">
        <f>IF(AND( Table1[[#This Row],[Auto Order]]=1,Table1[[#This Row],[Obsolete]]=""),IF(Table1[[#This Row],[In stock]]&lt;Table1[[#This Row],[Min in stock]],1,""),"")</f>
        <v/>
      </c>
      <c r="BC94" s="64"/>
      <c r="BD94" s="66" t="str">
        <f>IF(Table1[[#This Row],[Obsolete]],Table1[[#This Row],[Art. Number]],"")</f>
        <v/>
      </c>
    </row>
    <row r="95" spans="1:56" x14ac:dyDescent="0.25">
      <c r="A95" s="65" t="s">
        <v>688</v>
      </c>
      <c r="B95" s="57" t="s">
        <v>689</v>
      </c>
      <c r="C95" s="57" t="s">
        <v>97</v>
      </c>
      <c r="D95" s="57" t="s">
        <v>690</v>
      </c>
      <c r="E95" s="57" t="s">
        <v>691</v>
      </c>
      <c r="F95" s="58">
        <v>1</v>
      </c>
      <c r="G95" s="58"/>
      <c r="H95" s="58"/>
      <c r="I9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Q412-ND</v>
      </c>
      <c r="J9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6.07</v>
      </c>
      <c r="K9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(Q412-ND)</v>
      </c>
      <c r="M95" s="57" t="s">
        <v>692</v>
      </c>
      <c r="N95" s="59">
        <v>6.07</v>
      </c>
      <c r="O95" s="61" t="str">
        <f>IF(Table1[[#This Row],[Digikey]]="","", HYPERLINK(Table1[[#This Row],[Destination - Digikey]],_xlfn.CONCAT("Link (",Table1[[#This Row],[Digikey]],")")))</f>
        <v>Link (Q412-ND)</v>
      </c>
      <c r="P95" s="62" t="str">
        <f>_xlfn.CONCAT("https://www.digikey.ch/products/en?keywords=",Table1[[#This Row],[Digikey]])</f>
        <v>https://www.digikey.ch/products/en?keywords=Q412-ND</v>
      </c>
      <c r="Q95" s="57"/>
      <c r="R95" s="59"/>
      <c r="S95" s="61" t="str">
        <f>IF(Table1[[#This Row],[Farnell]]="","", HYPERLINK(Table1[[#This Row],[Destination - Farnell]],_xlfn.CONCAT("Link (",Table1[[#This Row],[Farnell]],")")))</f>
        <v/>
      </c>
      <c r="T95" s="62" t="str">
        <f>_xlfn.CONCAT("https://ch.farnell.com/fr-CH/",Table1[[#This Row],[Farnell]])</f>
        <v>https://ch.farnell.com/fr-CH/</v>
      </c>
      <c r="U95" s="57"/>
      <c r="V95" s="59"/>
      <c r="W95" s="61" t="str">
        <f>IF(Table1[[#This Row],[Distrelec]]="","", HYPERLINK(Table1[[#This Row],[Destination - Distrelec]],_xlfn.CONCAT("Link (",Table1[[#This Row],[Distrelec]],")")))</f>
        <v/>
      </c>
      <c r="X95" s="62" t="str">
        <f>_xlfn.CONCAT("https://www.distrelec.ch/search?q=",Table1[[#This Row],[Distrelec]])</f>
        <v>https://www.distrelec.ch/search?q=</v>
      </c>
      <c r="Y95" s="57"/>
      <c r="Z95" s="59"/>
      <c r="AA95" s="61" t="str">
        <f>IF(Table1[[#This Row],[Conrad]]="","", HYPERLINK(Table1[[#This Row],[Destination - Conrad]],_xlfn.CONCAT("Link (",Table1[[#This Row],[Conrad]],")")))</f>
        <v/>
      </c>
      <c r="AB95" s="62"/>
      <c r="AC95" s="57"/>
      <c r="AD95" s="59"/>
      <c r="AE95" s="61" t="str">
        <f>IF(Table1[[#This Row],[Mouser]]="","", HYPERLINK(Table1[[#This Row],[Destination - Mouser]],_xlfn.CONCAT("Link (",Table1[[#This Row],[Mouser]],")")))</f>
        <v/>
      </c>
      <c r="AF95" s="62" t="str">
        <f>_xlfn.CONCAT("https://www.mouser.ch/ProductDetail/",Table1[[#This Row],[Mouser]])</f>
        <v>https://www.mouser.ch/ProductDetail/</v>
      </c>
      <c r="AG95" s="57"/>
      <c r="AH95" s="59"/>
      <c r="AI95" s="61" t="str">
        <f>IF(Table1[[#This Row],[Bauhaus]]="","", HYPERLINK(Table1[[#This Row],[Destination - Bauhaus]],_xlfn.CONCAT("Link (",Table1[[#This Row],[Bauhaus]],")")))</f>
        <v/>
      </c>
      <c r="AJ95" s="62" t="str">
        <f>_xlfn.CONCAT("https://www.bauhaus.ch/fr/search?query=",Table1[[#This Row],[Bauhaus]])</f>
        <v>https://www.bauhaus.ch/fr/search?query=</v>
      </c>
      <c r="AK95" s="59"/>
      <c r="AL95" s="59"/>
      <c r="AM95" s="61" t="str">
        <f>IF(Table1[[#This Row],[BricoEtLoisirs]]="","", HYPERLINK(Table1[[#This Row],[Destination - BricoEtLoisirs]],_xlfn.CONCAT("Link (",Table1[[#This Row],[BricoEtLoisirs]],")")))</f>
        <v/>
      </c>
      <c r="AN95" s="62" t="str">
        <f>_xlfn.CONCAT("https://bricoetloisirs.ch/p/",Table1[[#This Row],[BricoEtLoisirs]])</f>
        <v>https://bricoetloisirs.ch/p/</v>
      </c>
      <c r="AO95" s="57"/>
      <c r="AP95" s="59"/>
      <c r="AQ95" s="61" t="str">
        <f>IF(Table1[[#This Row],[Aliexpress]]="","", HYPERLINK(Table1[[#This Row],[Destination - Aliexpress]],_xlfn.CONCAT("Link (",Table1[[#This Row],[Aliexpress]],")")))</f>
        <v/>
      </c>
      <c r="AR95" s="62" t="str">
        <f>_xlfn.CONCAT("https://www.aliexpress.com/item/",Table1[[#This Row],[Aliexpress]],".html")</f>
        <v>https://www.aliexpress.com/item/.html</v>
      </c>
      <c r="AS95" s="57"/>
      <c r="AT95" s="59"/>
      <c r="AU95" s="61" t="str">
        <f>IF(Table1[[#This Row],[Banggood]]="","", HYPERLINK(Table1[[#This Row],[Destination - Banggood]],_xlfn.CONCAT("Link (",Table1[[#This Row],[Banggood]],")")))</f>
        <v/>
      </c>
      <c r="AV95" s="62" t="str">
        <f>_xlfn.CONCAT("https://www.banggood.com/search/",Table1[[#This Row],[Banggood]],".html")</f>
        <v>https://www.banggood.com/search/.html</v>
      </c>
      <c r="AW95" s="59" t="str">
        <f>IF(Table1[[#This Row],[Other]]&lt;&gt;"","Other","")</f>
        <v/>
      </c>
      <c r="AX95" s="57"/>
      <c r="AY95" s="59"/>
      <c r="AZ95" s="61" t="str">
        <f>IF(Table1[[#This Row],[Other]]="","",IF(Table1[[#This Row],[Destination - Other]]="","",HYPERLINK(Table1[[#This Row],[Destination - Other]],_xlfn.CONCAT("Link ("&amp;Table1[[#This Row],[Other]]&amp;")"))))</f>
        <v/>
      </c>
      <c r="BA95" s="59"/>
      <c r="BB95" s="58" t="str">
        <f>IF(AND( Table1[[#This Row],[Auto Order]]=1,Table1[[#This Row],[Obsolete]]=""),IF(Table1[[#This Row],[In stock]]&lt;Table1[[#This Row],[Min in stock]],1,""),"")</f>
        <v/>
      </c>
      <c r="BC95" s="64"/>
      <c r="BD95" s="66" t="str">
        <f>IF(Table1[[#This Row],[Obsolete]],Table1[[#This Row],[Art. Number]],"")</f>
        <v/>
      </c>
    </row>
    <row r="96" spans="1:56" x14ac:dyDescent="0.25">
      <c r="A96" s="65" t="s">
        <v>694</v>
      </c>
      <c r="B96" s="57" t="s">
        <v>695</v>
      </c>
      <c r="C96" s="57" t="s">
        <v>97</v>
      </c>
      <c r="D96" s="57" t="s">
        <v>696</v>
      </c>
      <c r="E96" s="57" t="s">
        <v>697</v>
      </c>
      <c r="F96" s="58">
        <v>100</v>
      </c>
      <c r="G96" s="58">
        <v>10</v>
      </c>
      <c r="H96" s="58">
        <v>1</v>
      </c>
      <c r="I9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9843680</v>
      </c>
      <c r="J9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5.8999999999999997E-2</v>
      </c>
      <c r="K9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9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(9843680)</v>
      </c>
      <c r="M96" s="57"/>
      <c r="N96" s="59"/>
      <c r="O96" s="61" t="str">
        <f>IF(Table1[[#This Row],[Digikey]]="","", HYPERLINK(Table1[[#This Row],[Destination - Digikey]],_xlfn.CONCAT("Link (",Table1[[#This Row],[Digikey]],")")))</f>
        <v/>
      </c>
      <c r="P96" s="62" t="str">
        <f>_xlfn.CONCAT("https://www.digikey.ch/products/en?keywords=",Table1[[#This Row],[Digikey]])</f>
        <v>https://www.digikey.ch/products/en?keywords=</v>
      </c>
      <c r="Q96" s="57" t="s">
        <v>2394</v>
      </c>
      <c r="R96" s="59">
        <v>5.8999999999999997E-2</v>
      </c>
      <c r="S96" s="61" t="str">
        <f>IF(Table1[[#This Row],[Farnell]]="","", HYPERLINK(Table1[[#This Row],[Destination - Farnell]],_xlfn.CONCAT("Link (",Table1[[#This Row],[Farnell]],")")))</f>
        <v>Link (9843680)</v>
      </c>
      <c r="T96" s="62" t="str">
        <f>_xlfn.CONCAT("https://ch.farnell.com/fr-CH/",Table1[[#This Row],[Farnell]])</f>
        <v>https://ch.farnell.com/fr-CH/9843680</v>
      </c>
      <c r="U96" s="57"/>
      <c r="V96" s="59"/>
      <c r="W96" s="61" t="str">
        <f>IF(Table1[[#This Row],[Distrelec]]="","", HYPERLINK(Table1[[#This Row],[Destination - Distrelec]],_xlfn.CONCAT("Link (",Table1[[#This Row],[Distrelec]],")")))</f>
        <v/>
      </c>
      <c r="X96" s="62" t="str">
        <f>_xlfn.CONCAT("https://www.distrelec.ch/search?q=",Table1[[#This Row],[Distrelec]])</f>
        <v>https://www.distrelec.ch/search?q=</v>
      </c>
      <c r="Y96" s="57"/>
      <c r="Z96" s="59"/>
      <c r="AA96" s="61" t="str">
        <f>IF(Table1[[#This Row],[Conrad]]="","", HYPERLINK(Table1[[#This Row],[Destination - Conrad]],_xlfn.CONCAT("Link (",Table1[[#This Row],[Conrad]],")")))</f>
        <v/>
      </c>
      <c r="AB96" s="62"/>
      <c r="AC96" s="57"/>
      <c r="AD96" s="59"/>
      <c r="AE96" s="61" t="str">
        <f>IF(Table1[[#This Row],[Mouser]]="","", HYPERLINK(Table1[[#This Row],[Destination - Mouser]],_xlfn.CONCAT("Link (",Table1[[#This Row],[Mouser]],")")))</f>
        <v/>
      </c>
      <c r="AF96" s="62" t="str">
        <f>_xlfn.CONCAT("https://www.mouser.ch/ProductDetail/",Table1[[#This Row],[Mouser]])</f>
        <v>https://www.mouser.ch/ProductDetail/</v>
      </c>
      <c r="AG96" s="57"/>
      <c r="AH96" s="59"/>
      <c r="AI96" s="61" t="str">
        <f>IF(Table1[[#This Row],[Bauhaus]]="","", HYPERLINK(Table1[[#This Row],[Destination - Bauhaus]],_xlfn.CONCAT("Link (",Table1[[#This Row],[Bauhaus]],")")))</f>
        <v/>
      </c>
      <c r="AJ96" s="62" t="str">
        <f>_xlfn.CONCAT("https://www.bauhaus.ch/fr/search?query=",Table1[[#This Row],[Bauhaus]])</f>
        <v>https://www.bauhaus.ch/fr/search?query=</v>
      </c>
      <c r="AK96" s="59"/>
      <c r="AL96" s="59"/>
      <c r="AM96" s="61" t="str">
        <f>IF(Table1[[#This Row],[BricoEtLoisirs]]="","", HYPERLINK(Table1[[#This Row],[Destination - BricoEtLoisirs]],_xlfn.CONCAT("Link (",Table1[[#This Row],[BricoEtLoisirs]],")")))</f>
        <v/>
      </c>
      <c r="AN96" s="62" t="str">
        <f>_xlfn.CONCAT("https://bricoetloisirs.ch/p/",Table1[[#This Row],[BricoEtLoisirs]])</f>
        <v>https://bricoetloisirs.ch/p/</v>
      </c>
      <c r="AO96" s="57"/>
      <c r="AP96" s="59"/>
      <c r="AQ96" s="61" t="str">
        <f>IF(Table1[[#This Row],[Aliexpress]]="","", HYPERLINK(Table1[[#This Row],[Destination - Aliexpress]],_xlfn.CONCAT("Link (",Table1[[#This Row],[Aliexpress]],")")))</f>
        <v/>
      </c>
      <c r="AR96" s="62" t="str">
        <f>_xlfn.CONCAT("https://www.aliexpress.com/item/",Table1[[#This Row],[Aliexpress]],".html")</f>
        <v>https://www.aliexpress.com/item/.html</v>
      </c>
      <c r="AS96" s="57"/>
      <c r="AT96" s="59"/>
      <c r="AU96" s="61" t="str">
        <f>IF(Table1[[#This Row],[Banggood]]="","", HYPERLINK(Table1[[#This Row],[Destination - Banggood]],_xlfn.CONCAT("Link (",Table1[[#This Row],[Banggood]],")")))</f>
        <v/>
      </c>
      <c r="AV96" s="62" t="str">
        <f>_xlfn.CONCAT("https://www.banggood.com/search/",Table1[[#This Row],[Banggood]],".html")</f>
        <v>https://www.banggood.com/search/.html</v>
      </c>
      <c r="AW96" s="59" t="str">
        <f>IF(Table1[[#This Row],[Other]]&lt;&gt;"","Other","")</f>
        <v/>
      </c>
      <c r="AX96" s="57"/>
      <c r="AY96" s="59"/>
      <c r="AZ96" s="61" t="str">
        <f>IF(Table1[[#This Row],[Other]]="","",IF(Table1[[#This Row],[Destination - Other]]="","",HYPERLINK(Table1[[#This Row],[Destination - Other]],_xlfn.CONCAT("Link ("&amp;Table1[[#This Row],[Other]]&amp;")"))))</f>
        <v/>
      </c>
      <c r="BA96" s="59"/>
      <c r="BB96" s="58" t="str">
        <f>IF(AND( Table1[[#This Row],[Auto Order]]=1,Table1[[#This Row],[Obsolete]]=""),IF(Table1[[#This Row],[In stock]]&lt;Table1[[#This Row],[Min in stock]],1,""),"")</f>
        <v/>
      </c>
      <c r="BC96" s="64"/>
      <c r="BD96" s="66" t="str">
        <f>IF(Table1[[#This Row],[Obsolete]],Table1[[#This Row],[Art. Number]],"")</f>
        <v/>
      </c>
    </row>
    <row r="97" spans="1:56" x14ac:dyDescent="0.25">
      <c r="A97" s="65" t="s">
        <v>699</v>
      </c>
      <c r="B97" s="57" t="s">
        <v>700</v>
      </c>
      <c r="C97" s="57" t="s">
        <v>97</v>
      </c>
      <c r="D97" s="57" t="s">
        <v>701</v>
      </c>
      <c r="E97" s="57" t="s">
        <v>697</v>
      </c>
      <c r="F97" s="58">
        <v>0</v>
      </c>
      <c r="G97" s="58"/>
      <c r="H97" s="58"/>
      <c r="I9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1727-7767-1-ND</v>
      </c>
      <c r="J9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0.17</v>
      </c>
      <c r="K9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9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(1727-7767-1-ND)</v>
      </c>
      <c r="M97" s="57" t="s">
        <v>702</v>
      </c>
      <c r="N97" s="59">
        <v>0.17</v>
      </c>
      <c r="O97" s="61" t="str">
        <f>IF(Table1[[#This Row],[Digikey]]="","", HYPERLINK(Table1[[#This Row],[Destination - Digikey]],_xlfn.CONCAT("Link (",Table1[[#This Row],[Digikey]],")")))</f>
        <v>Link (1727-7767-1-ND)</v>
      </c>
      <c r="P97" s="62" t="str">
        <f>_xlfn.CONCAT("https://www.digikey.ch/products/en?keywords=",Table1[[#This Row],[Digikey]])</f>
        <v>https://www.digikey.ch/products/en?keywords=1727-7767-1-ND</v>
      </c>
      <c r="Q97" s="57"/>
      <c r="R97" s="59"/>
      <c r="S97" s="61" t="str">
        <f>IF(Table1[[#This Row],[Farnell]]="","", HYPERLINK(Table1[[#This Row],[Destination - Farnell]],_xlfn.CONCAT("Link (",Table1[[#This Row],[Farnell]],")")))</f>
        <v/>
      </c>
      <c r="T97" s="62" t="str">
        <f>_xlfn.CONCAT("https://ch.farnell.com/fr-CH/",Table1[[#This Row],[Farnell]])</f>
        <v>https://ch.farnell.com/fr-CH/</v>
      </c>
      <c r="U97" s="57"/>
      <c r="V97" s="59"/>
      <c r="W97" s="61" t="str">
        <f>IF(Table1[[#This Row],[Distrelec]]="","", HYPERLINK(Table1[[#This Row],[Destination - Distrelec]],_xlfn.CONCAT("Link (",Table1[[#This Row],[Distrelec]],")")))</f>
        <v/>
      </c>
      <c r="X97" s="62" t="str">
        <f>_xlfn.CONCAT("https://www.distrelec.ch/search?q=",Table1[[#This Row],[Distrelec]])</f>
        <v>https://www.distrelec.ch/search?q=</v>
      </c>
      <c r="Y97" s="57"/>
      <c r="Z97" s="59"/>
      <c r="AA97" s="61" t="str">
        <f>IF(Table1[[#This Row],[Conrad]]="","", HYPERLINK(Table1[[#This Row],[Destination - Conrad]],_xlfn.CONCAT("Link (",Table1[[#This Row],[Conrad]],")")))</f>
        <v/>
      </c>
      <c r="AB97" s="62"/>
      <c r="AC97" s="57"/>
      <c r="AD97" s="59"/>
      <c r="AE97" s="61" t="str">
        <f>IF(Table1[[#This Row],[Mouser]]="","", HYPERLINK(Table1[[#This Row],[Destination - Mouser]],_xlfn.CONCAT("Link (",Table1[[#This Row],[Mouser]],")")))</f>
        <v/>
      </c>
      <c r="AF97" s="62" t="str">
        <f>_xlfn.CONCAT("https://www.mouser.ch/ProductDetail/",Table1[[#This Row],[Mouser]])</f>
        <v>https://www.mouser.ch/ProductDetail/</v>
      </c>
      <c r="AG97" s="57"/>
      <c r="AH97" s="59"/>
      <c r="AI97" s="61" t="str">
        <f>IF(Table1[[#This Row],[Bauhaus]]="","", HYPERLINK(Table1[[#This Row],[Destination - Bauhaus]],_xlfn.CONCAT("Link (",Table1[[#This Row],[Bauhaus]],")")))</f>
        <v/>
      </c>
      <c r="AJ97" s="62" t="str">
        <f>_xlfn.CONCAT("https://www.bauhaus.ch/fr/search?query=",Table1[[#This Row],[Bauhaus]])</f>
        <v>https://www.bauhaus.ch/fr/search?query=</v>
      </c>
      <c r="AK97" s="59"/>
      <c r="AL97" s="59"/>
      <c r="AM97" s="61" t="str">
        <f>IF(Table1[[#This Row],[BricoEtLoisirs]]="","", HYPERLINK(Table1[[#This Row],[Destination - BricoEtLoisirs]],_xlfn.CONCAT("Link (",Table1[[#This Row],[BricoEtLoisirs]],")")))</f>
        <v/>
      </c>
      <c r="AN97" s="62" t="str">
        <f>_xlfn.CONCAT("https://bricoetloisirs.ch/p/",Table1[[#This Row],[BricoEtLoisirs]])</f>
        <v>https://bricoetloisirs.ch/p/</v>
      </c>
      <c r="AO97" s="57"/>
      <c r="AP97" s="59"/>
      <c r="AQ97" s="61" t="str">
        <f>IF(Table1[[#This Row],[Aliexpress]]="","", HYPERLINK(Table1[[#This Row],[Destination - Aliexpress]],_xlfn.CONCAT("Link (",Table1[[#This Row],[Aliexpress]],")")))</f>
        <v/>
      </c>
      <c r="AR97" s="62" t="str">
        <f>_xlfn.CONCAT("https://www.aliexpress.com/item/",Table1[[#This Row],[Aliexpress]],".html")</f>
        <v>https://www.aliexpress.com/item/.html</v>
      </c>
      <c r="AS97" s="57"/>
      <c r="AT97" s="59"/>
      <c r="AU97" s="61" t="str">
        <f>IF(Table1[[#This Row],[Banggood]]="","", HYPERLINK(Table1[[#This Row],[Destination - Banggood]],_xlfn.CONCAT("Link (",Table1[[#This Row],[Banggood]],")")))</f>
        <v/>
      </c>
      <c r="AV97" s="62" t="str">
        <f>_xlfn.CONCAT("https://www.banggood.com/search/",Table1[[#This Row],[Banggood]],".html")</f>
        <v>https://www.banggood.com/search/.html</v>
      </c>
      <c r="AW97" s="59" t="str">
        <f>IF(Table1[[#This Row],[Other]]&lt;&gt;"","Other","")</f>
        <v/>
      </c>
      <c r="AX97" s="57"/>
      <c r="AY97" s="59"/>
      <c r="AZ97" s="61" t="str">
        <f>IF(Table1[[#This Row],[Other]]="","",IF(Table1[[#This Row],[Destination - Other]]="","",HYPERLINK(Table1[[#This Row],[Destination - Other]],_xlfn.CONCAT("Link ("&amp;Table1[[#This Row],[Other]]&amp;")"))))</f>
        <v/>
      </c>
      <c r="BA97" s="59"/>
      <c r="BB97" s="58" t="str">
        <f>IF(AND( Table1[[#This Row],[Auto Order]]=1,Table1[[#This Row],[Obsolete]]=""),IF(Table1[[#This Row],[In stock]]&lt;Table1[[#This Row],[Min in stock]],1,""),"")</f>
        <v/>
      </c>
      <c r="BC97" s="64"/>
      <c r="BD97" s="66" t="str">
        <f>IF(Table1[[#This Row],[Obsolete]],Table1[[#This Row],[Art. Number]],"")</f>
        <v/>
      </c>
    </row>
    <row r="98" spans="1:56" x14ac:dyDescent="0.25">
      <c r="A98" s="65" t="s">
        <v>36</v>
      </c>
      <c r="B98" s="57" t="s">
        <v>704</v>
      </c>
      <c r="C98" s="57" t="s">
        <v>705</v>
      </c>
      <c r="D98" s="57" t="s">
        <v>706</v>
      </c>
      <c r="E98" s="57" t="s">
        <v>707</v>
      </c>
      <c r="F98" s="58">
        <v>10</v>
      </c>
      <c r="G98" s="58"/>
      <c r="H98" s="58"/>
      <c r="I9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2769437</v>
      </c>
      <c r="J9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0.54600000000000004</v>
      </c>
      <c r="K9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9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(2769437)</v>
      </c>
      <c r="M98" s="57"/>
      <c r="N98" s="59"/>
      <c r="O98" s="61" t="str">
        <f>IF(Table1[[#This Row],[Digikey]]="","", HYPERLINK(Table1[[#This Row],[Destination - Digikey]],_xlfn.CONCAT("Link (",Table1[[#This Row],[Digikey]],")")))</f>
        <v/>
      </c>
      <c r="P98" s="62" t="str">
        <f>_xlfn.CONCAT("https://www.digikey.ch/products/en?keywords=",Table1[[#This Row],[Digikey]])</f>
        <v>https://www.digikey.ch/products/en?keywords=</v>
      </c>
      <c r="Q98" s="57" t="s">
        <v>2396</v>
      </c>
      <c r="R98" s="59">
        <v>0.54600000000000004</v>
      </c>
      <c r="S98" s="61" t="str">
        <f>IF(Table1[[#This Row],[Farnell]]="","", HYPERLINK(Table1[[#This Row],[Destination - Farnell]],_xlfn.CONCAT("Link (",Table1[[#This Row],[Farnell]],")")))</f>
        <v>Link (2769437)</v>
      </c>
      <c r="T98" s="62" t="str">
        <f>_xlfn.CONCAT("https://ch.farnell.com/fr-CH/",Table1[[#This Row],[Farnell]])</f>
        <v>https://ch.farnell.com/fr-CH/2769437</v>
      </c>
      <c r="U98" s="57"/>
      <c r="V98" s="59"/>
      <c r="W98" s="61" t="str">
        <f>IF(Table1[[#This Row],[Distrelec]]="","", HYPERLINK(Table1[[#This Row],[Destination - Distrelec]],_xlfn.CONCAT("Link (",Table1[[#This Row],[Distrelec]],")")))</f>
        <v/>
      </c>
      <c r="X98" s="62" t="str">
        <f>_xlfn.CONCAT("https://www.distrelec.ch/search?q=",Table1[[#This Row],[Distrelec]])</f>
        <v>https://www.distrelec.ch/search?q=</v>
      </c>
      <c r="Y98" s="57"/>
      <c r="Z98" s="59"/>
      <c r="AA98" s="61" t="str">
        <f>IF(Table1[[#This Row],[Conrad]]="","", HYPERLINK(Table1[[#This Row],[Destination - Conrad]],_xlfn.CONCAT("Link (",Table1[[#This Row],[Conrad]],")")))</f>
        <v/>
      </c>
      <c r="AB98" s="62"/>
      <c r="AC98" s="57"/>
      <c r="AD98" s="59"/>
      <c r="AE98" s="61" t="str">
        <f>IF(Table1[[#This Row],[Mouser]]="","", HYPERLINK(Table1[[#This Row],[Destination - Mouser]],_xlfn.CONCAT("Link (",Table1[[#This Row],[Mouser]],")")))</f>
        <v/>
      </c>
      <c r="AF98" s="62" t="str">
        <f>_xlfn.CONCAT("https://www.mouser.ch/ProductDetail/",Table1[[#This Row],[Mouser]])</f>
        <v>https://www.mouser.ch/ProductDetail/</v>
      </c>
      <c r="AG98" s="57"/>
      <c r="AH98" s="59"/>
      <c r="AI98" s="61" t="str">
        <f>IF(Table1[[#This Row],[Bauhaus]]="","", HYPERLINK(Table1[[#This Row],[Destination - Bauhaus]],_xlfn.CONCAT("Link (",Table1[[#This Row],[Bauhaus]],")")))</f>
        <v/>
      </c>
      <c r="AJ98" s="62" t="str">
        <f>_xlfn.CONCAT("https://www.bauhaus.ch/fr/search?query=",Table1[[#This Row],[Bauhaus]])</f>
        <v>https://www.bauhaus.ch/fr/search?query=</v>
      </c>
      <c r="AK98" s="59"/>
      <c r="AL98" s="59"/>
      <c r="AM98" s="61" t="str">
        <f>IF(Table1[[#This Row],[BricoEtLoisirs]]="","", HYPERLINK(Table1[[#This Row],[Destination - BricoEtLoisirs]],_xlfn.CONCAT("Link (",Table1[[#This Row],[BricoEtLoisirs]],")")))</f>
        <v/>
      </c>
      <c r="AN98" s="62" t="str">
        <f>_xlfn.CONCAT("https://bricoetloisirs.ch/p/",Table1[[#This Row],[BricoEtLoisirs]])</f>
        <v>https://bricoetloisirs.ch/p/</v>
      </c>
      <c r="AO98" s="57"/>
      <c r="AP98" s="59"/>
      <c r="AQ98" s="61" t="str">
        <f>IF(Table1[[#This Row],[Aliexpress]]="","", HYPERLINK(Table1[[#This Row],[Destination - Aliexpress]],_xlfn.CONCAT("Link (",Table1[[#This Row],[Aliexpress]],")")))</f>
        <v/>
      </c>
      <c r="AR98" s="62" t="str">
        <f>_xlfn.CONCAT("https://www.aliexpress.com/item/",Table1[[#This Row],[Aliexpress]],".html")</f>
        <v>https://www.aliexpress.com/item/.html</v>
      </c>
      <c r="AS98" s="57"/>
      <c r="AT98" s="59"/>
      <c r="AU98" s="61" t="str">
        <f>IF(Table1[[#This Row],[Banggood]]="","", HYPERLINK(Table1[[#This Row],[Destination - Banggood]],_xlfn.CONCAT("Link (",Table1[[#This Row],[Banggood]],")")))</f>
        <v/>
      </c>
      <c r="AV98" s="62" t="str">
        <f>_xlfn.CONCAT("https://www.banggood.com/search/",Table1[[#This Row],[Banggood]],".html")</f>
        <v>https://www.banggood.com/search/.html</v>
      </c>
      <c r="AW98" s="59" t="str">
        <f>IF(Table1[[#This Row],[Other]]&lt;&gt;"","Other","")</f>
        <v/>
      </c>
      <c r="AX98" s="57"/>
      <c r="AY98" s="59"/>
      <c r="AZ98" s="61" t="str">
        <f>IF(Table1[[#This Row],[Other]]="","",IF(Table1[[#This Row],[Destination - Other]]="","",HYPERLINK(Table1[[#This Row],[Destination - Other]],_xlfn.CONCAT("Link ("&amp;Table1[[#This Row],[Other]]&amp;")"))))</f>
        <v/>
      </c>
      <c r="BA98" s="59"/>
      <c r="BB98" s="58" t="str">
        <f>IF(AND( Table1[[#This Row],[Auto Order]]=1,Table1[[#This Row],[Obsolete]]=""),IF(Table1[[#This Row],[In stock]]&lt;Table1[[#This Row],[Min in stock]],1,""),"")</f>
        <v/>
      </c>
      <c r="BC98" s="64"/>
      <c r="BD98" s="66" t="str">
        <f>IF(Table1[[#This Row],[Obsolete]],Table1[[#This Row],[Art. Number]],"")</f>
        <v/>
      </c>
    </row>
    <row r="99" spans="1:56" x14ac:dyDescent="0.25">
      <c r="A99" s="65" t="s">
        <v>821</v>
      </c>
      <c r="B99" s="57" t="s">
        <v>704</v>
      </c>
      <c r="C99" s="57" t="s">
        <v>822</v>
      </c>
      <c r="D99" s="57" t="s">
        <v>823</v>
      </c>
      <c r="E99" s="57" t="s">
        <v>707</v>
      </c>
      <c r="F99" s="58">
        <v>5</v>
      </c>
      <c r="G99" s="58"/>
      <c r="H99" s="58"/>
      <c r="I9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1103041</v>
      </c>
      <c r="J9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0.68600000000000005</v>
      </c>
      <c r="K9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9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(1103041)</v>
      </c>
      <c r="M99" s="57"/>
      <c r="N99" s="59"/>
      <c r="O99" s="61" t="str">
        <f>IF(Table1[[#This Row],[Digikey]]="","", HYPERLINK(Table1[[#This Row],[Destination - Digikey]],_xlfn.CONCAT("Link (",Table1[[#This Row],[Digikey]],")")))</f>
        <v/>
      </c>
      <c r="P99" s="62" t="str">
        <f>_xlfn.CONCAT("https://www.digikey.ch/products/en?keywords=",Table1[[#This Row],[Digikey]])</f>
        <v>https://www.digikey.ch/products/en?keywords=</v>
      </c>
      <c r="Q99" s="57" t="s">
        <v>2404</v>
      </c>
      <c r="R99" s="59">
        <v>0.68600000000000005</v>
      </c>
      <c r="S99" s="61" t="str">
        <f>IF(Table1[[#This Row],[Farnell]]="","", HYPERLINK(Table1[[#This Row],[Destination - Farnell]],_xlfn.CONCAT("Link (",Table1[[#This Row],[Farnell]],")")))</f>
        <v>Link (1103041)</v>
      </c>
      <c r="T99" s="62" t="str">
        <f>_xlfn.CONCAT("https://ch.farnell.com/fr-CH/",Table1[[#This Row],[Farnell]])</f>
        <v>https://ch.farnell.com/fr-CH/1103041</v>
      </c>
      <c r="U99" s="57"/>
      <c r="V99" s="59"/>
      <c r="W99" s="61" t="str">
        <f>IF(Table1[[#This Row],[Distrelec]]="","", HYPERLINK(Table1[[#This Row],[Destination - Distrelec]],_xlfn.CONCAT("Link (",Table1[[#This Row],[Distrelec]],")")))</f>
        <v/>
      </c>
      <c r="X99" s="62" t="str">
        <f>_xlfn.CONCAT("https://www.distrelec.ch/search?q=",Table1[[#This Row],[Distrelec]])</f>
        <v>https://www.distrelec.ch/search?q=</v>
      </c>
      <c r="Y99" s="57"/>
      <c r="Z99" s="59"/>
      <c r="AA99" s="61" t="str">
        <f>IF(Table1[[#This Row],[Conrad]]="","", HYPERLINK(Table1[[#This Row],[Destination - Conrad]],_xlfn.CONCAT("Link (",Table1[[#This Row],[Conrad]],")")))</f>
        <v/>
      </c>
      <c r="AB99" s="62"/>
      <c r="AC99" s="57"/>
      <c r="AD99" s="59"/>
      <c r="AE99" s="61" t="str">
        <f>IF(Table1[[#This Row],[Mouser]]="","", HYPERLINK(Table1[[#This Row],[Destination - Mouser]],_xlfn.CONCAT("Link (",Table1[[#This Row],[Mouser]],")")))</f>
        <v/>
      </c>
      <c r="AF99" s="62" t="str">
        <f>_xlfn.CONCAT("https://www.mouser.ch/ProductDetail/",Table1[[#This Row],[Mouser]])</f>
        <v>https://www.mouser.ch/ProductDetail/</v>
      </c>
      <c r="AG99" s="57"/>
      <c r="AH99" s="59"/>
      <c r="AI99" s="61" t="str">
        <f>IF(Table1[[#This Row],[Bauhaus]]="","", HYPERLINK(Table1[[#This Row],[Destination - Bauhaus]],_xlfn.CONCAT("Link (",Table1[[#This Row],[Bauhaus]],")")))</f>
        <v/>
      </c>
      <c r="AJ99" s="62" t="str">
        <f>_xlfn.CONCAT("https://www.bauhaus.ch/fr/search?query=",Table1[[#This Row],[Bauhaus]])</f>
        <v>https://www.bauhaus.ch/fr/search?query=</v>
      </c>
      <c r="AK99" s="59"/>
      <c r="AL99" s="59"/>
      <c r="AM99" s="61" t="str">
        <f>IF(Table1[[#This Row],[BricoEtLoisirs]]="","", HYPERLINK(Table1[[#This Row],[Destination - BricoEtLoisirs]],_xlfn.CONCAT("Link (",Table1[[#This Row],[BricoEtLoisirs]],")")))</f>
        <v/>
      </c>
      <c r="AN99" s="62" t="str">
        <f>_xlfn.CONCAT("https://bricoetloisirs.ch/p/",Table1[[#This Row],[BricoEtLoisirs]])</f>
        <v>https://bricoetloisirs.ch/p/</v>
      </c>
      <c r="AO99" s="57"/>
      <c r="AP99" s="59"/>
      <c r="AQ99" s="61" t="str">
        <f>IF(Table1[[#This Row],[Aliexpress]]="","", HYPERLINK(Table1[[#This Row],[Destination - Aliexpress]],_xlfn.CONCAT("Link (",Table1[[#This Row],[Aliexpress]],")")))</f>
        <v/>
      </c>
      <c r="AR99" s="62" t="str">
        <f>_xlfn.CONCAT("https://www.aliexpress.com/item/",Table1[[#This Row],[Aliexpress]],".html")</f>
        <v>https://www.aliexpress.com/item/.html</v>
      </c>
      <c r="AS99" s="57"/>
      <c r="AT99" s="59"/>
      <c r="AU99" s="61" t="str">
        <f>IF(Table1[[#This Row],[Banggood]]="","", HYPERLINK(Table1[[#This Row],[Destination - Banggood]],_xlfn.CONCAT("Link (",Table1[[#This Row],[Banggood]],")")))</f>
        <v/>
      </c>
      <c r="AV99" s="62" t="str">
        <f>_xlfn.CONCAT("https://www.banggood.com/search/",Table1[[#This Row],[Banggood]],".html")</f>
        <v>https://www.banggood.com/search/.html</v>
      </c>
      <c r="AW99" s="59" t="str">
        <f>IF(Table1[[#This Row],[Other]]&lt;&gt;"","Other","")</f>
        <v/>
      </c>
      <c r="AX99" s="57"/>
      <c r="AY99" s="59"/>
      <c r="AZ99" s="61" t="str">
        <f>IF(Table1[[#This Row],[Other]]="","",IF(Table1[[#This Row],[Destination - Other]]="","",HYPERLINK(Table1[[#This Row],[Destination - Other]],_xlfn.CONCAT("Link ("&amp;Table1[[#This Row],[Other]]&amp;")"))))</f>
        <v/>
      </c>
      <c r="BA99" s="59"/>
      <c r="BB99" s="58" t="str">
        <f>IF(AND( Table1[[#This Row],[Auto Order]]=1,Table1[[#This Row],[Obsolete]]=""),IF(Table1[[#This Row],[In stock]]&lt;Table1[[#This Row],[Min in stock]],1,""),"")</f>
        <v/>
      </c>
      <c r="BC99" s="64"/>
      <c r="BD99" s="66" t="str">
        <f>IF(Table1[[#This Row],[Obsolete]],Table1[[#This Row],[Art. Number]],"")</f>
        <v/>
      </c>
    </row>
    <row r="100" spans="1:56" x14ac:dyDescent="0.25">
      <c r="A100" s="65" t="s">
        <v>2196</v>
      </c>
      <c r="B100" s="57" t="s">
        <v>987</v>
      </c>
      <c r="C100" s="57" t="s">
        <v>2197</v>
      </c>
      <c r="D100" s="57" t="s">
        <v>2198</v>
      </c>
      <c r="E100" s="57" t="s">
        <v>2199</v>
      </c>
      <c r="F100" s="58">
        <v>2</v>
      </c>
      <c r="G100" s="58"/>
      <c r="H100" s="58"/>
      <c r="I10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E-LED-001</v>
      </c>
      <c r="J10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0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0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00" s="57"/>
      <c r="N100" s="59"/>
      <c r="O100" s="61" t="str">
        <f>IF(Table1[[#This Row],[Digikey]]="","", HYPERLINK(Table1[[#This Row],[Destination - Digikey]],_xlfn.CONCAT("Link (",Table1[[#This Row],[Digikey]],")")))</f>
        <v/>
      </c>
      <c r="P100" s="62" t="str">
        <f>_xlfn.CONCAT("https://www.digikey.ch/products/en?keywords=",Table1[[#This Row],[Digikey]])</f>
        <v>https://www.digikey.ch/products/en?keywords=</v>
      </c>
      <c r="Q100" s="57"/>
      <c r="R100" s="59"/>
      <c r="S100" s="61" t="str">
        <f>IF(Table1[[#This Row],[Farnell]]="","", HYPERLINK(Table1[[#This Row],[Destination - Farnell]],_xlfn.CONCAT("Link (",Table1[[#This Row],[Farnell]],")")))</f>
        <v/>
      </c>
      <c r="T100" s="62" t="str">
        <f>_xlfn.CONCAT("https://ch.farnell.com/fr-CH/",Table1[[#This Row],[Farnell]])</f>
        <v>https://ch.farnell.com/fr-CH/</v>
      </c>
      <c r="U100" s="57"/>
      <c r="V100" s="59"/>
      <c r="W100" s="61" t="str">
        <f>IF(Table1[[#This Row],[Distrelec]]="","", HYPERLINK(Table1[[#This Row],[Destination - Distrelec]],_xlfn.CONCAT("Link (",Table1[[#This Row],[Distrelec]],")")))</f>
        <v/>
      </c>
      <c r="X100" s="62" t="str">
        <f>_xlfn.CONCAT("https://www.distrelec.ch/search?q=",Table1[[#This Row],[Distrelec]])</f>
        <v>https://www.distrelec.ch/search?q=</v>
      </c>
      <c r="Y100" s="57"/>
      <c r="Z100" s="59"/>
      <c r="AA100" s="61" t="str">
        <f>IF(Table1[[#This Row],[Conrad]]="","", HYPERLINK(Table1[[#This Row],[Destination - Conrad]],_xlfn.CONCAT("Link (",Table1[[#This Row],[Conrad]],")")))</f>
        <v/>
      </c>
      <c r="AB100" s="62"/>
      <c r="AC100" s="57"/>
      <c r="AD100" s="59"/>
      <c r="AE100" s="61" t="str">
        <f>IF(Table1[[#This Row],[Mouser]]="","", HYPERLINK(Table1[[#This Row],[Destination - Mouser]],_xlfn.CONCAT("Link (",Table1[[#This Row],[Mouser]],")")))</f>
        <v/>
      </c>
      <c r="AF100" s="62" t="str">
        <f>_xlfn.CONCAT("https://www.mouser.ch/ProductDetail/",Table1[[#This Row],[Mouser]])</f>
        <v>https://www.mouser.ch/ProductDetail/</v>
      </c>
      <c r="AG100" s="57"/>
      <c r="AH100" s="59"/>
      <c r="AI100" s="61" t="str">
        <f>IF(Table1[[#This Row],[Bauhaus]]="","", HYPERLINK(Table1[[#This Row],[Destination - Bauhaus]],_xlfn.CONCAT("Link (",Table1[[#This Row],[Bauhaus]],")")))</f>
        <v/>
      </c>
      <c r="AJ100" s="62" t="str">
        <f>_xlfn.CONCAT("https://www.bauhaus.ch/fr/search?query=",Table1[[#This Row],[Bauhaus]])</f>
        <v>https://www.bauhaus.ch/fr/search?query=</v>
      </c>
      <c r="AK100" s="59"/>
      <c r="AL100" s="59"/>
      <c r="AM100" s="61" t="str">
        <f>IF(Table1[[#This Row],[BricoEtLoisirs]]="","", HYPERLINK(Table1[[#This Row],[Destination - BricoEtLoisirs]],_xlfn.CONCAT("Link (",Table1[[#This Row],[BricoEtLoisirs]],")")))</f>
        <v/>
      </c>
      <c r="AN100" s="62" t="str">
        <f>_xlfn.CONCAT("https://bricoetloisirs.ch/p/",Table1[[#This Row],[BricoEtLoisirs]])</f>
        <v>https://bricoetloisirs.ch/p/</v>
      </c>
      <c r="AO100" s="57"/>
      <c r="AP100" s="59"/>
      <c r="AQ100" s="61" t="str">
        <f>IF(Table1[[#This Row],[Aliexpress]]="","", HYPERLINK(Table1[[#This Row],[Destination - Aliexpress]],_xlfn.CONCAT("Link (",Table1[[#This Row],[Aliexpress]],")")))</f>
        <v/>
      </c>
      <c r="AR100" s="62" t="str">
        <f>_xlfn.CONCAT("https://www.aliexpress.com/item/",Table1[[#This Row],[Aliexpress]],".html")</f>
        <v>https://www.aliexpress.com/item/.html</v>
      </c>
      <c r="AS100" s="57"/>
      <c r="AT100" s="59"/>
      <c r="AU100" s="61" t="str">
        <f>IF(Table1[[#This Row],[Banggood]]="","", HYPERLINK(Table1[[#This Row],[Destination - Banggood]],_xlfn.CONCAT("Link (",Table1[[#This Row],[Banggood]],")")))</f>
        <v/>
      </c>
      <c r="AV100" s="62" t="str">
        <f>_xlfn.CONCAT("https://www.banggood.com/search/",Table1[[#This Row],[Banggood]],".html")</f>
        <v>https://www.banggood.com/search/.html</v>
      </c>
      <c r="AW100" s="59" t="str">
        <f>IF(Table1[[#This Row],[Other]]&lt;&gt;"","Other","")</f>
        <v>Other</v>
      </c>
      <c r="AX100" s="57" t="s">
        <v>2196</v>
      </c>
      <c r="AY100" s="59">
        <v>0</v>
      </c>
      <c r="AZ100" s="61" t="str">
        <f>IF(Table1[[#This Row],[Other]]="","",IF(Table1[[#This Row],[Destination - Other]]="","",HYPERLINK(Table1[[#This Row],[Destination - Other]],_xlfn.CONCAT("Link ("&amp;Table1[[#This Row],[Other]]&amp;")"))))</f>
        <v/>
      </c>
      <c r="BA100" s="59"/>
      <c r="BB100" s="58" t="str">
        <f>IF(AND( Table1[[#This Row],[Auto Order]]=1,Table1[[#This Row],[Obsolete]]=""),IF(Table1[[#This Row],[In stock]]&lt;Table1[[#This Row],[Min in stock]],1,""),"")</f>
        <v/>
      </c>
      <c r="BC100" s="64"/>
      <c r="BD100" s="66" t="str">
        <f>IF(Table1[[#This Row],[Obsolete]],Table1[[#This Row],[Art. Number]],"")</f>
        <v/>
      </c>
    </row>
    <row r="101" spans="1:56" x14ac:dyDescent="0.25">
      <c r="A101" s="65" t="s">
        <v>2236</v>
      </c>
      <c r="B101" s="57" t="s">
        <v>987</v>
      </c>
      <c r="C101" s="57" t="s">
        <v>2197</v>
      </c>
      <c r="D101" s="57" t="s">
        <v>2237</v>
      </c>
      <c r="E101" s="57" t="s">
        <v>2199</v>
      </c>
      <c r="F101" s="58">
        <v>2</v>
      </c>
      <c r="G101" s="58"/>
      <c r="H101" s="58"/>
      <c r="I10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E-LED-002</v>
      </c>
      <c r="J10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0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0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01" s="57"/>
      <c r="N101" s="59"/>
      <c r="O101" s="61" t="str">
        <f>IF(Table1[[#This Row],[Digikey]]="","", HYPERLINK(Table1[[#This Row],[Destination - Digikey]],_xlfn.CONCAT("Link (",Table1[[#This Row],[Digikey]],")")))</f>
        <v/>
      </c>
      <c r="P101" s="62" t="str">
        <f>_xlfn.CONCAT("https://www.digikey.ch/products/en?keywords=",Table1[[#This Row],[Digikey]])</f>
        <v>https://www.digikey.ch/products/en?keywords=</v>
      </c>
      <c r="Q101" s="57"/>
      <c r="R101" s="59"/>
      <c r="S101" s="61" t="str">
        <f>IF(Table1[[#This Row],[Farnell]]="","", HYPERLINK(Table1[[#This Row],[Destination - Farnell]],_xlfn.CONCAT("Link (",Table1[[#This Row],[Farnell]],")")))</f>
        <v/>
      </c>
      <c r="T101" s="62" t="str">
        <f>_xlfn.CONCAT("https://ch.farnell.com/fr-CH/",Table1[[#This Row],[Farnell]])</f>
        <v>https://ch.farnell.com/fr-CH/</v>
      </c>
      <c r="U101" s="57"/>
      <c r="V101" s="59"/>
      <c r="W101" s="61" t="str">
        <f>IF(Table1[[#This Row],[Distrelec]]="","", HYPERLINK(Table1[[#This Row],[Destination - Distrelec]],_xlfn.CONCAT("Link (",Table1[[#This Row],[Distrelec]],")")))</f>
        <v/>
      </c>
      <c r="X101" s="62" t="str">
        <f>_xlfn.CONCAT("https://www.distrelec.ch/search?q=",Table1[[#This Row],[Distrelec]])</f>
        <v>https://www.distrelec.ch/search?q=</v>
      </c>
      <c r="Y101" s="57"/>
      <c r="Z101" s="59"/>
      <c r="AA101" s="61" t="str">
        <f>IF(Table1[[#This Row],[Conrad]]="","", HYPERLINK(Table1[[#This Row],[Destination - Conrad]],_xlfn.CONCAT("Link (",Table1[[#This Row],[Conrad]],")")))</f>
        <v/>
      </c>
      <c r="AB101" s="62"/>
      <c r="AC101" s="57"/>
      <c r="AD101" s="59"/>
      <c r="AE101" s="61" t="str">
        <f>IF(Table1[[#This Row],[Mouser]]="","", HYPERLINK(Table1[[#This Row],[Destination - Mouser]],_xlfn.CONCAT("Link (",Table1[[#This Row],[Mouser]],")")))</f>
        <v/>
      </c>
      <c r="AF101" s="62" t="str">
        <f>_xlfn.CONCAT("https://www.mouser.ch/ProductDetail/",Table1[[#This Row],[Mouser]])</f>
        <v>https://www.mouser.ch/ProductDetail/</v>
      </c>
      <c r="AG101" s="57"/>
      <c r="AH101" s="59"/>
      <c r="AI101" s="61" t="str">
        <f>IF(Table1[[#This Row],[Bauhaus]]="","", HYPERLINK(Table1[[#This Row],[Destination - Bauhaus]],_xlfn.CONCAT("Link (",Table1[[#This Row],[Bauhaus]],")")))</f>
        <v/>
      </c>
      <c r="AJ101" s="62" t="str">
        <f>_xlfn.CONCAT("https://www.bauhaus.ch/fr/search?query=",Table1[[#This Row],[Bauhaus]])</f>
        <v>https://www.bauhaus.ch/fr/search?query=</v>
      </c>
      <c r="AK101" s="59"/>
      <c r="AL101" s="59"/>
      <c r="AM101" s="61" t="str">
        <f>IF(Table1[[#This Row],[BricoEtLoisirs]]="","", HYPERLINK(Table1[[#This Row],[Destination - BricoEtLoisirs]],_xlfn.CONCAT("Link (",Table1[[#This Row],[BricoEtLoisirs]],")")))</f>
        <v/>
      </c>
      <c r="AN101" s="62" t="str">
        <f>_xlfn.CONCAT("https://bricoetloisirs.ch/p/",Table1[[#This Row],[BricoEtLoisirs]])</f>
        <v>https://bricoetloisirs.ch/p/</v>
      </c>
      <c r="AO101" s="57"/>
      <c r="AP101" s="59"/>
      <c r="AQ101" s="61" t="str">
        <f>IF(Table1[[#This Row],[Aliexpress]]="","", HYPERLINK(Table1[[#This Row],[Destination - Aliexpress]],_xlfn.CONCAT("Link (",Table1[[#This Row],[Aliexpress]],")")))</f>
        <v/>
      </c>
      <c r="AR101" s="62" t="str">
        <f>_xlfn.CONCAT("https://www.aliexpress.com/item/",Table1[[#This Row],[Aliexpress]],".html")</f>
        <v>https://www.aliexpress.com/item/.html</v>
      </c>
      <c r="AS101" s="57"/>
      <c r="AT101" s="59"/>
      <c r="AU101" s="61" t="str">
        <f>IF(Table1[[#This Row],[Banggood]]="","", HYPERLINK(Table1[[#This Row],[Destination - Banggood]],_xlfn.CONCAT("Link (",Table1[[#This Row],[Banggood]],")")))</f>
        <v/>
      </c>
      <c r="AV101" s="62" t="str">
        <f>_xlfn.CONCAT("https://www.banggood.com/search/",Table1[[#This Row],[Banggood]],".html")</f>
        <v>https://www.banggood.com/search/.html</v>
      </c>
      <c r="AW101" s="59" t="str">
        <f>IF(Table1[[#This Row],[Other]]&lt;&gt;"","Other","")</f>
        <v>Other</v>
      </c>
      <c r="AX101" s="57" t="s">
        <v>2236</v>
      </c>
      <c r="AY101" s="59">
        <v>0</v>
      </c>
      <c r="AZ101" s="61" t="str">
        <f>IF(Table1[[#This Row],[Other]]="","",IF(Table1[[#This Row],[Destination - Other]]="","",HYPERLINK(Table1[[#This Row],[Destination - Other]],_xlfn.CONCAT("Link ("&amp;Table1[[#This Row],[Other]]&amp;")"))))</f>
        <v/>
      </c>
      <c r="BA101" s="59"/>
      <c r="BB101" s="58" t="str">
        <f>IF(AND( Table1[[#This Row],[Auto Order]]=1,Table1[[#This Row],[Obsolete]]=""),IF(Table1[[#This Row],[In stock]]&lt;Table1[[#This Row],[Min in stock]],1,""),"")</f>
        <v/>
      </c>
      <c r="BC101" s="64"/>
      <c r="BD101" s="66" t="str">
        <f>IF(Table1[[#This Row],[Obsolete]],Table1[[#This Row],[Art. Number]],"")</f>
        <v/>
      </c>
    </row>
    <row r="102" spans="1:56" x14ac:dyDescent="0.25">
      <c r="A102" s="65" t="s">
        <v>722</v>
      </c>
      <c r="B102" s="57" t="s">
        <v>723</v>
      </c>
      <c r="C102" s="57" t="s">
        <v>97</v>
      </c>
      <c r="D102" s="57" t="s">
        <v>724</v>
      </c>
      <c r="E102" s="57" t="s">
        <v>725</v>
      </c>
      <c r="F102" s="58">
        <v>1</v>
      </c>
      <c r="G102" s="58">
        <v>1</v>
      </c>
      <c r="H102" s="58">
        <v>1</v>
      </c>
      <c r="I10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SMD291-ND</v>
      </c>
      <c r="J10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15.95</v>
      </c>
      <c r="K10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(SMD291-ND)</v>
      </c>
      <c r="M102" s="57" t="s">
        <v>726</v>
      </c>
      <c r="N102" s="59">
        <v>15.95</v>
      </c>
      <c r="O102" s="61" t="str">
        <f>IF(Table1[[#This Row],[Digikey]]="","", HYPERLINK(Table1[[#This Row],[Destination - Digikey]],_xlfn.CONCAT("Link (",Table1[[#This Row],[Digikey]],")")))</f>
        <v>Link (SMD291-ND)</v>
      </c>
      <c r="P102" s="62" t="str">
        <f>_xlfn.CONCAT("https://www.digikey.ch/products/en?keywords=",Table1[[#This Row],[Digikey]])</f>
        <v>https://www.digikey.ch/products/en?keywords=SMD291-ND</v>
      </c>
      <c r="Q102" s="57"/>
      <c r="R102" s="59"/>
      <c r="S102" s="61" t="str">
        <f>IF(Table1[[#This Row],[Farnell]]="","", HYPERLINK(Table1[[#This Row],[Destination - Farnell]],_xlfn.CONCAT("Link (",Table1[[#This Row],[Farnell]],")")))</f>
        <v/>
      </c>
      <c r="T102" s="62" t="str">
        <f>_xlfn.CONCAT("https://ch.farnell.com/fr-CH/",Table1[[#This Row],[Farnell]])</f>
        <v>https://ch.farnell.com/fr-CH/</v>
      </c>
      <c r="U102" s="57"/>
      <c r="V102" s="59"/>
      <c r="W102" s="61" t="str">
        <f>IF(Table1[[#This Row],[Distrelec]]="","", HYPERLINK(Table1[[#This Row],[Destination - Distrelec]],_xlfn.CONCAT("Link (",Table1[[#This Row],[Distrelec]],")")))</f>
        <v/>
      </c>
      <c r="X102" s="62" t="str">
        <f>_xlfn.CONCAT("https://www.distrelec.ch/search?q=",Table1[[#This Row],[Distrelec]])</f>
        <v>https://www.distrelec.ch/search?q=</v>
      </c>
      <c r="Y102" s="57"/>
      <c r="Z102" s="59"/>
      <c r="AA102" s="61" t="str">
        <f>IF(Table1[[#This Row],[Conrad]]="","", HYPERLINK(Table1[[#This Row],[Destination - Conrad]],_xlfn.CONCAT("Link (",Table1[[#This Row],[Conrad]],")")))</f>
        <v/>
      </c>
      <c r="AB102" s="62"/>
      <c r="AC102" s="57"/>
      <c r="AD102" s="59"/>
      <c r="AE102" s="61" t="str">
        <f>IF(Table1[[#This Row],[Mouser]]="","", HYPERLINK(Table1[[#This Row],[Destination - Mouser]],_xlfn.CONCAT("Link (",Table1[[#This Row],[Mouser]],")")))</f>
        <v/>
      </c>
      <c r="AF102" s="62" t="str">
        <f>_xlfn.CONCAT("https://www.mouser.ch/ProductDetail/",Table1[[#This Row],[Mouser]])</f>
        <v>https://www.mouser.ch/ProductDetail/</v>
      </c>
      <c r="AG102" s="57"/>
      <c r="AH102" s="59"/>
      <c r="AI102" s="61" t="str">
        <f>IF(Table1[[#This Row],[Bauhaus]]="","", HYPERLINK(Table1[[#This Row],[Destination - Bauhaus]],_xlfn.CONCAT("Link (",Table1[[#This Row],[Bauhaus]],")")))</f>
        <v/>
      </c>
      <c r="AJ102" s="62" t="str">
        <f>_xlfn.CONCAT("https://www.bauhaus.ch/fr/search?query=",Table1[[#This Row],[Bauhaus]])</f>
        <v>https://www.bauhaus.ch/fr/search?query=</v>
      </c>
      <c r="AK102" s="59"/>
      <c r="AL102" s="59"/>
      <c r="AM102" s="61" t="str">
        <f>IF(Table1[[#This Row],[BricoEtLoisirs]]="","", HYPERLINK(Table1[[#This Row],[Destination - BricoEtLoisirs]],_xlfn.CONCAT("Link (",Table1[[#This Row],[BricoEtLoisirs]],")")))</f>
        <v/>
      </c>
      <c r="AN102" s="62" t="str">
        <f>_xlfn.CONCAT("https://bricoetloisirs.ch/p/",Table1[[#This Row],[BricoEtLoisirs]])</f>
        <v>https://bricoetloisirs.ch/p/</v>
      </c>
      <c r="AO102" s="57"/>
      <c r="AP102" s="59"/>
      <c r="AQ102" s="61" t="str">
        <f>IF(Table1[[#This Row],[Aliexpress]]="","", HYPERLINK(Table1[[#This Row],[Destination - Aliexpress]],_xlfn.CONCAT("Link (",Table1[[#This Row],[Aliexpress]],")")))</f>
        <v/>
      </c>
      <c r="AR102" s="62" t="str">
        <f>_xlfn.CONCAT("https://www.aliexpress.com/item/",Table1[[#This Row],[Aliexpress]],".html")</f>
        <v>https://www.aliexpress.com/item/.html</v>
      </c>
      <c r="AS102" s="57"/>
      <c r="AT102" s="59"/>
      <c r="AU102" s="61" t="str">
        <f>IF(Table1[[#This Row],[Banggood]]="","", HYPERLINK(Table1[[#This Row],[Destination - Banggood]],_xlfn.CONCAT("Link (",Table1[[#This Row],[Banggood]],")")))</f>
        <v/>
      </c>
      <c r="AV102" s="62" t="str">
        <f>_xlfn.CONCAT("https://www.banggood.com/search/",Table1[[#This Row],[Banggood]],".html")</f>
        <v>https://www.banggood.com/search/.html</v>
      </c>
      <c r="AW102" s="59" t="str">
        <f>IF(Table1[[#This Row],[Other]]&lt;&gt;"","Other","")</f>
        <v/>
      </c>
      <c r="AX102" s="57"/>
      <c r="AY102" s="59"/>
      <c r="AZ102" s="61" t="str">
        <f>IF(Table1[[#This Row],[Other]]="","",IF(Table1[[#This Row],[Destination - Other]]="","",HYPERLINK(Table1[[#This Row],[Destination - Other]],_xlfn.CONCAT("Link ("&amp;Table1[[#This Row],[Other]]&amp;")"))))</f>
        <v/>
      </c>
      <c r="BA102" s="59"/>
      <c r="BB102" s="58" t="str">
        <f>IF(AND( Table1[[#This Row],[Auto Order]]=1,Table1[[#This Row],[Obsolete]]=""),IF(Table1[[#This Row],[In stock]]&lt;Table1[[#This Row],[Min in stock]],1,""),"")</f>
        <v/>
      </c>
      <c r="BC102" s="64"/>
      <c r="BD102" s="66" t="str">
        <f>IF(Table1[[#This Row],[Obsolete]],Table1[[#This Row],[Art. Number]],"")</f>
        <v/>
      </c>
    </row>
    <row r="103" spans="1:56" x14ac:dyDescent="0.25">
      <c r="A103" s="65" t="s">
        <v>253</v>
      </c>
      <c r="B103" s="57" t="s">
        <v>728</v>
      </c>
      <c r="C103" s="57" t="s">
        <v>729</v>
      </c>
      <c r="D103" s="57" t="s">
        <v>730</v>
      </c>
      <c r="E103" s="57" t="s">
        <v>731</v>
      </c>
      <c r="F103" s="58">
        <v>5</v>
      </c>
      <c r="G103" s="58">
        <v>5</v>
      </c>
      <c r="H103" s="58">
        <v>1</v>
      </c>
      <c r="I10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507-2021-1-ND</v>
      </c>
      <c r="J10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0.44</v>
      </c>
      <c r="K10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(507-2021-1-ND)</v>
      </c>
      <c r="M103" s="57" t="s">
        <v>732</v>
      </c>
      <c r="N103" s="59">
        <v>0.44</v>
      </c>
      <c r="O103" s="61" t="str">
        <f>IF(Table1[[#This Row],[Digikey]]="","", HYPERLINK(Table1[[#This Row],[Destination - Digikey]],_xlfn.CONCAT("Link (",Table1[[#This Row],[Digikey]],")")))</f>
        <v>Link (507-2021-1-ND)</v>
      </c>
      <c r="P103" s="62" t="str">
        <f>_xlfn.CONCAT("https://www.digikey.ch/products/en?keywords=",Table1[[#This Row],[Digikey]])</f>
        <v>https://www.digikey.ch/products/en?keywords=507-2021-1-ND</v>
      </c>
      <c r="Q103" s="57"/>
      <c r="R103" s="59"/>
      <c r="S103" s="61" t="str">
        <f>IF(Table1[[#This Row],[Farnell]]="","", HYPERLINK(Table1[[#This Row],[Destination - Farnell]],_xlfn.CONCAT("Link (",Table1[[#This Row],[Farnell]],")")))</f>
        <v/>
      </c>
      <c r="T103" s="62" t="str">
        <f>_xlfn.CONCAT("https://ch.farnell.com/fr-CH/",Table1[[#This Row],[Farnell]])</f>
        <v>https://ch.farnell.com/fr-CH/</v>
      </c>
      <c r="U103" s="57"/>
      <c r="V103" s="59"/>
      <c r="W103" s="61" t="str">
        <f>IF(Table1[[#This Row],[Distrelec]]="","", HYPERLINK(Table1[[#This Row],[Destination - Distrelec]],_xlfn.CONCAT("Link (",Table1[[#This Row],[Distrelec]],")")))</f>
        <v/>
      </c>
      <c r="X103" s="62" t="str">
        <f>_xlfn.CONCAT("https://www.distrelec.ch/search?q=",Table1[[#This Row],[Distrelec]])</f>
        <v>https://www.distrelec.ch/search?q=</v>
      </c>
      <c r="Y103" s="57"/>
      <c r="Z103" s="59"/>
      <c r="AA103" s="61" t="str">
        <f>IF(Table1[[#This Row],[Conrad]]="","", HYPERLINK(Table1[[#This Row],[Destination - Conrad]],_xlfn.CONCAT("Link (",Table1[[#This Row],[Conrad]],")")))</f>
        <v/>
      </c>
      <c r="AB103" s="62"/>
      <c r="AC103" s="57"/>
      <c r="AD103" s="59"/>
      <c r="AE103" s="61" t="str">
        <f>IF(Table1[[#This Row],[Mouser]]="","", HYPERLINK(Table1[[#This Row],[Destination - Mouser]],_xlfn.CONCAT("Link (",Table1[[#This Row],[Mouser]],")")))</f>
        <v/>
      </c>
      <c r="AF103" s="62" t="str">
        <f>_xlfn.CONCAT("https://www.mouser.ch/ProductDetail/",Table1[[#This Row],[Mouser]])</f>
        <v>https://www.mouser.ch/ProductDetail/</v>
      </c>
      <c r="AG103" s="57"/>
      <c r="AH103" s="59"/>
      <c r="AI103" s="61" t="str">
        <f>IF(Table1[[#This Row],[Bauhaus]]="","", HYPERLINK(Table1[[#This Row],[Destination - Bauhaus]],_xlfn.CONCAT("Link (",Table1[[#This Row],[Bauhaus]],")")))</f>
        <v/>
      </c>
      <c r="AJ103" s="62" t="str">
        <f>_xlfn.CONCAT("https://www.bauhaus.ch/fr/search?query=",Table1[[#This Row],[Bauhaus]])</f>
        <v>https://www.bauhaus.ch/fr/search?query=</v>
      </c>
      <c r="AK103" s="59"/>
      <c r="AL103" s="59"/>
      <c r="AM103" s="61" t="str">
        <f>IF(Table1[[#This Row],[BricoEtLoisirs]]="","", HYPERLINK(Table1[[#This Row],[Destination - BricoEtLoisirs]],_xlfn.CONCAT("Link (",Table1[[#This Row],[BricoEtLoisirs]],")")))</f>
        <v/>
      </c>
      <c r="AN103" s="62" t="str">
        <f>_xlfn.CONCAT("https://bricoetloisirs.ch/p/",Table1[[#This Row],[BricoEtLoisirs]])</f>
        <v>https://bricoetloisirs.ch/p/</v>
      </c>
      <c r="AO103" s="57"/>
      <c r="AP103" s="59"/>
      <c r="AQ103" s="61" t="str">
        <f>IF(Table1[[#This Row],[Aliexpress]]="","", HYPERLINK(Table1[[#This Row],[Destination - Aliexpress]],_xlfn.CONCAT("Link (",Table1[[#This Row],[Aliexpress]],")")))</f>
        <v/>
      </c>
      <c r="AR103" s="62" t="str">
        <f>_xlfn.CONCAT("https://www.aliexpress.com/item/",Table1[[#This Row],[Aliexpress]],".html")</f>
        <v>https://www.aliexpress.com/item/.html</v>
      </c>
      <c r="AS103" s="57"/>
      <c r="AT103" s="59"/>
      <c r="AU103" s="61" t="str">
        <f>IF(Table1[[#This Row],[Banggood]]="","", HYPERLINK(Table1[[#This Row],[Destination - Banggood]],_xlfn.CONCAT("Link (",Table1[[#This Row],[Banggood]],")")))</f>
        <v/>
      </c>
      <c r="AV103" s="62" t="str">
        <f>_xlfn.CONCAT("https://www.banggood.com/search/",Table1[[#This Row],[Banggood]],".html")</f>
        <v>https://www.banggood.com/search/.html</v>
      </c>
      <c r="AW103" s="59" t="str">
        <f>IF(Table1[[#This Row],[Other]]&lt;&gt;"","Other","")</f>
        <v/>
      </c>
      <c r="AX103" s="57"/>
      <c r="AY103" s="59"/>
      <c r="AZ103" s="61" t="str">
        <f>IF(Table1[[#This Row],[Other]]="","",IF(Table1[[#This Row],[Destination - Other]]="","",HYPERLINK(Table1[[#This Row],[Destination - Other]],_xlfn.CONCAT("Link ("&amp;Table1[[#This Row],[Other]]&amp;")"))))</f>
        <v/>
      </c>
      <c r="BA103" s="59"/>
      <c r="BB103" s="58" t="str">
        <f>IF(AND( Table1[[#This Row],[Auto Order]]=1,Table1[[#This Row],[Obsolete]]=""),IF(Table1[[#This Row],[In stock]]&lt;Table1[[#This Row],[Min in stock]],1,""),"")</f>
        <v/>
      </c>
      <c r="BC103" s="64"/>
      <c r="BD103" s="66" t="str">
        <f>IF(Table1[[#This Row],[Obsolete]],Table1[[#This Row],[Art. Number]],"")</f>
        <v/>
      </c>
    </row>
    <row r="104" spans="1:56" x14ac:dyDescent="0.25">
      <c r="A104" s="65" t="s">
        <v>136</v>
      </c>
      <c r="B104" s="57" t="s">
        <v>728</v>
      </c>
      <c r="C104" s="57" t="s">
        <v>736</v>
      </c>
      <c r="D104" s="57" t="s">
        <v>737</v>
      </c>
      <c r="E104" s="57" t="s">
        <v>731</v>
      </c>
      <c r="F104" s="58">
        <v>9</v>
      </c>
      <c r="G104" s="58">
        <v>5</v>
      </c>
      <c r="H104" s="58">
        <v>1</v>
      </c>
      <c r="I10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507-2023-1-ND</v>
      </c>
      <c r="J10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0.34</v>
      </c>
      <c r="K10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(507-2023-1-ND)</v>
      </c>
      <c r="M104" s="57" t="s">
        <v>738</v>
      </c>
      <c r="N104" s="59">
        <v>0.34</v>
      </c>
      <c r="O104" s="61" t="str">
        <f>IF(Table1[[#This Row],[Digikey]]="","", HYPERLINK(Table1[[#This Row],[Destination - Digikey]],_xlfn.CONCAT("Link (",Table1[[#This Row],[Digikey]],")")))</f>
        <v>Link (507-2023-1-ND)</v>
      </c>
      <c r="P104" s="62" t="str">
        <f>_xlfn.CONCAT("https://www.digikey.ch/products/en?keywords=",Table1[[#This Row],[Digikey]])</f>
        <v>https://www.digikey.ch/products/en?keywords=507-2023-1-ND</v>
      </c>
      <c r="Q104" s="57"/>
      <c r="R104" s="59"/>
      <c r="S104" s="61" t="str">
        <f>IF(Table1[[#This Row],[Farnell]]="","", HYPERLINK(Table1[[#This Row],[Destination - Farnell]],_xlfn.CONCAT("Link (",Table1[[#This Row],[Farnell]],")")))</f>
        <v/>
      </c>
      <c r="T104" s="62" t="str">
        <f>_xlfn.CONCAT("https://ch.farnell.com/fr-CH/",Table1[[#This Row],[Farnell]])</f>
        <v>https://ch.farnell.com/fr-CH/</v>
      </c>
      <c r="U104" s="57"/>
      <c r="V104" s="59"/>
      <c r="W104" s="61" t="str">
        <f>IF(Table1[[#This Row],[Distrelec]]="","", HYPERLINK(Table1[[#This Row],[Destination - Distrelec]],_xlfn.CONCAT("Link (",Table1[[#This Row],[Distrelec]],")")))</f>
        <v/>
      </c>
      <c r="X104" s="62" t="str">
        <f>_xlfn.CONCAT("https://www.distrelec.ch/search?q=",Table1[[#This Row],[Distrelec]])</f>
        <v>https://www.distrelec.ch/search?q=</v>
      </c>
      <c r="Y104" s="57"/>
      <c r="Z104" s="59"/>
      <c r="AA104" s="61" t="str">
        <f>IF(Table1[[#This Row],[Conrad]]="","", HYPERLINK(Table1[[#This Row],[Destination - Conrad]],_xlfn.CONCAT("Link (",Table1[[#This Row],[Conrad]],")")))</f>
        <v/>
      </c>
      <c r="AB104" s="62"/>
      <c r="AC104" s="57"/>
      <c r="AD104" s="59"/>
      <c r="AE104" s="61" t="str">
        <f>IF(Table1[[#This Row],[Mouser]]="","", HYPERLINK(Table1[[#This Row],[Destination - Mouser]],_xlfn.CONCAT("Link (",Table1[[#This Row],[Mouser]],")")))</f>
        <v/>
      </c>
      <c r="AF104" s="62" t="str">
        <f>_xlfn.CONCAT("https://www.mouser.ch/ProductDetail/",Table1[[#This Row],[Mouser]])</f>
        <v>https://www.mouser.ch/ProductDetail/</v>
      </c>
      <c r="AG104" s="57"/>
      <c r="AH104" s="59"/>
      <c r="AI104" s="61" t="str">
        <f>IF(Table1[[#This Row],[Bauhaus]]="","", HYPERLINK(Table1[[#This Row],[Destination - Bauhaus]],_xlfn.CONCAT("Link (",Table1[[#This Row],[Bauhaus]],")")))</f>
        <v/>
      </c>
      <c r="AJ104" s="62" t="str">
        <f>_xlfn.CONCAT("https://www.bauhaus.ch/fr/search?query=",Table1[[#This Row],[Bauhaus]])</f>
        <v>https://www.bauhaus.ch/fr/search?query=</v>
      </c>
      <c r="AK104" s="59"/>
      <c r="AL104" s="59"/>
      <c r="AM104" s="61" t="str">
        <f>IF(Table1[[#This Row],[BricoEtLoisirs]]="","", HYPERLINK(Table1[[#This Row],[Destination - BricoEtLoisirs]],_xlfn.CONCAT("Link (",Table1[[#This Row],[BricoEtLoisirs]],")")))</f>
        <v/>
      </c>
      <c r="AN104" s="62" t="str">
        <f>_xlfn.CONCAT("https://bricoetloisirs.ch/p/",Table1[[#This Row],[BricoEtLoisirs]])</f>
        <v>https://bricoetloisirs.ch/p/</v>
      </c>
      <c r="AO104" s="57"/>
      <c r="AP104" s="59"/>
      <c r="AQ104" s="61" t="str">
        <f>IF(Table1[[#This Row],[Aliexpress]]="","", HYPERLINK(Table1[[#This Row],[Destination - Aliexpress]],_xlfn.CONCAT("Link (",Table1[[#This Row],[Aliexpress]],")")))</f>
        <v/>
      </c>
      <c r="AR104" s="62" t="str">
        <f>_xlfn.CONCAT("https://www.aliexpress.com/item/",Table1[[#This Row],[Aliexpress]],".html")</f>
        <v>https://www.aliexpress.com/item/.html</v>
      </c>
      <c r="AS104" s="57"/>
      <c r="AT104" s="59"/>
      <c r="AU104" s="61" t="str">
        <f>IF(Table1[[#This Row],[Banggood]]="","", HYPERLINK(Table1[[#This Row],[Destination - Banggood]],_xlfn.CONCAT("Link (",Table1[[#This Row],[Banggood]],")")))</f>
        <v/>
      </c>
      <c r="AV104" s="62" t="str">
        <f>_xlfn.CONCAT("https://www.banggood.com/search/",Table1[[#This Row],[Banggood]],".html")</f>
        <v>https://www.banggood.com/search/.html</v>
      </c>
      <c r="AW104" s="59" t="str">
        <f>IF(Table1[[#This Row],[Other]]&lt;&gt;"","Other","")</f>
        <v/>
      </c>
      <c r="AX104" s="57"/>
      <c r="AY104" s="59"/>
      <c r="AZ104" s="61" t="str">
        <f>IF(Table1[[#This Row],[Other]]="","",IF(Table1[[#This Row],[Destination - Other]]="","",HYPERLINK(Table1[[#This Row],[Destination - Other]],_xlfn.CONCAT("Link ("&amp;Table1[[#This Row],[Other]]&amp;")"))))</f>
        <v/>
      </c>
      <c r="BA104" s="59"/>
      <c r="BB104" s="58" t="str">
        <f>IF(AND( Table1[[#This Row],[Auto Order]]=1,Table1[[#This Row],[Obsolete]]=""),IF(Table1[[#This Row],[In stock]]&lt;Table1[[#This Row],[Min in stock]],1,""),"")</f>
        <v/>
      </c>
      <c r="BC104" s="64"/>
      <c r="BD104" s="66" t="str">
        <f>IF(Table1[[#This Row],[Obsolete]],Table1[[#This Row],[Art. Number]],"")</f>
        <v/>
      </c>
    </row>
    <row r="105" spans="1:56" x14ac:dyDescent="0.25">
      <c r="A105" s="65" t="s">
        <v>740</v>
      </c>
      <c r="B105" s="57" t="s">
        <v>741</v>
      </c>
      <c r="C105" s="57" t="s">
        <v>97</v>
      </c>
      <c r="D105" s="57" t="s">
        <v>742</v>
      </c>
      <c r="E105" s="57" t="s">
        <v>731</v>
      </c>
      <c r="F105" s="58">
        <v>3</v>
      </c>
      <c r="G105" s="58">
        <v>2</v>
      </c>
      <c r="H105" s="58">
        <v>1</v>
      </c>
      <c r="I10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F10794-ND</v>
      </c>
      <c r="J10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1.82</v>
      </c>
      <c r="K10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(F10794-ND)</v>
      </c>
      <c r="M105" s="57" t="s">
        <v>743</v>
      </c>
      <c r="N105" s="59">
        <v>1.82</v>
      </c>
      <c r="O105" s="61" t="str">
        <f>IF(Table1[[#This Row],[Digikey]]="","", HYPERLINK(Table1[[#This Row],[Destination - Digikey]],_xlfn.CONCAT("Link (",Table1[[#This Row],[Digikey]],")")))</f>
        <v>Link (F10794-ND)</v>
      </c>
      <c r="P105" s="62" t="str">
        <f>_xlfn.CONCAT("https://www.digikey.ch/products/en?keywords=",Table1[[#This Row],[Digikey]])</f>
        <v>https://www.digikey.ch/products/en?keywords=F10794-ND</v>
      </c>
      <c r="Q105" s="57"/>
      <c r="R105" s="59"/>
      <c r="S105" s="61" t="str">
        <f>IF(Table1[[#This Row],[Farnell]]="","", HYPERLINK(Table1[[#This Row],[Destination - Farnell]],_xlfn.CONCAT("Link (",Table1[[#This Row],[Farnell]],")")))</f>
        <v/>
      </c>
      <c r="T105" s="62" t="str">
        <f>_xlfn.CONCAT("https://ch.farnell.com/fr-CH/",Table1[[#This Row],[Farnell]])</f>
        <v>https://ch.farnell.com/fr-CH/</v>
      </c>
      <c r="U105" s="57"/>
      <c r="V105" s="59"/>
      <c r="W105" s="61" t="str">
        <f>IF(Table1[[#This Row],[Distrelec]]="","", HYPERLINK(Table1[[#This Row],[Destination - Distrelec]],_xlfn.CONCAT("Link (",Table1[[#This Row],[Distrelec]],")")))</f>
        <v/>
      </c>
      <c r="X105" s="62" t="str">
        <f>_xlfn.CONCAT("https://www.distrelec.ch/search?q=",Table1[[#This Row],[Distrelec]])</f>
        <v>https://www.distrelec.ch/search?q=</v>
      </c>
      <c r="Y105" s="57"/>
      <c r="Z105" s="59"/>
      <c r="AA105" s="61" t="str">
        <f>IF(Table1[[#This Row],[Conrad]]="","", HYPERLINK(Table1[[#This Row],[Destination - Conrad]],_xlfn.CONCAT("Link (",Table1[[#This Row],[Conrad]],")")))</f>
        <v/>
      </c>
      <c r="AB105" s="62"/>
      <c r="AC105" s="57"/>
      <c r="AD105" s="59"/>
      <c r="AE105" s="61" t="str">
        <f>IF(Table1[[#This Row],[Mouser]]="","", HYPERLINK(Table1[[#This Row],[Destination - Mouser]],_xlfn.CONCAT("Link (",Table1[[#This Row],[Mouser]],")")))</f>
        <v/>
      </c>
      <c r="AF105" s="62" t="str">
        <f>_xlfn.CONCAT("https://www.mouser.ch/ProductDetail/",Table1[[#This Row],[Mouser]])</f>
        <v>https://www.mouser.ch/ProductDetail/</v>
      </c>
      <c r="AG105" s="57"/>
      <c r="AH105" s="59"/>
      <c r="AI105" s="61" t="str">
        <f>IF(Table1[[#This Row],[Bauhaus]]="","", HYPERLINK(Table1[[#This Row],[Destination - Bauhaus]],_xlfn.CONCAT("Link (",Table1[[#This Row],[Bauhaus]],")")))</f>
        <v/>
      </c>
      <c r="AJ105" s="62" t="str">
        <f>_xlfn.CONCAT("https://www.bauhaus.ch/fr/search?query=",Table1[[#This Row],[Bauhaus]])</f>
        <v>https://www.bauhaus.ch/fr/search?query=</v>
      </c>
      <c r="AK105" s="59"/>
      <c r="AL105" s="59"/>
      <c r="AM105" s="61" t="str">
        <f>IF(Table1[[#This Row],[BricoEtLoisirs]]="","", HYPERLINK(Table1[[#This Row],[Destination - BricoEtLoisirs]],_xlfn.CONCAT("Link (",Table1[[#This Row],[BricoEtLoisirs]],")")))</f>
        <v/>
      </c>
      <c r="AN105" s="62" t="str">
        <f>_xlfn.CONCAT("https://bricoetloisirs.ch/p/",Table1[[#This Row],[BricoEtLoisirs]])</f>
        <v>https://bricoetloisirs.ch/p/</v>
      </c>
      <c r="AO105" s="57"/>
      <c r="AP105" s="59"/>
      <c r="AQ105" s="61" t="str">
        <f>IF(Table1[[#This Row],[Aliexpress]]="","", HYPERLINK(Table1[[#This Row],[Destination - Aliexpress]],_xlfn.CONCAT("Link (",Table1[[#This Row],[Aliexpress]],")")))</f>
        <v/>
      </c>
      <c r="AR105" s="62" t="str">
        <f>_xlfn.CONCAT("https://www.aliexpress.com/item/",Table1[[#This Row],[Aliexpress]],".html")</f>
        <v>https://www.aliexpress.com/item/.html</v>
      </c>
      <c r="AS105" s="57"/>
      <c r="AT105" s="59"/>
      <c r="AU105" s="61" t="str">
        <f>IF(Table1[[#This Row],[Banggood]]="","", HYPERLINK(Table1[[#This Row],[Destination - Banggood]],_xlfn.CONCAT("Link (",Table1[[#This Row],[Banggood]],")")))</f>
        <v/>
      </c>
      <c r="AV105" s="62" t="str">
        <f>_xlfn.CONCAT("https://www.banggood.com/search/",Table1[[#This Row],[Banggood]],".html")</f>
        <v>https://www.banggood.com/search/.html</v>
      </c>
      <c r="AW105" s="59" t="str">
        <f>IF(Table1[[#This Row],[Other]]&lt;&gt;"","Other","")</f>
        <v/>
      </c>
      <c r="AX105" s="57"/>
      <c r="AY105" s="59"/>
      <c r="AZ105" s="61" t="str">
        <f>IF(Table1[[#This Row],[Other]]="","",IF(Table1[[#This Row],[Destination - Other]]="","",HYPERLINK(Table1[[#This Row],[Destination - Other]],_xlfn.CONCAT("Link ("&amp;Table1[[#This Row],[Other]]&amp;")"))))</f>
        <v/>
      </c>
      <c r="BA105" s="59"/>
      <c r="BB105" s="58" t="str">
        <f>IF(AND( Table1[[#This Row],[Auto Order]]=1,Table1[[#This Row],[Obsolete]]=""),IF(Table1[[#This Row],[In stock]]&lt;Table1[[#This Row],[Min in stock]],1,""),"")</f>
        <v/>
      </c>
      <c r="BC105" s="64"/>
      <c r="BD105" s="66" t="str">
        <f>IF(Table1[[#This Row],[Obsolete]],Table1[[#This Row],[Art. Number]],"")</f>
        <v/>
      </c>
    </row>
    <row r="106" spans="1:56" x14ac:dyDescent="0.25">
      <c r="A106" s="65" t="s">
        <v>2400</v>
      </c>
      <c r="B106" s="57" t="s">
        <v>745</v>
      </c>
      <c r="C106" s="57" t="s">
        <v>97</v>
      </c>
      <c r="D106" s="57" t="s">
        <v>746</v>
      </c>
      <c r="E106" s="57" t="s">
        <v>731</v>
      </c>
      <c r="F106" s="58">
        <v>0</v>
      </c>
      <c r="G106" s="58"/>
      <c r="H106" s="58"/>
      <c r="I10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418973 - 62</v>
      </c>
      <c r="J10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0.31</v>
      </c>
      <c r="K10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Conrad</v>
      </c>
      <c r="L10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(418973 - 62)</v>
      </c>
      <c r="M106" s="57"/>
      <c r="N106" s="59"/>
      <c r="O106" s="61" t="str">
        <f>IF(Table1[[#This Row],[Digikey]]="","", HYPERLINK(Table1[[#This Row],[Destination - Digikey]],_xlfn.CONCAT("Link (",Table1[[#This Row],[Digikey]],")")))</f>
        <v/>
      </c>
      <c r="P106" s="62" t="str">
        <f>_xlfn.CONCAT("https://www.digikey.ch/products/en?keywords=",Table1[[#This Row],[Digikey]])</f>
        <v>https://www.digikey.ch/products/en?keywords=</v>
      </c>
      <c r="Q106" s="57"/>
      <c r="R106" s="59"/>
      <c r="S106" s="61" t="str">
        <f>IF(Table1[[#This Row],[Farnell]]="","", HYPERLINK(Table1[[#This Row],[Destination - Farnell]],_xlfn.CONCAT("Link (",Table1[[#This Row],[Farnell]],")")))</f>
        <v/>
      </c>
      <c r="T106" s="62" t="str">
        <f>_xlfn.CONCAT("https://ch.farnell.com/fr-CH/",Table1[[#This Row],[Farnell]])</f>
        <v>https://ch.farnell.com/fr-CH/</v>
      </c>
      <c r="U106" s="57"/>
      <c r="V106" s="59"/>
      <c r="W106" s="61" t="str">
        <f>IF(Table1[[#This Row],[Distrelec]]="","", HYPERLINK(Table1[[#This Row],[Destination - Distrelec]],_xlfn.CONCAT("Link (",Table1[[#This Row],[Distrelec]],")")))</f>
        <v/>
      </c>
      <c r="X106" s="62" t="str">
        <f>_xlfn.CONCAT("https://www.distrelec.ch/search?q=",Table1[[#This Row],[Distrelec]])</f>
        <v>https://www.distrelec.ch/search?q=</v>
      </c>
      <c r="Y106" s="57" t="s">
        <v>747</v>
      </c>
      <c r="Z106" s="59">
        <v>0.31</v>
      </c>
      <c r="AA106" s="61" t="str">
        <f>IF(Table1[[#This Row],[Conrad]]="","", HYPERLINK(Table1[[#This Row],[Destination - Conrad]],_xlfn.CONCAT("Link (",Table1[[#This Row],[Conrad]],")")))</f>
        <v>Link (418973 - 62)</v>
      </c>
      <c r="AB106" s="62"/>
      <c r="AC106" s="57"/>
      <c r="AD106" s="59"/>
      <c r="AE106" s="61" t="str">
        <f>IF(Table1[[#This Row],[Mouser]]="","", HYPERLINK(Table1[[#This Row],[Destination - Mouser]],_xlfn.CONCAT("Link (",Table1[[#This Row],[Mouser]],")")))</f>
        <v/>
      </c>
      <c r="AF106" s="62" t="str">
        <f>_xlfn.CONCAT("https://www.mouser.ch/ProductDetail/",Table1[[#This Row],[Mouser]])</f>
        <v>https://www.mouser.ch/ProductDetail/</v>
      </c>
      <c r="AG106" s="57"/>
      <c r="AH106" s="59"/>
      <c r="AI106" s="61" t="str">
        <f>IF(Table1[[#This Row],[Bauhaus]]="","", HYPERLINK(Table1[[#This Row],[Destination - Bauhaus]],_xlfn.CONCAT("Link (",Table1[[#This Row],[Bauhaus]],")")))</f>
        <v/>
      </c>
      <c r="AJ106" s="62" t="str">
        <f>_xlfn.CONCAT("https://www.bauhaus.ch/fr/search?query=",Table1[[#This Row],[Bauhaus]])</f>
        <v>https://www.bauhaus.ch/fr/search?query=</v>
      </c>
      <c r="AK106" s="59"/>
      <c r="AL106" s="59"/>
      <c r="AM106" s="61" t="str">
        <f>IF(Table1[[#This Row],[BricoEtLoisirs]]="","", HYPERLINK(Table1[[#This Row],[Destination - BricoEtLoisirs]],_xlfn.CONCAT("Link (",Table1[[#This Row],[BricoEtLoisirs]],")")))</f>
        <v/>
      </c>
      <c r="AN106" s="62" t="str">
        <f>_xlfn.CONCAT("https://bricoetloisirs.ch/p/",Table1[[#This Row],[BricoEtLoisirs]])</f>
        <v>https://bricoetloisirs.ch/p/</v>
      </c>
      <c r="AO106" s="57"/>
      <c r="AP106" s="59"/>
      <c r="AQ106" s="61" t="str">
        <f>IF(Table1[[#This Row],[Aliexpress]]="","", HYPERLINK(Table1[[#This Row],[Destination - Aliexpress]],_xlfn.CONCAT("Link (",Table1[[#This Row],[Aliexpress]],")")))</f>
        <v/>
      </c>
      <c r="AR106" s="62" t="str">
        <f>_xlfn.CONCAT("https://www.aliexpress.com/item/",Table1[[#This Row],[Aliexpress]],".html")</f>
        <v>https://www.aliexpress.com/item/.html</v>
      </c>
      <c r="AS106" s="57"/>
      <c r="AT106" s="59"/>
      <c r="AU106" s="61" t="str">
        <f>IF(Table1[[#This Row],[Banggood]]="","", HYPERLINK(Table1[[#This Row],[Destination - Banggood]],_xlfn.CONCAT("Link (",Table1[[#This Row],[Banggood]],")")))</f>
        <v/>
      </c>
      <c r="AV106" s="62" t="str">
        <f>_xlfn.CONCAT("https://www.banggood.com/search/",Table1[[#This Row],[Banggood]],".html")</f>
        <v>https://www.banggood.com/search/.html</v>
      </c>
      <c r="AW106" s="59" t="str">
        <f>IF(Table1[[#This Row],[Other]]&lt;&gt;"","Other","")</f>
        <v/>
      </c>
      <c r="AX106" s="57"/>
      <c r="AY106" s="59"/>
      <c r="AZ106" s="61" t="str">
        <f>IF(Table1[[#This Row],[Other]]="","",IF(Table1[[#This Row],[Destination - Other]]="","",HYPERLINK(Table1[[#This Row],[Destination - Other]],_xlfn.CONCAT("Link ("&amp;Table1[[#This Row],[Other]]&amp;")"))))</f>
        <v/>
      </c>
      <c r="BA106" s="59"/>
      <c r="BB106" s="58" t="str">
        <f>IF(AND( Table1[[#This Row],[Auto Order]]=1,Table1[[#This Row],[Obsolete]]=""),IF(Table1[[#This Row],[In stock]]&lt;Table1[[#This Row],[Min in stock]],1,""),"")</f>
        <v/>
      </c>
      <c r="BC106" s="64"/>
      <c r="BD106" s="66" t="str">
        <f>IF(Table1[[#This Row],[Obsolete]],Table1[[#This Row],[Art. Number]],"")</f>
        <v/>
      </c>
    </row>
    <row r="107" spans="1:56" x14ac:dyDescent="0.25">
      <c r="A107" s="65" t="s">
        <v>760</v>
      </c>
      <c r="B107" s="57" t="s">
        <v>761</v>
      </c>
      <c r="C107" s="57" t="s">
        <v>97</v>
      </c>
      <c r="D107" s="57" t="s">
        <v>762</v>
      </c>
      <c r="E107" s="57" t="s">
        <v>731</v>
      </c>
      <c r="F107" s="58">
        <v>0</v>
      </c>
      <c r="G107" s="58"/>
      <c r="H107" s="58"/>
      <c r="I10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MFU0805.63CT-ND</v>
      </c>
      <c r="J10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0.62</v>
      </c>
      <c r="K10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(MFU0805.63CT-ND)</v>
      </c>
      <c r="M107" s="57" t="s">
        <v>763</v>
      </c>
      <c r="N107" s="59">
        <v>0.62</v>
      </c>
      <c r="O107" s="61" t="str">
        <f>IF(Table1[[#This Row],[Digikey]]="","", HYPERLINK(Table1[[#This Row],[Destination - Digikey]],_xlfn.CONCAT("Link (",Table1[[#This Row],[Digikey]],")")))</f>
        <v>Link (MFU0805.63CT-ND)</v>
      </c>
      <c r="P107" s="62" t="str">
        <f>_xlfn.CONCAT("https://www.digikey.ch/products/en?keywords=",Table1[[#This Row],[Digikey]])</f>
        <v>https://www.digikey.ch/products/en?keywords=MFU0805.63CT-ND</v>
      </c>
      <c r="Q107" s="57"/>
      <c r="R107" s="59"/>
      <c r="S107" s="61" t="str">
        <f>IF(Table1[[#This Row],[Farnell]]="","", HYPERLINK(Table1[[#This Row],[Destination - Farnell]],_xlfn.CONCAT("Link (",Table1[[#This Row],[Farnell]],")")))</f>
        <v/>
      </c>
      <c r="T107" s="62" t="str">
        <f>_xlfn.CONCAT("https://ch.farnell.com/fr-CH/",Table1[[#This Row],[Farnell]])</f>
        <v>https://ch.farnell.com/fr-CH/</v>
      </c>
      <c r="U107" s="57"/>
      <c r="V107" s="59"/>
      <c r="W107" s="61" t="str">
        <f>IF(Table1[[#This Row],[Distrelec]]="","", HYPERLINK(Table1[[#This Row],[Destination - Distrelec]],_xlfn.CONCAT("Link (",Table1[[#This Row],[Distrelec]],")")))</f>
        <v/>
      </c>
      <c r="X107" s="62" t="str">
        <f>_xlfn.CONCAT("https://www.distrelec.ch/search?q=",Table1[[#This Row],[Distrelec]])</f>
        <v>https://www.distrelec.ch/search?q=</v>
      </c>
      <c r="Y107" s="57"/>
      <c r="Z107" s="59"/>
      <c r="AA107" s="61" t="str">
        <f>IF(Table1[[#This Row],[Conrad]]="","", HYPERLINK(Table1[[#This Row],[Destination - Conrad]],_xlfn.CONCAT("Link (",Table1[[#This Row],[Conrad]],")")))</f>
        <v/>
      </c>
      <c r="AB107" s="62"/>
      <c r="AC107" s="57"/>
      <c r="AD107" s="59"/>
      <c r="AE107" s="61" t="str">
        <f>IF(Table1[[#This Row],[Mouser]]="","", HYPERLINK(Table1[[#This Row],[Destination - Mouser]],_xlfn.CONCAT("Link (",Table1[[#This Row],[Mouser]],")")))</f>
        <v/>
      </c>
      <c r="AF107" s="62" t="str">
        <f>_xlfn.CONCAT("https://www.mouser.ch/ProductDetail/",Table1[[#This Row],[Mouser]])</f>
        <v>https://www.mouser.ch/ProductDetail/</v>
      </c>
      <c r="AG107" s="57"/>
      <c r="AH107" s="59"/>
      <c r="AI107" s="61" t="str">
        <f>IF(Table1[[#This Row],[Bauhaus]]="","", HYPERLINK(Table1[[#This Row],[Destination - Bauhaus]],_xlfn.CONCAT("Link (",Table1[[#This Row],[Bauhaus]],")")))</f>
        <v/>
      </c>
      <c r="AJ107" s="62" t="str">
        <f>_xlfn.CONCAT("https://www.bauhaus.ch/fr/search?query=",Table1[[#This Row],[Bauhaus]])</f>
        <v>https://www.bauhaus.ch/fr/search?query=</v>
      </c>
      <c r="AK107" s="59"/>
      <c r="AL107" s="59"/>
      <c r="AM107" s="61" t="str">
        <f>IF(Table1[[#This Row],[BricoEtLoisirs]]="","", HYPERLINK(Table1[[#This Row],[Destination - BricoEtLoisirs]],_xlfn.CONCAT("Link (",Table1[[#This Row],[BricoEtLoisirs]],")")))</f>
        <v/>
      </c>
      <c r="AN107" s="62" t="str">
        <f>_xlfn.CONCAT("https://bricoetloisirs.ch/p/",Table1[[#This Row],[BricoEtLoisirs]])</f>
        <v>https://bricoetloisirs.ch/p/</v>
      </c>
      <c r="AO107" s="57"/>
      <c r="AP107" s="59"/>
      <c r="AQ107" s="61" t="str">
        <f>IF(Table1[[#This Row],[Aliexpress]]="","", HYPERLINK(Table1[[#This Row],[Destination - Aliexpress]],_xlfn.CONCAT("Link (",Table1[[#This Row],[Aliexpress]],")")))</f>
        <v/>
      </c>
      <c r="AR107" s="62" t="str">
        <f>_xlfn.CONCAT("https://www.aliexpress.com/item/",Table1[[#This Row],[Aliexpress]],".html")</f>
        <v>https://www.aliexpress.com/item/.html</v>
      </c>
      <c r="AS107" s="57"/>
      <c r="AT107" s="59"/>
      <c r="AU107" s="61" t="str">
        <f>IF(Table1[[#This Row],[Banggood]]="","", HYPERLINK(Table1[[#This Row],[Destination - Banggood]],_xlfn.CONCAT("Link (",Table1[[#This Row],[Banggood]],")")))</f>
        <v/>
      </c>
      <c r="AV107" s="62" t="str">
        <f>_xlfn.CONCAT("https://www.banggood.com/search/",Table1[[#This Row],[Banggood]],".html")</f>
        <v>https://www.banggood.com/search/.html</v>
      </c>
      <c r="AW107" s="59" t="str">
        <f>IF(Table1[[#This Row],[Other]]&lt;&gt;"","Other","")</f>
        <v/>
      </c>
      <c r="AX107" s="57"/>
      <c r="AY107" s="59"/>
      <c r="AZ107" s="61" t="str">
        <f>IF(Table1[[#This Row],[Other]]="","",IF(Table1[[#This Row],[Destination - Other]]="","",HYPERLINK(Table1[[#This Row],[Destination - Other]],_xlfn.CONCAT("Link ("&amp;Table1[[#This Row],[Other]]&amp;")"))))</f>
        <v/>
      </c>
      <c r="BA107" s="59"/>
      <c r="BB107" s="58" t="str">
        <f>IF(AND( Table1[[#This Row],[Auto Order]]=1,Table1[[#This Row],[Obsolete]]=""),IF(Table1[[#This Row],[In stock]]&lt;Table1[[#This Row],[Min in stock]],1,""),"")</f>
        <v/>
      </c>
      <c r="BC107" s="64"/>
      <c r="BD107" s="66" t="str">
        <f>IF(Table1[[#This Row],[Obsolete]],Table1[[#This Row],[Art. Number]],"")</f>
        <v/>
      </c>
    </row>
    <row r="108" spans="1:56" x14ac:dyDescent="0.25">
      <c r="A108" s="65" t="s">
        <v>64</v>
      </c>
      <c r="B108" s="57" t="s">
        <v>761</v>
      </c>
      <c r="C108" s="57" t="s">
        <v>765</v>
      </c>
      <c r="D108" s="57" t="s">
        <v>766</v>
      </c>
      <c r="E108" s="57" t="s">
        <v>731</v>
      </c>
      <c r="F108" s="58">
        <v>6</v>
      </c>
      <c r="G108" s="58">
        <v>5</v>
      </c>
      <c r="H108" s="58">
        <v>1</v>
      </c>
      <c r="I10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MFU1206.63CT-ND</v>
      </c>
      <c r="J10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0.97</v>
      </c>
      <c r="K10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0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(MFU1206.63CT-ND)</v>
      </c>
      <c r="M108" s="57" t="s">
        <v>767</v>
      </c>
      <c r="N108" s="59">
        <v>0.97</v>
      </c>
      <c r="O108" s="61" t="str">
        <f>IF(Table1[[#This Row],[Digikey]]="","", HYPERLINK(Table1[[#This Row],[Destination - Digikey]],_xlfn.CONCAT("Link (",Table1[[#This Row],[Digikey]],")")))</f>
        <v>Link (MFU1206.63CT-ND)</v>
      </c>
      <c r="P108" s="62" t="str">
        <f>_xlfn.CONCAT("https://www.digikey.ch/products/en?keywords=",Table1[[#This Row],[Digikey]])</f>
        <v>https://www.digikey.ch/products/en?keywords=MFU1206.63CT-ND</v>
      </c>
      <c r="Q108" s="57"/>
      <c r="R108" s="59"/>
      <c r="S108" s="61" t="str">
        <f>IF(Table1[[#This Row],[Farnell]]="","", HYPERLINK(Table1[[#This Row],[Destination - Farnell]],_xlfn.CONCAT("Link (",Table1[[#This Row],[Farnell]],")")))</f>
        <v/>
      </c>
      <c r="T108" s="62" t="str">
        <f>_xlfn.CONCAT("https://ch.farnell.com/fr-CH/",Table1[[#This Row],[Farnell]])</f>
        <v>https://ch.farnell.com/fr-CH/</v>
      </c>
      <c r="U108" s="57"/>
      <c r="V108" s="59"/>
      <c r="W108" s="61" t="str">
        <f>IF(Table1[[#This Row],[Distrelec]]="","", HYPERLINK(Table1[[#This Row],[Destination - Distrelec]],_xlfn.CONCAT("Link (",Table1[[#This Row],[Distrelec]],")")))</f>
        <v/>
      </c>
      <c r="X108" s="62" t="str">
        <f>_xlfn.CONCAT("https://www.distrelec.ch/search?q=",Table1[[#This Row],[Distrelec]])</f>
        <v>https://www.distrelec.ch/search?q=</v>
      </c>
      <c r="Y108" s="57"/>
      <c r="Z108" s="59"/>
      <c r="AA108" s="61" t="str">
        <f>IF(Table1[[#This Row],[Conrad]]="","", HYPERLINK(Table1[[#This Row],[Destination - Conrad]],_xlfn.CONCAT("Link (",Table1[[#This Row],[Conrad]],")")))</f>
        <v/>
      </c>
      <c r="AB108" s="62"/>
      <c r="AC108" s="57"/>
      <c r="AD108" s="59"/>
      <c r="AE108" s="61" t="str">
        <f>IF(Table1[[#This Row],[Mouser]]="","", HYPERLINK(Table1[[#This Row],[Destination - Mouser]],_xlfn.CONCAT("Link (",Table1[[#This Row],[Mouser]],")")))</f>
        <v/>
      </c>
      <c r="AF108" s="62" t="str">
        <f>_xlfn.CONCAT("https://www.mouser.ch/ProductDetail/",Table1[[#This Row],[Mouser]])</f>
        <v>https://www.mouser.ch/ProductDetail/</v>
      </c>
      <c r="AG108" s="57"/>
      <c r="AH108" s="59"/>
      <c r="AI108" s="61" t="str">
        <f>IF(Table1[[#This Row],[Bauhaus]]="","", HYPERLINK(Table1[[#This Row],[Destination - Bauhaus]],_xlfn.CONCAT("Link (",Table1[[#This Row],[Bauhaus]],")")))</f>
        <v/>
      </c>
      <c r="AJ108" s="62" t="str">
        <f>_xlfn.CONCAT("https://www.bauhaus.ch/fr/search?query=",Table1[[#This Row],[Bauhaus]])</f>
        <v>https://www.bauhaus.ch/fr/search?query=</v>
      </c>
      <c r="AK108" s="59"/>
      <c r="AL108" s="59"/>
      <c r="AM108" s="61" t="str">
        <f>IF(Table1[[#This Row],[BricoEtLoisirs]]="","", HYPERLINK(Table1[[#This Row],[Destination - BricoEtLoisirs]],_xlfn.CONCAT("Link (",Table1[[#This Row],[BricoEtLoisirs]],")")))</f>
        <v/>
      </c>
      <c r="AN108" s="62" t="str">
        <f>_xlfn.CONCAT("https://bricoetloisirs.ch/p/",Table1[[#This Row],[BricoEtLoisirs]])</f>
        <v>https://bricoetloisirs.ch/p/</v>
      </c>
      <c r="AO108" s="57"/>
      <c r="AP108" s="59"/>
      <c r="AQ108" s="61" t="str">
        <f>IF(Table1[[#This Row],[Aliexpress]]="","", HYPERLINK(Table1[[#This Row],[Destination - Aliexpress]],_xlfn.CONCAT("Link (",Table1[[#This Row],[Aliexpress]],")")))</f>
        <v/>
      </c>
      <c r="AR108" s="62" t="str">
        <f>_xlfn.CONCAT("https://www.aliexpress.com/item/",Table1[[#This Row],[Aliexpress]],".html")</f>
        <v>https://www.aliexpress.com/item/.html</v>
      </c>
      <c r="AS108" s="57"/>
      <c r="AT108" s="59"/>
      <c r="AU108" s="61" t="str">
        <f>IF(Table1[[#This Row],[Banggood]]="","", HYPERLINK(Table1[[#This Row],[Destination - Banggood]],_xlfn.CONCAT("Link (",Table1[[#This Row],[Banggood]],")")))</f>
        <v/>
      </c>
      <c r="AV108" s="62" t="str">
        <f>_xlfn.CONCAT("https://www.banggood.com/search/",Table1[[#This Row],[Banggood]],".html")</f>
        <v>https://www.banggood.com/search/.html</v>
      </c>
      <c r="AW108" s="59" t="str">
        <f>IF(Table1[[#This Row],[Other]]&lt;&gt;"","Other","")</f>
        <v/>
      </c>
      <c r="AX108" s="57"/>
      <c r="AY108" s="59"/>
      <c r="AZ108" s="61" t="str">
        <f>IF(Table1[[#This Row],[Other]]="","",IF(Table1[[#This Row],[Destination - Other]]="","",HYPERLINK(Table1[[#This Row],[Destination - Other]],_xlfn.CONCAT("Link ("&amp;Table1[[#This Row],[Other]]&amp;")"))))</f>
        <v/>
      </c>
      <c r="BA108" s="59"/>
      <c r="BB108" s="58" t="str">
        <f>IF(AND( Table1[[#This Row],[Auto Order]]=1,Table1[[#This Row],[Obsolete]]=""),IF(Table1[[#This Row],[In stock]]&lt;Table1[[#This Row],[Min in stock]],1,""),"")</f>
        <v/>
      </c>
      <c r="BC108" s="64"/>
      <c r="BD108" s="66" t="str">
        <f>IF(Table1[[#This Row],[Obsolete]],Table1[[#This Row],[Art. Number]],"")</f>
        <v/>
      </c>
    </row>
    <row r="109" spans="1:56" x14ac:dyDescent="0.25">
      <c r="A109" s="65" t="s">
        <v>11</v>
      </c>
      <c r="B109" s="57" t="s">
        <v>300</v>
      </c>
      <c r="C109" s="57" t="s">
        <v>2304</v>
      </c>
      <c r="D109" s="57" t="s">
        <v>2305</v>
      </c>
      <c r="E109" s="57" t="s">
        <v>731</v>
      </c>
      <c r="F109" s="58">
        <v>14</v>
      </c>
      <c r="G109" s="58">
        <v>5</v>
      </c>
      <c r="H109" s="58">
        <v>1</v>
      </c>
      <c r="I10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2461217</v>
      </c>
      <c r="J10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0.20200000000000001</v>
      </c>
      <c r="K10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0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(2461217)</v>
      </c>
      <c r="M109" s="57"/>
      <c r="N109" s="59"/>
      <c r="O109" s="61" t="str">
        <f>IF(Table1[[#This Row],[Digikey]]="","", HYPERLINK(Table1[[#This Row],[Destination - Digikey]],_xlfn.CONCAT("Link (",Table1[[#This Row],[Digikey]],")")))</f>
        <v/>
      </c>
      <c r="P109" s="62" t="str">
        <f>_xlfn.CONCAT("https://www.digikey.ch/products/en?keywords=",Table1[[#This Row],[Digikey]])</f>
        <v>https://www.digikey.ch/products/en?keywords=</v>
      </c>
      <c r="Q109" s="57" t="s">
        <v>2437</v>
      </c>
      <c r="R109" s="59">
        <v>0.20200000000000001</v>
      </c>
      <c r="S109" s="61" t="str">
        <f>IF(Table1[[#This Row],[Farnell]]="","", HYPERLINK(Table1[[#This Row],[Destination - Farnell]],_xlfn.CONCAT("Link (",Table1[[#This Row],[Farnell]],")")))</f>
        <v>Link (2461217)</v>
      </c>
      <c r="T109" s="62" t="str">
        <f>_xlfn.CONCAT("https://ch.farnell.com/fr-CH/",Table1[[#This Row],[Farnell]])</f>
        <v>https://ch.farnell.com/fr-CH/2461217</v>
      </c>
      <c r="U109" s="57"/>
      <c r="V109" s="59"/>
      <c r="W109" s="61" t="str">
        <f>IF(Table1[[#This Row],[Distrelec]]="","", HYPERLINK(Table1[[#This Row],[Destination - Distrelec]],_xlfn.CONCAT("Link (",Table1[[#This Row],[Distrelec]],")")))</f>
        <v/>
      </c>
      <c r="X109" s="62" t="str">
        <f>_xlfn.CONCAT("https://www.distrelec.ch/search?q=",Table1[[#This Row],[Distrelec]])</f>
        <v>https://www.distrelec.ch/search?q=</v>
      </c>
      <c r="Y109" s="57"/>
      <c r="Z109" s="59"/>
      <c r="AA109" s="61" t="str">
        <f>IF(Table1[[#This Row],[Conrad]]="","", HYPERLINK(Table1[[#This Row],[Destination - Conrad]],_xlfn.CONCAT("Link (",Table1[[#This Row],[Conrad]],")")))</f>
        <v/>
      </c>
      <c r="AB109" s="62"/>
      <c r="AC109" s="57"/>
      <c r="AD109" s="59"/>
      <c r="AE109" s="61" t="str">
        <f>IF(Table1[[#This Row],[Mouser]]="","", HYPERLINK(Table1[[#This Row],[Destination - Mouser]],_xlfn.CONCAT("Link (",Table1[[#This Row],[Mouser]],")")))</f>
        <v/>
      </c>
      <c r="AF109" s="62" t="str">
        <f>_xlfn.CONCAT("https://www.mouser.ch/ProductDetail/",Table1[[#This Row],[Mouser]])</f>
        <v>https://www.mouser.ch/ProductDetail/</v>
      </c>
      <c r="AG109" s="57"/>
      <c r="AH109" s="59"/>
      <c r="AI109" s="61" t="str">
        <f>IF(Table1[[#This Row],[Bauhaus]]="","", HYPERLINK(Table1[[#This Row],[Destination - Bauhaus]],_xlfn.CONCAT("Link (",Table1[[#This Row],[Bauhaus]],")")))</f>
        <v/>
      </c>
      <c r="AJ109" s="62" t="str">
        <f>_xlfn.CONCAT("https://www.bauhaus.ch/fr/search?query=",Table1[[#This Row],[Bauhaus]])</f>
        <v>https://www.bauhaus.ch/fr/search?query=</v>
      </c>
      <c r="AK109" s="59"/>
      <c r="AL109" s="59"/>
      <c r="AM109" s="61" t="str">
        <f>IF(Table1[[#This Row],[BricoEtLoisirs]]="","", HYPERLINK(Table1[[#This Row],[Destination - BricoEtLoisirs]],_xlfn.CONCAT("Link (",Table1[[#This Row],[BricoEtLoisirs]],")")))</f>
        <v/>
      </c>
      <c r="AN109" s="62" t="str">
        <f>_xlfn.CONCAT("https://bricoetloisirs.ch/p/",Table1[[#This Row],[BricoEtLoisirs]])</f>
        <v>https://bricoetloisirs.ch/p/</v>
      </c>
      <c r="AO109" s="57"/>
      <c r="AP109" s="59"/>
      <c r="AQ109" s="61" t="str">
        <f>IF(Table1[[#This Row],[Aliexpress]]="","", HYPERLINK(Table1[[#This Row],[Destination - Aliexpress]],_xlfn.CONCAT("Link (",Table1[[#This Row],[Aliexpress]],")")))</f>
        <v/>
      </c>
      <c r="AR109" s="62" t="str">
        <f>_xlfn.CONCAT("https://www.aliexpress.com/item/",Table1[[#This Row],[Aliexpress]],".html")</f>
        <v>https://www.aliexpress.com/item/.html</v>
      </c>
      <c r="AS109" s="57"/>
      <c r="AT109" s="59"/>
      <c r="AU109" s="61" t="str">
        <f>IF(Table1[[#This Row],[Banggood]]="","", HYPERLINK(Table1[[#This Row],[Destination - Banggood]],_xlfn.CONCAT("Link (",Table1[[#This Row],[Banggood]],")")))</f>
        <v/>
      </c>
      <c r="AV109" s="62" t="str">
        <f>_xlfn.CONCAT("https://www.banggood.com/search/",Table1[[#This Row],[Banggood]],".html")</f>
        <v>https://www.banggood.com/search/.html</v>
      </c>
      <c r="AW109" s="59" t="str">
        <f>IF(Table1[[#This Row],[Other]]&lt;&gt;"","Other","")</f>
        <v/>
      </c>
      <c r="AX109" s="57"/>
      <c r="AY109" s="59"/>
      <c r="AZ109" s="61" t="str">
        <f>IF(Table1[[#This Row],[Other]]="","",IF(Table1[[#This Row],[Destination - Other]]="","",HYPERLINK(Table1[[#This Row],[Destination - Other]],_xlfn.CONCAT("Link ("&amp;Table1[[#This Row],[Other]]&amp;")"))))</f>
        <v/>
      </c>
      <c r="BA109" s="59"/>
      <c r="BB109" s="58" t="str">
        <f>IF(AND( Table1[[#This Row],[Auto Order]]=1,Table1[[#This Row],[Obsolete]]=""),IF(Table1[[#This Row],[In stock]]&lt;Table1[[#This Row],[Min in stock]],1,""),"")</f>
        <v/>
      </c>
      <c r="BC109" s="64"/>
      <c r="BD109" s="66" t="str">
        <f>IF(Table1[[#This Row],[Obsolete]],Table1[[#This Row],[Art. Number]],"")</f>
        <v/>
      </c>
    </row>
    <row r="110" spans="1:56" x14ac:dyDescent="0.25">
      <c r="A110" s="65" t="s">
        <v>2307</v>
      </c>
      <c r="B110" s="57" t="s">
        <v>2308</v>
      </c>
      <c r="C110" s="57" t="s">
        <v>2309</v>
      </c>
      <c r="D110" s="57" t="s">
        <v>2310</v>
      </c>
      <c r="E110" s="57" t="s">
        <v>731</v>
      </c>
      <c r="F110" s="58">
        <v>0.75</v>
      </c>
      <c r="G110" s="58">
        <v>0.25</v>
      </c>
      <c r="H110" s="58">
        <v>1</v>
      </c>
      <c r="I11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133-18-751</v>
      </c>
      <c r="J11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5.39</v>
      </c>
      <c r="K11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11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(133-18-751)</v>
      </c>
      <c r="M110" s="57"/>
      <c r="N110" s="59"/>
      <c r="O110" s="61" t="str">
        <f>IF(Table1[[#This Row],[Digikey]]="","", HYPERLINK(Table1[[#This Row],[Destination - Digikey]],_xlfn.CONCAT("Link (",Table1[[#This Row],[Digikey]],")")))</f>
        <v/>
      </c>
      <c r="P110" s="62" t="str">
        <f>_xlfn.CONCAT("https://www.digikey.ch/products/en?keywords=",Table1[[#This Row],[Digikey]])</f>
        <v>https://www.digikey.ch/products/en?keywords=</v>
      </c>
      <c r="Q110" s="57"/>
      <c r="R110" s="59"/>
      <c r="S110" s="61" t="str">
        <f>IF(Table1[[#This Row],[Farnell]]="","", HYPERLINK(Table1[[#This Row],[Destination - Farnell]],_xlfn.CONCAT("Link (",Table1[[#This Row],[Farnell]],")")))</f>
        <v/>
      </c>
      <c r="T110" s="62" t="str">
        <f>_xlfn.CONCAT("https://ch.farnell.com/fr-CH/",Table1[[#This Row],[Farnell]])</f>
        <v>https://ch.farnell.com/fr-CH/</v>
      </c>
      <c r="U110" s="57" t="s">
        <v>2311</v>
      </c>
      <c r="V110" s="59">
        <v>5.39</v>
      </c>
      <c r="W110" s="61" t="str">
        <f>IF(Table1[[#This Row],[Distrelec]]="","", HYPERLINK(Table1[[#This Row],[Destination - Distrelec]],_xlfn.CONCAT("Link (",Table1[[#This Row],[Distrelec]],")")))</f>
        <v>Link (133-18-751)</v>
      </c>
      <c r="X110" s="62" t="str">
        <f>_xlfn.CONCAT("https://www.distrelec.ch/search?q=",Table1[[#This Row],[Distrelec]])</f>
        <v>https://www.distrelec.ch/search?q=133-18-751</v>
      </c>
      <c r="Y110" s="57"/>
      <c r="Z110" s="59"/>
      <c r="AA110" s="61" t="str">
        <f>IF(Table1[[#This Row],[Conrad]]="","", HYPERLINK(Table1[[#This Row],[Destination - Conrad]],_xlfn.CONCAT("Link (",Table1[[#This Row],[Conrad]],")")))</f>
        <v/>
      </c>
      <c r="AB110" s="62"/>
      <c r="AC110" s="57"/>
      <c r="AD110" s="59"/>
      <c r="AE110" s="61" t="str">
        <f>IF(Table1[[#This Row],[Mouser]]="","", HYPERLINK(Table1[[#This Row],[Destination - Mouser]],_xlfn.CONCAT("Link (",Table1[[#This Row],[Mouser]],")")))</f>
        <v/>
      </c>
      <c r="AF110" s="62" t="str">
        <f>_xlfn.CONCAT("https://www.mouser.ch/ProductDetail/",Table1[[#This Row],[Mouser]])</f>
        <v>https://www.mouser.ch/ProductDetail/</v>
      </c>
      <c r="AG110" s="57"/>
      <c r="AH110" s="59"/>
      <c r="AI110" s="61" t="str">
        <f>IF(Table1[[#This Row],[Bauhaus]]="","", HYPERLINK(Table1[[#This Row],[Destination - Bauhaus]],_xlfn.CONCAT("Link (",Table1[[#This Row],[Bauhaus]],")")))</f>
        <v/>
      </c>
      <c r="AJ110" s="62" t="str">
        <f>_xlfn.CONCAT("https://www.bauhaus.ch/fr/search?query=",Table1[[#This Row],[Bauhaus]])</f>
        <v>https://www.bauhaus.ch/fr/search?query=</v>
      </c>
      <c r="AK110" s="59"/>
      <c r="AL110" s="59"/>
      <c r="AM110" s="61" t="str">
        <f>IF(Table1[[#This Row],[BricoEtLoisirs]]="","", HYPERLINK(Table1[[#This Row],[Destination - BricoEtLoisirs]],_xlfn.CONCAT("Link (",Table1[[#This Row],[BricoEtLoisirs]],")")))</f>
        <v/>
      </c>
      <c r="AN110" s="62" t="str">
        <f>_xlfn.CONCAT("https://bricoetloisirs.ch/p/",Table1[[#This Row],[BricoEtLoisirs]])</f>
        <v>https://bricoetloisirs.ch/p/</v>
      </c>
      <c r="AO110" s="57"/>
      <c r="AP110" s="59"/>
      <c r="AQ110" s="61" t="str">
        <f>IF(Table1[[#This Row],[Aliexpress]]="","", HYPERLINK(Table1[[#This Row],[Destination - Aliexpress]],_xlfn.CONCAT("Link (",Table1[[#This Row],[Aliexpress]],")")))</f>
        <v/>
      </c>
      <c r="AR110" s="62" t="str">
        <f>_xlfn.CONCAT("https://www.aliexpress.com/item/",Table1[[#This Row],[Aliexpress]],".html")</f>
        <v>https://www.aliexpress.com/item/.html</v>
      </c>
      <c r="AS110" s="57"/>
      <c r="AT110" s="59"/>
      <c r="AU110" s="61" t="str">
        <f>IF(Table1[[#This Row],[Banggood]]="","", HYPERLINK(Table1[[#This Row],[Destination - Banggood]],_xlfn.CONCAT("Link (",Table1[[#This Row],[Banggood]],")")))</f>
        <v/>
      </c>
      <c r="AV110" s="62" t="str">
        <f>_xlfn.CONCAT("https://www.banggood.com/search/",Table1[[#This Row],[Banggood]],".html")</f>
        <v>https://www.banggood.com/search/.html</v>
      </c>
      <c r="AW110" s="59" t="str">
        <f>IF(Table1[[#This Row],[Other]]&lt;&gt;"","Other","")</f>
        <v/>
      </c>
      <c r="AX110" s="57"/>
      <c r="AY110" s="59"/>
      <c r="AZ110" s="61" t="str">
        <f>IF(Table1[[#This Row],[Other]]="","",IF(Table1[[#This Row],[Destination - Other]]="","",HYPERLINK(Table1[[#This Row],[Destination - Other]],_xlfn.CONCAT("Link ("&amp;Table1[[#This Row],[Other]]&amp;")"))))</f>
        <v/>
      </c>
      <c r="BA110" s="59"/>
      <c r="BB110" s="58" t="str">
        <f>IF(AND( Table1[[#This Row],[Auto Order]]=1,Table1[[#This Row],[Obsolete]]=""),IF(Table1[[#This Row],[In stock]]&lt;Table1[[#This Row],[Min in stock]],1,""),"")</f>
        <v/>
      </c>
      <c r="BC110" s="64"/>
      <c r="BD110" s="66" t="str">
        <f>IF(Table1[[#This Row],[Obsolete]],Table1[[#This Row],[Art. Number]],"")</f>
        <v/>
      </c>
    </row>
    <row r="111" spans="1:56" x14ac:dyDescent="0.25">
      <c r="A111" s="65" t="s">
        <v>771</v>
      </c>
      <c r="B111" s="57" t="s">
        <v>772</v>
      </c>
      <c r="C111" s="57" t="s">
        <v>97</v>
      </c>
      <c r="D111" s="57" t="s">
        <v>773</v>
      </c>
      <c r="E111" s="57" t="s">
        <v>774</v>
      </c>
      <c r="F111" s="58">
        <v>2</v>
      </c>
      <c r="G111" s="58"/>
      <c r="H111" s="58"/>
      <c r="I11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596-1023-5-ND</v>
      </c>
      <c r="J11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1.34</v>
      </c>
      <c r="K11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(596-1023-5-ND)</v>
      </c>
      <c r="M111" s="57" t="s">
        <v>775</v>
      </c>
      <c r="N111" s="59">
        <v>1.34</v>
      </c>
      <c r="O111" s="61" t="str">
        <f>IF(Table1[[#This Row],[Digikey]]="","", HYPERLINK(Table1[[#This Row],[Destination - Digikey]],_xlfn.CONCAT("Link (",Table1[[#This Row],[Digikey]],")")))</f>
        <v>Link (596-1023-5-ND)</v>
      </c>
      <c r="P111" s="62" t="str">
        <f>_xlfn.CONCAT("https://www.digikey.ch/products/en?keywords=",Table1[[#This Row],[Digikey]])</f>
        <v>https://www.digikey.ch/products/en?keywords=596-1023-5-ND</v>
      </c>
      <c r="Q111" s="57"/>
      <c r="R111" s="59"/>
      <c r="S111" s="61" t="str">
        <f>IF(Table1[[#This Row],[Farnell]]="","", HYPERLINK(Table1[[#This Row],[Destination - Farnell]],_xlfn.CONCAT("Link (",Table1[[#This Row],[Farnell]],")")))</f>
        <v/>
      </c>
      <c r="T111" s="62" t="str">
        <f>_xlfn.CONCAT("https://ch.farnell.com/fr-CH/",Table1[[#This Row],[Farnell]])</f>
        <v>https://ch.farnell.com/fr-CH/</v>
      </c>
      <c r="U111" s="57"/>
      <c r="V111" s="59"/>
      <c r="W111" s="61" t="str">
        <f>IF(Table1[[#This Row],[Distrelec]]="","", HYPERLINK(Table1[[#This Row],[Destination - Distrelec]],_xlfn.CONCAT("Link (",Table1[[#This Row],[Distrelec]],")")))</f>
        <v/>
      </c>
      <c r="X111" s="62" t="str">
        <f>_xlfn.CONCAT("https://www.distrelec.ch/search?q=",Table1[[#This Row],[Distrelec]])</f>
        <v>https://www.distrelec.ch/search?q=</v>
      </c>
      <c r="Y111" s="57"/>
      <c r="Z111" s="59"/>
      <c r="AA111" s="61" t="str">
        <f>IF(Table1[[#This Row],[Conrad]]="","", HYPERLINK(Table1[[#This Row],[Destination - Conrad]],_xlfn.CONCAT("Link (",Table1[[#This Row],[Conrad]],")")))</f>
        <v/>
      </c>
      <c r="AB111" s="62"/>
      <c r="AC111" s="57"/>
      <c r="AD111" s="59"/>
      <c r="AE111" s="61" t="str">
        <f>IF(Table1[[#This Row],[Mouser]]="","", HYPERLINK(Table1[[#This Row],[Destination - Mouser]],_xlfn.CONCAT("Link (",Table1[[#This Row],[Mouser]],")")))</f>
        <v/>
      </c>
      <c r="AF111" s="62" t="str">
        <f>_xlfn.CONCAT("https://www.mouser.ch/ProductDetail/",Table1[[#This Row],[Mouser]])</f>
        <v>https://www.mouser.ch/ProductDetail/</v>
      </c>
      <c r="AG111" s="57"/>
      <c r="AH111" s="59"/>
      <c r="AI111" s="61" t="str">
        <f>IF(Table1[[#This Row],[Bauhaus]]="","", HYPERLINK(Table1[[#This Row],[Destination - Bauhaus]],_xlfn.CONCAT("Link (",Table1[[#This Row],[Bauhaus]],")")))</f>
        <v/>
      </c>
      <c r="AJ111" s="62" t="str">
        <f>_xlfn.CONCAT("https://www.bauhaus.ch/fr/search?query=",Table1[[#This Row],[Bauhaus]])</f>
        <v>https://www.bauhaus.ch/fr/search?query=</v>
      </c>
      <c r="AK111" s="59"/>
      <c r="AL111" s="59"/>
      <c r="AM111" s="61" t="str">
        <f>IF(Table1[[#This Row],[BricoEtLoisirs]]="","", HYPERLINK(Table1[[#This Row],[Destination - BricoEtLoisirs]],_xlfn.CONCAT("Link (",Table1[[#This Row],[BricoEtLoisirs]],")")))</f>
        <v/>
      </c>
      <c r="AN111" s="62" t="str">
        <f>_xlfn.CONCAT("https://bricoetloisirs.ch/p/",Table1[[#This Row],[BricoEtLoisirs]])</f>
        <v>https://bricoetloisirs.ch/p/</v>
      </c>
      <c r="AO111" s="57"/>
      <c r="AP111" s="59"/>
      <c r="AQ111" s="61" t="str">
        <f>IF(Table1[[#This Row],[Aliexpress]]="","", HYPERLINK(Table1[[#This Row],[Destination - Aliexpress]],_xlfn.CONCAT("Link (",Table1[[#This Row],[Aliexpress]],")")))</f>
        <v/>
      </c>
      <c r="AR111" s="62" t="str">
        <f>_xlfn.CONCAT("https://www.aliexpress.com/item/",Table1[[#This Row],[Aliexpress]],".html")</f>
        <v>https://www.aliexpress.com/item/.html</v>
      </c>
      <c r="AS111" s="57"/>
      <c r="AT111" s="59"/>
      <c r="AU111" s="61" t="str">
        <f>IF(Table1[[#This Row],[Banggood]]="","", HYPERLINK(Table1[[#This Row],[Destination - Banggood]],_xlfn.CONCAT("Link (",Table1[[#This Row],[Banggood]],")")))</f>
        <v/>
      </c>
      <c r="AV111" s="62" t="str">
        <f>_xlfn.CONCAT("https://www.banggood.com/search/",Table1[[#This Row],[Banggood]],".html")</f>
        <v>https://www.banggood.com/search/.html</v>
      </c>
      <c r="AW111" s="59" t="str">
        <f>IF(Table1[[#This Row],[Other]]&lt;&gt;"","Other","")</f>
        <v/>
      </c>
      <c r="AX111" s="57"/>
      <c r="AY111" s="59"/>
      <c r="AZ111" s="61" t="str">
        <f>IF(Table1[[#This Row],[Other]]="","",IF(Table1[[#This Row],[Destination - Other]]="","",HYPERLINK(Table1[[#This Row],[Destination - Other]],_xlfn.CONCAT("Link ("&amp;Table1[[#This Row],[Other]]&amp;")"))))</f>
        <v/>
      </c>
      <c r="BA111" s="59"/>
      <c r="BB111" s="58" t="str">
        <f>IF(AND( Table1[[#This Row],[Auto Order]]=1,Table1[[#This Row],[Obsolete]]=""),IF(Table1[[#This Row],[In stock]]&lt;Table1[[#This Row],[Min in stock]],1,""),"")</f>
        <v/>
      </c>
      <c r="BC111" s="64"/>
      <c r="BD111" s="66" t="str">
        <f>IF(Table1[[#This Row],[Obsolete]],Table1[[#This Row],[Art. Number]],"")</f>
        <v/>
      </c>
    </row>
    <row r="112" spans="1:56" x14ac:dyDescent="0.25">
      <c r="A112" s="65" t="s">
        <v>15</v>
      </c>
      <c r="B112" s="57" t="s">
        <v>319</v>
      </c>
      <c r="C112" s="57" t="s">
        <v>779</v>
      </c>
      <c r="D112" s="57" t="s">
        <v>780</v>
      </c>
      <c r="E112" s="57" t="s">
        <v>774</v>
      </c>
      <c r="F112" s="58">
        <v>6</v>
      </c>
      <c r="G112" s="58">
        <v>5</v>
      </c>
      <c r="H112" s="58">
        <v>1</v>
      </c>
      <c r="I11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MCP121T-315E/TTCT-ND</v>
      </c>
      <c r="J11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0.52</v>
      </c>
      <c r="K11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(MCP121T-315E/TTCT-ND)</v>
      </c>
      <c r="M112" s="57" t="s">
        <v>781</v>
      </c>
      <c r="N112" s="59">
        <v>0.52</v>
      </c>
      <c r="O112" s="61" t="str">
        <f>IF(Table1[[#This Row],[Digikey]]="","", HYPERLINK(Table1[[#This Row],[Destination - Digikey]],_xlfn.CONCAT("Link (",Table1[[#This Row],[Digikey]],")")))</f>
        <v>Link (MCP121T-315E/TTCT-ND)</v>
      </c>
      <c r="P112" s="62" t="str">
        <f>_xlfn.CONCAT("https://www.digikey.ch/products/en?keywords=",Table1[[#This Row],[Digikey]])</f>
        <v>https://www.digikey.ch/products/en?keywords=MCP121T-315E/TTCT-ND</v>
      </c>
      <c r="Q112" s="57"/>
      <c r="R112" s="59"/>
      <c r="S112" s="61" t="str">
        <f>IF(Table1[[#This Row],[Farnell]]="","", HYPERLINK(Table1[[#This Row],[Destination - Farnell]],_xlfn.CONCAT("Link (",Table1[[#This Row],[Farnell]],")")))</f>
        <v/>
      </c>
      <c r="T112" s="62" t="str">
        <f>_xlfn.CONCAT("https://ch.farnell.com/fr-CH/",Table1[[#This Row],[Farnell]])</f>
        <v>https://ch.farnell.com/fr-CH/</v>
      </c>
      <c r="U112" s="57"/>
      <c r="V112" s="59"/>
      <c r="W112" s="61" t="str">
        <f>IF(Table1[[#This Row],[Distrelec]]="","", HYPERLINK(Table1[[#This Row],[Destination - Distrelec]],_xlfn.CONCAT("Link (",Table1[[#This Row],[Distrelec]],")")))</f>
        <v/>
      </c>
      <c r="X112" s="62" t="str">
        <f>_xlfn.CONCAT("https://www.distrelec.ch/search?q=",Table1[[#This Row],[Distrelec]])</f>
        <v>https://www.distrelec.ch/search?q=</v>
      </c>
      <c r="Y112" s="57"/>
      <c r="Z112" s="59"/>
      <c r="AA112" s="61" t="str">
        <f>IF(Table1[[#This Row],[Conrad]]="","", HYPERLINK(Table1[[#This Row],[Destination - Conrad]],_xlfn.CONCAT("Link (",Table1[[#This Row],[Conrad]],")")))</f>
        <v/>
      </c>
      <c r="AB112" s="62"/>
      <c r="AC112" s="57"/>
      <c r="AD112" s="59"/>
      <c r="AE112" s="61" t="str">
        <f>IF(Table1[[#This Row],[Mouser]]="","", HYPERLINK(Table1[[#This Row],[Destination - Mouser]],_xlfn.CONCAT("Link (",Table1[[#This Row],[Mouser]],")")))</f>
        <v/>
      </c>
      <c r="AF112" s="62" t="str">
        <f>_xlfn.CONCAT("https://www.mouser.ch/ProductDetail/",Table1[[#This Row],[Mouser]])</f>
        <v>https://www.mouser.ch/ProductDetail/</v>
      </c>
      <c r="AG112" s="57"/>
      <c r="AH112" s="59"/>
      <c r="AI112" s="61" t="str">
        <f>IF(Table1[[#This Row],[Bauhaus]]="","", HYPERLINK(Table1[[#This Row],[Destination - Bauhaus]],_xlfn.CONCAT("Link (",Table1[[#This Row],[Bauhaus]],")")))</f>
        <v/>
      </c>
      <c r="AJ112" s="62" t="str">
        <f>_xlfn.CONCAT("https://www.bauhaus.ch/fr/search?query=",Table1[[#This Row],[Bauhaus]])</f>
        <v>https://www.bauhaus.ch/fr/search?query=</v>
      </c>
      <c r="AK112" s="59"/>
      <c r="AL112" s="59"/>
      <c r="AM112" s="61" t="str">
        <f>IF(Table1[[#This Row],[BricoEtLoisirs]]="","", HYPERLINK(Table1[[#This Row],[Destination - BricoEtLoisirs]],_xlfn.CONCAT("Link (",Table1[[#This Row],[BricoEtLoisirs]],")")))</f>
        <v/>
      </c>
      <c r="AN112" s="62" t="str">
        <f>_xlfn.CONCAT("https://bricoetloisirs.ch/p/",Table1[[#This Row],[BricoEtLoisirs]])</f>
        <v>https://bricoetloisirs.ch/p/</v>
      </c>
      <c r="AO112" s="57"/>
      <c r="AP112" s="59"/>
      <c r="AQ112" s="61" t="str">
        <f>IF(Table1[[#This Row],[Aliexpress]]="","", HYPERLINK(Table1[[#This Row],[Destination - Aliexpress]],_xlfn.CONCAT("Link (",Table1[[#This Row],[Aliexpress]],")")))</f>
        <v/>
      </c>
      <c r="AR112" s="62" t="str">
        <f>_xlfn.CONCAT("https://www.aliexpress.com/item/",Table1[[#This Row],[Aliexpress]],".html")</f>
        <v>https://www.aliexpress.com/item/.html</v>
      </c>
      <c r="AS112" s="57"/>
      <c r="AT112" s="59"/>
      <c r="AU112" s="61" t="str">
        <f>IF(Table1[[#This Row],[Banggood]]="","", HYPERLINK(Table1[[#This Row],[Destination - Banggood]],_xlfn.CONCAT("Link (",Table1[[#This Row],[Banggood]],")")))</f>
        <v/>
      </c>
      <c r="AV112" s="62" t="str">
        <f>_xlfn.CONCAT("https://www.banggood.com/search/",Table1[[#This Row],[Banggood]],".html")</f>
        <v>https://www.banggood.com/search/.html</v>
      </c>
      <c r="AW112" s="59" t="str">
        <f>IF(Table1[[#This Row],[Other]]&lt;&gt;"","Other","")</f>
        <v/>
      </c>
      <c r="AX112" s="57"/>
      <c r="AY112" s="59"/>
      <c r="AZ112" s="61" t="str">
        <f>IF(Table1[[#This Row],[Other]]="","",IF(Table1[[#This Row],[Destination - Other]]="","",HYPERLINK(Table1[[#This Row],[Destination - Other]],_xlfn.CONCAT("Link ("&amp;Table1[[#This Row],[Other]]&amp;")"))))</f>
        <v/>
      </c>
      <c r="BA112" s="59"/>
      <c r="BB112" s="58" t="str">
        <f>IF(AND( Table1[[#This Row],[Auto Order]]=1,Table1[[#This Row],[Obsolete]]=""),IF(Table1[[#This Row],[In stock]]&lt;Table1[[#This Row],[Min in stock]],1,""),"")</f>
        <v/>
      </c>
      <c r="BC112" s="64"/>
      <c r="BD112" s="66" t="str">
        <f>IF(Table1[[#This Row],[Obsolete]],Table1[[#This Row],[Art. Number]],"")</f>
        <v/>
      </c>
    </row>
    <row r="113" spans="1:56" x14ac:dyDescent="0.25">
      <c r="A113" s="65" t="s">
        <v>241</v>
      </c>
      <c r="B113" s="57" t="s">
        <v>375</v>
      </c>
      <c r="C113" s="57" t="s">
        <v>784</v>
      </c>
      <c r="D113" s="57" t="s">
        <v>785</v>
      </c>
      <c r="E113" s="57" t="s">
        <v>774</v>
      </c>
      <c r="F113" s="58">
        <v>2</v>
      </c>
      <c r="G113" s="58">
        <v>2</v>
      </c>
      <c r="H113" s="58">
        <v>1</v>
      </c>
      <c r="I11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MCP2221AT-I/STCT-ND</v>
      </c>
      <c r="J11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2.16</v>
      </c>
      <c r="K11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(MCP2221AT-I/STCT-ND)</v>
      </c>
      <c r="M113" s="57" t="s">
        <v>786</v>
      </c>
      <c r="N113" s="59">
        <v>2.16</v>
      </c>
      <c r="O113" s="61" t="str">
        <f>IF(Table1[[#This Row],[Digikey]]="","", HYPERLINK(Table1[[#This Row],[Destination - Digikey]],_xlfn.CONCAT("Link (",Table1[[#This Row],[Digikey]],")")))</f>
        <v>Link (MCP2221AT-I/STCT-ND)</v>
      </c>
      <c r="P113" s="62" t="str">
        <f>_xlfn.CONCAT("https://www.digikey.ch/products/en?keywords=",Table1[[#This Row],[Digikey]])</f>
        <v>https://www.digikey.ch/products/en?keywords=MCP2221AT-I/STCT-ND</v>
      </c>
      <c r="Q113" s="57"/>
      <c r="R113" s="59"/>
      <c r="S113" s="61" t="str">
        <f>IF(Table1[[#This Row],[Farnell]]="","", HYPERLINK(Table1[[#This Row],[Destination - Farnell]],_xlfn.CONCAT("Link (",Table1[[#This Row],[Farnell]],")")))</f>
        <v/>
      </c>
      <c r="T113" s="62" t="str">
        <f>_xlfn.CONCAT("https://ch.farnell.com/fr-CH/",Table1[[#This Row],[Farnell]])</f>
        <v>https://ch.farnell.com/fr-CH/</v>
      </c>
      <c r="U113" s="57"/>
      <c r="V113" s="59"/>
      <c r="W113" s="61" t="str">
        <f>IF(Table1[[#This Row],[Distrelec]]="","", HYPERLINK(Table1[[#This Row],[Destination - Distrelec]],_xlfn.CONCAT("Link (",Table1[[#This Row],[Distrelec]],")")))</f>
        <v/>
      </c>
      <c r="X113" s="62" t="str">
        <f>_xlfn.CONCAT("https://www.distrelec.ch/search?q=",Table1[[#This Row],[Distrelec]])</f>
        <v>https://www.distrelec.ch/search?q=</v>
      </c>
      <c r="Y113" s="57"/>
      <c r="Z113" s="59"/>
      <c r="AA113" s="61" t="str">
        <f>IF(Table1[[#This Row],[Conrad]]="","", HYPERLINK(Table1[[#This Row],[Destination - Conrad]],_xlfn.CONCAT("Link (",Table1[[#This Row],[Conrad]],")")))</f>
        <v/>
      </c>
      <c r="AB113" s="62"/>
      <c r="AC113" s="57"/>
      <c r="AD113" s="59"/>
      <c r="AE113" s="61" t="str">
        <f>IF(Table1[[#This Row],[Mouser]]="","", HYPERLINK(Table1[[#This Row],[Destination - Mouser]],_xlfn.CONCAT("Link (",Table1[[#This Row],[Mouser]],")")))</f>
        <v/>
      </c>
      <c r="AF113" s="62" t="str">
        <f>_xlfn.CONCAT("https://www.mouser.ch/ProductDetail/",Table1[[#This Row],[Mouser]])</f>
        <v>https://www.mouser.ch/ProductDetail/</v>
      </c>
      <c r="AG113" s="57"/>
      <c r="AH113" s="59"/>
      <c r="AI113" s="61" t="str">
        <f>IF(Table1[[#This Row],[Bauhaus]]="","", HYPERLINK(Table1[[#This Row],[Destination - Bauhaus]],_xlfn.CONCAT("Link (",Table1[[#This Row],[Bauhaus]],")")))</f>
        <v/>
      </c>
      <c r="AJ113" s="62" t="str">
        <f>_xlfn.CONCAT("https://www.bauhaus.ch/fr/search?query=",Table1[[#This Row],[Bauhaus]])</f>
        <v>https://www.bauhaus.ch/fr/search?query=</v>
      </c>
      <c r="AK113" s="59"/>
      <c r="AL113" s="59"/>
      <c r="AM113" s="61" t="str">
        <f>IF(Table1[[#This Row],[BricoEtLoisirs]]="","", HYPERLINK(Table1[[#This Row],[Destination - BricoEtLoisirs]],_xlfn.CONCAT("Link (",Table1[[#This Row],[BricoEtLoisirs]],")")))</f>
        <v/>
      </c>
      <c r="AN113" s="62" t="str">
        <f>_xlfn.CONCAT("https://bricoetloisirs.ch/p/",Table1[[#This Row],[BricoEtLoisirs]])</f>
        <v>https://bricoetloisirs.ch/p/</v>
      </c>
      <c r="AO113" s="57"/>
      <c r="AP113" s="59"/>
      <c r="AQ113" s="61" t="str">
        <f>IF(Table1[[#This Row],[Aliexpress]]="","", HYPERLINK(Table1[[#This Row],[Destination - Aliexpress]],_xlfn.CONCAT("Link (",Table1[[#This Row],[Aliexpress]],")")))</f>
        <v/>
      </c>
      <c r="AR113" s="62" t="str">
        <f>_xlfn.CONCAT("https://www.aliexpress.com/item/",Table1[[#This Row],[Aliexpress]],".html")</f>
        <v>https://www.aliexpress.com/item/.html</v>
      </c>
      <c r="AS113" s="57"/>
      <c r="AT113" s="59"/>
      <c r="AU113" s="61" t="str">
        <f>IF(Table1[[#This Row],[Banggood]]="","", HYPERLINK(Table1[[#This Row],[Destination - Banggood]],_xlfn.CONCAT("Link (",Table1[[#This Row],[Banggood]],")")))</f>
        <v/>
      </c>
      <c r="AV113" s="62" t="str">
        <f>_xlfn.CONCAT("https://www.banggood.com/search/",Table1[[#This Row],[Banggood]],".html")</f>
        <v>https://www.banggood.com/search/.html</v>
      </c>
      <c r="AW113" s="59" t="str">
        <f>IF(Table1[[#This Row],[Other]]&lt;&gt;"","Other","")</f>
        <v/>
      </c>
      <c r="AX113" s="57"/>
      <c r="AY113" s="59"/>
      <c r="AZ113" s="61" t="str">
        <f>IF(Table1[[#This Row],[Other]]="","",IF(Table1[[#This Row],[Destination - Other]]="","",HYPERLINK(Table1[[#This Row],[Destination - Other]],_xlfn.CONCAT("Link ("&amp;Table1[[#This Row],[Other]]&amp;")"))))</f>
        <v/>
      </c>
      <c r="BA113" s="59"/>
      <c r="BB113" s="58" t="str">
        <f>IF(AND( Table1[[#This Row],[Auto Order]]=1,Table1[[#This Row],[Obsolete]]=""),IF(Table1[[#This Row],[In stock]]&lt;Table1[[#This Row],[Min in stock]],1,""),"")</f>
        <v/>
      </c>
      <c r="BC113" s="64"/>
      <c r="BD113" s="66" t="str">
        <f>IF(Table1[[#This Row],[Obsolete]],Table1[[#This Row],[Art. Number]],"")</f>
        <v/>
      </c>
    </row>
    <row r="114" spans="1:56" x14ac:dyDescent="0.25">
      <c r="A114" s="65" t="s">
        <v>14</v>
      </c>
      <c r="B114" s="57" t="s">
        <v>319</v>
      </c>
      <c r="C114" s="57" t="s">
        <v>788</v>
      </c>
      <c r="D114" s="57" t="s">
        <v>789</v>
      </c>
      <c r="E114" s="57" t="s">
        <v>774</v>
      </c>
      <c r="F114" s="58">
        <v>6</v>
      </c>
      <c r="G114" s="58">
        <v>1</v>
      </c>
      <c r="H114" s="58">
        <v>1</v>
      </c>
      <c r="I11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1332159</v>
      </c>
      <c r="J11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0.57499999999999996</v>
      </c>
      <c r="K11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1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(1332159)</v>
      </c>
      <c r="M114" s="57"/>
      <c r="N114" s="59"/>
      <c r="O114" s="61" t="str">
        <f>IF(Table1[[#This Row],[Digikey]]="","", HYPERLINK(Table1[[#This Row],[Destination - Digikey]],_xlfn.CONCAT("Link (",Table1[[#This Row],[Digikey]],")")))</f>
        <v/>
      </c>
      <c r="P114" s="62" t="str">
        <f>_xlfn.CONCAT("https://www.digikey.ch/products/en?keywords=",Table1[[#This Row],[Digikey]])</f>
        <v>https://www.digikey.ch/products/en?keywords=</v>
      </c>
      <c r="Q114" s="57" t="s">
        <v>2403</v>
      </c>
      <c r="R114" s="59">
        <v>0.57499999999999996</v>
      </c>
      <c r="S114" s="61" t="str">
        <f>IF(Table1[[#This Row],[Farnell]]="","", HYPERLINK(Table1[[#This Row],[Destination - Farnell]],_xlfn.CONCAT("Link (",Table1[[#This Row],[Farnell]],")")))</f>
        <v>Link (1332159)</v>
      </c>
      <c r="T114" s="62" t="str">
        <f>_xlfn.CONCAT("https://ch.farnell.com/fr-CH/",Table1[[#This Row],[Farnell]])</f>
        <v>https://ch.farnell.com/fr-CH/1332159</v>
      </c>
      <c r="U114" s="57"/>
      <c r="V114" s="59"/>
      <c r="W114" s="61" t="str">
        <f>IF(Table1[[#This Row],[Distrelec]]="","", HYPERLINK(Table1[[#This Row],[Destination - Distrelec]],_xlfn.CONCAT("Link (",Table1[[#This Row],[Distrelec]],")")))</f>
        <v/>
      </c>
      <c r="X114" s="62" t="str">
        <f>_xlfn.CONCAT("https://www.distrelec.ch/search?q=",Table1[[#This Row],[Distrelec]])</f>
        <v>https://www.distrelec.ch/search?q=</v>
      </c>
      <c r="Y114" s="57"/>
      <c r="Z114" s="59"/>
      <c r="AA114" s="61" t="str">
        <f>IF(Table1[[#This Row],[Conrad]]="","", HYPERLINK(Table1[[#This Row],[Destination - Conrad]],_xlfn.CONCAT("Link (",Table1[[#This Row],[Conrad]],")")))</f>
        <v/>
      </c>
      <c r="AB114" s="62"/>
      <c r="AC114" s="57"/>
      <c r="AD114" s="59"/>
      <c r="AE114" s="61" t="str">
        <f>IF(Table1[[#This Row],[Mouser]]="","", HYPERLINK(Table1[[#This Row],[Destination - Mouser]],_xlfn.CONCAT("Link (",Table1[[#This Row],[Mouser]],")")))</f>
        <v/>
      </c>
      <c r="AF114" s="62" t="str">
        <f>_xlfn.CONCAT("https://www.mouser.ch/ProductDetail/",Table1[[#This Row],[Mouser]])</f>
        <v>https://www.mouser.ch/ProductDetail/</v>
      </c>
      <c r="AG114" s="57"/>
      <c r="AH114" s="59"/>
      <c r="AI114" s="61" t="str">
        <f>IF(Table1[[#This Row],[Bauhaus]]="","", HYPERLINK(Table1[[#This Row],[Destination - Bauhaus]],_xlfn.CONCAT("Link (",Table1[[#This Row],[Bauhaus]],")")))</f>
        <v/>
      </c>
      <c r="AJ114" s="62" t="str">
        <f>_xlfn.CONCAT("https://www.bauhaus.ch/fr/search?query=",Table1[[#This Row],[Bauhaus]])</f>
        <v>https://www.bauhaus.ch/fr/search?query=</v>
      </c>
      <c r="AK114" s="59"/>
      <c r="AL114" s="59"/>
      <c r="AM114" s="61" t="str">
        <f>IF(Table1[[#This Row],[BricoEtLoisirs]]="","", HYPERLINK(Table1[[#This Row],[Destination - BricoEtLoisirs]],_xlfn.CONCAT("Link (",Table1[[#This Row],[BricoEtLoisirs]],")")))</f>
        <v/>
      </c>
      <c r="AN114" s="62" t="str">
        <f>_xlfn.CONCAT("https://bricoetloisirs.ch/p/",Table1[[#This Row],[BricoEtLoisirs]])</f>
        <v>https://bricoetloisirs.ch/p/</v>
      </c>
      <c r="AO114" s="57"/>
      <c r="AP114" s="59"/>
      <c r="AQ114" s="61" t="str">
        <f>IF(Table1[[#This Row],[Aliexpress]]="","", HYPERLINK(Table1[[#This Row],[Destination - Aliexpress]],_xlfn.CONCAT("Link (",Table1[[#This Row],[Aliexpress]],")")))</f>
        <v/>
      </c>
      <c r="AR114" s="62" t="str">
        <f>_xlfn.CONCAT("https://www.aliexpress.com/item/",Table1[[#This Row],[Aliexpress]],".html")</f>
        <v>https://www.aliexpress.com/item/.html</v>
      </c>
      <c r="AS114" s="57"/>
      <c r="AT114" s="59"/>
      <c r="AU114" s="61" t="str">
        <f>IF(Table1[[#This Row],[Banggood]]="","", HYPERLINK(Table1[[#This Row],[Destination - Banggood]],_xlfn.CONCAT("Link (",Table1[[#This Row],[Banggood]],")")))</f>
        <v/>
      </c>
      <c r="AV114" s="62" t="str">
        <f>_xlfn.CONCAT("https://www.banggood.com/search/",Table1[[#This Row],[Banggood]],".html")</f>
        <v>https://www.banggood.com/search/.html</v>
      </c>
      <c r="AW114" s="59" t="str">
        <f>IF(Table1[[#This Row],[Other]]&lt;&gt;"","Other","")</f>
        <v/>
      </c>
      <c r="AX114" s="57"/>
      <c r="AY114" s="59"/>
      <c r="AZ114" s="61" t="str">
        <f>IF(Table1[[#This Row],[Other]]="","",IF(Table1[[#This Row],[Destination - Other]]="","",HYPERLINK(Table1[[#This Row],[Destination - Other]],_xlfn.CONCAT("Link ("&amp;Table1[[#This Row],[Other]]&amp;")"))))</f>
        <v/>
      </c>
      <c r="BA114" s="59"/>
      <c r="BB114" s="58" t="str">
        <f>IF(AND( Table1[[#This Row],[Auto Order]]=1,Table1[[#This Row],[Obsolete]]=""),IF(Table1[[#This Row],[In stock]]&lt;Table1[[#This Row],[Min in stock]],1,""),"")</f>
        <v/>
      </c>
      <c r="BC114" s="64"/>
      <c r="BD114" s="66" t="str">
        <f>IF(Table1[[#This Row],[Obsolete]],Table1[[#This Row],[Art. Number]],"")</f>
        <v/>
      </c>
    </row>
    <row r="115" spans="1:56" x14ac:dyDescent="0.25">
      <c r="A115" s="65" t="s">
        <v>226</v>
      </c>
      <c r="B115" s="57" t="s">
        <v>375</v>
      </c>
      <c r="C115" s="57" t="s">
        <v>791</v>
      </c>
      <c r="D115" s="57" t="s">
        <v>792</v>
      </c>
      <c r="E115" s="57" t="s">
        <v>774</v>
      </c>
      <c r="F115" s="58">
        <v>2</v>
      </c>
      <c r="G115" s="58">
        <v>2</v>
      </c>
      <c r="H115" s="58">
        <v>1</v>
      </c>
      <c r="I11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MCP9700AT-E/TTCT-ND</v>
      </c>
      <c r="J11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0.32</v>
      </c>
      <c r="K11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(MCP9700AT-E/TTCT-ND)</v>
      </c>
      <c r="M115" s="57" t="s">
        <v>793</v>
      </c>
      <c r="N115" s="59">
        <v>0.32</v>
      </c>
      <c r="O115" s="61" t="str">
        <f>IF(Table1[[#This Row],[Digikey]]="","", HYPERLINK(Table1[[#This Row],[Destination - Digikey]],_xlfn.CONCAT("Link (",Table1[[#This Row],[Digikey]],")")))</f>
        <v>Link (MCP9700AT-E/TTCT-ND)</v>
      </c>
      <c r="P115" s="62" t="str">
        <f>_xlfn.CONCAT("https://www.digikey.ch/products/en?keywords=",Table1[[#This Row],[Digikey]])</f>
        <v>https://www.digikey.ch/products/en?keywords=MCP9700AT-E/TTCT-ND</v>
      </c>
      <c r="Q115" s="57"/>
      <c r="R115" s="59"/>
      <c r="S115" s="61" t="str">
        <f>IF(Table1[[#This Row],[Farnell]]="","", HYPERLINK(Table1[[#This Row],[Destination - Farnell]],_xlfn.CONCAT("Link (",Table1[[#This Row],[Farnell]],")")))</f>
        <v/>
      </c>
      <c r="T115" s="62" t="str">
        <f>_xlfn.CONCAT("https://ch.farnell.com/fr-CH/",Table1[[#This Row],[Farnell]])</f>
        <v>https://ch.farnell.com/fr-CH/</v>
      </c>
      <c r="U115" s="57"/>
      <c r="V115" s="59"/>
      <c r="W115" s="61" t="str">
        <f>IF(Table1[[#This Row],[Distrelec]]="","", HYPERLINK(Table1[[#This Row],[Destination - Distrelec]],_xlfn.CONCAT("Link (",Table1[[#This Row],[Distrelec]],")")))</f>
        <v/>
      </c>
      <c r="X115" s="62" t="str">
        <f>_xlfn.CONCAT("https://www.distrelec.ch/search?q=",Table1[[#This Row],[Distrelec]])</f>
        <v>https://www.distrelec.ch/search?q=</v>
      </c>
      <c r="Y115" s="57"/>
      <c r="Z115" s="59"/>
      <c r="AA115" s="61" t="str">
        <f>IF(Table1[[#This Row],[Conrad]]="","", HYPERLINK(Table1[[#This Row],[Destination - Conrad]],_xlfn.CONCAT("Link (",Table1[[#This Row],[Conrad]],")")))</f>
        <v/>
      </c>
      <c r="AB115" s="62"/>
      <c r="AC115" s="57"/>
      <c r="AD115" s="59"/>
      <c r="AE115" s="61" t="str">
        <f>IF(Table1[[#This Row],[Mouser]]="","", HYPERLINK(Table1[[#This Row],[Destination - Mouser]],_xlfn.CONCAT("Link (",Table1[[#This Row],[Mouser]],")")))</f>
        <v/>
      </c>
      <c r="AF115" s="62" t="str">
        <f>_xlfn.CONCAT("https://www.mouser.ch/ProductDetail/",Table1[[#This Row],[Mouser]])</f>
        <v>https://www.mouser.ch/ProductDetail/</v>
      </c>
      <c r="AG115" s="57"/>
      <c r="AH115" s="59"/>
      <c r="AI115" s="61" t="str">
        <f>IF(Table1[[#This Row],[Bauhaus]]="","", HYPERLINK(Table1[[#This Row],[Destination - Bauhaus]],_xlfn.CONCAT("Link (",Table1[[#This Row],[Bauhaus]],")")))</f>
        <v/>
      </c>
      <c r="AJ115" s="62" t="str">
        <f>_xlfn.CONCAT("https://www.bauhaus.ch/fr/search?query=",Table1[[#This Row],[Bauhaus]])</f>
        <v>https://www.bauhaus.ch/fr/search?query=</v>
      </c>
      <c r="AK115" s="59"/>
      <c r="AL115" s="59"/>
      <c r="AM115" s="61" t="str">
        <f>IF(Table1[[#This Row],[BricoEtLoisirs]]="","", HYPERLINK(Table1[[#This Row],[Destination - BricoEtLoisirs]],_xlfn.CONCAT("Link (",Table1[[#This Row],[BricoEtLoisirs]],")")))</f>
        <v/>
      </c>
      <c r="AN115" s="62" t="str">
        <f>_xlfn.CONCAT("https://bricoetloisirs.ch/p/",Table1[[#This Row],[BricoEtLoisirs]])</f>
        <v>https://bricoetloisirs.ch/p/</v>
      </c>
      <c r="AO115" s="57"/>
      <c r="AP115" s="59"/>
      <c r="AQ115" s="61" t="str">
        <f>IF(Table1[[#This Row],[Aliexpress]]="","", HYPERLINK(Table1[[#This Row],[Destination - Aliexpress]],_xlfn.CONCAT("Link (",Table1[[#This Row],[Aliexpress]],")")))</f>
        <v/>
      </c>
      <c r="AR115" s="62" t="str">
        <f>_xlfn.CONCAT("https://www.aliexpress.com/item/",Table1[[#This Row],[Aliexpress]],".html")</f>
        <v>https://www.aliexpress.com/item/.html</v>
      </c>
      <c r="AS115" s="57"/>
      <c r="AT115" s="59"/>
      <c r="AU115" s="61" t="str">
        <f>IF(Table1[[#This Row],[Banggood]]="","", HYPERLINK(Table1[[#This Row],[Destination - Banggood]],_xlfn.CONCAT("Link (",Table1[[#This Row],[Banggood]],")")))</f>
        <v/>
      </c>
      <c r="AV115" s="62" t="str">
        <f>_xlfn.CONCAT("https://www.banggood.com/search/",Table1[[#This Row],[Banggood]],".html")</f>
        <v>https://www.banggood.com/search/.html</v>
      </c>
      <c r="AW115" s="59" t="str">
        <f>IF(Table1[[#This Row],[Other]]&lt;&gt;"","Other","")</f>
        <v/>
      </c>
      <c r="AX115" s="57"/>
      <c r="AY115" s="59"/>
      <c r="AZ115" s="61" t="str">
        <f>IF(Table1[[#This Row],[Other]]="","",IF(Table1[[#This Row],[Destination - Other]]="","",HYPERLINK(Table1[[#This Row],[Destination - Other]],_xlfn.CONCAT("Link ("&amp;Table1[[#This Row],[Other]]&amp;")"))))</f>
        <v/>
      </c>
      <c r="BA115" s="59"/>
      <c r="BB115" s="58" t="str">
        <f>IF(AND( Table1[[#This Row],[Auto Order]]=1,Table1[[#This Row],[Obsolete]]=""),IF(Table1[[#This Row],[In stock]]&lt;Table1[[#This Row],[Min in stock]],1,""),"")</f>
        <v/>
      </c>
      <c r="BC115" s="64"/>
      <c r="BD115" s="66" t="str">
        <f>IF(Table1[[#This Row],[Obsolete]],Table1[[#This Row],[Art. Number]],"")</f>
        <v/>
      </c>
    </row>
    <row r="116" spans="1:56" x14ac:dyDescent="0.25">
      <c r="A116" s="65" t="s">
        <v>795</v>
      </c>
      <c r="B116" s="57" t="s">
        <v>796</v>
      </c>
      <c r="C116" s="57" t="s">
        <v>797</v>
      </c>
      <c r="D116" s="57" t="s">
        <v>798</v>
      </c>
      <c r="E116" s="57" t="s">
        <v>774</v>
      </c>
      <c r="F116" s="58">
        <v>4</v>
      </c>
      <c r="G116" s="58"/>
      <c r="H116" s="58"/>
      <c r="I11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MMA8452QR1CT-ND</v>
      </c>
      <c r="J11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2.64</v>
      </c>
      <c r="K11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(MMA8452QR1CT-ND)</v>
      </c>
      <c r="M116" s="57" t="s">
        <v>799</v>
      </c>
      <c r="N116" s="59">
        <v>2.64</v>
      </c>
      <c r="O116" s="61" t="str">
        <f>IF(Table1[[#This Row],[Digikey]]="","", HYPERLINK(Table1[[#This Row],[Destination - Digikey]],_xlfn.CONCAT("Link (",Table1[[#This Row],[Digikey]],")")))</f>
        <v>Link (MMA8452QR1CT-ND)</v>
      </c>
      <c r="P116" s="62" t="str">
        <f>_xlfn.CONCAT("https://www.digikey.ch/products/en?keywords=",Table1[[#This Row],[Digikey]])</f>
        <v>https://www.digikey.ch/products/en?keywords=MMA8452QR1CT-ND</v>
      </c>
      <c r="Q116" s="57"/>
      <c r="R116" s="59"/>
      <c r="S116" s="61" t="str">
        <f>IF(Table1[[#This Row],[Farnell]]="","", HYPERLINK(Table1[[#This Row],[Destination - Farnell]],_xlfn.CONCAT("Link (",Table1[[#This Row],[Farnell]],")")))</f>
        <v/>
      </c>
      <c r="T116" s="62" t="str">
        <f>_xlfn.CONCAT("https://ch.farnell.com/fr-CH/",Table1[[#This Row],[Farnell]])</f>
        <v>https://ch.farnell.com/fr-CH/</v>
      </c>
      <c r="U116" s="57"/>
      <c r="V116" s="59"/>
      <c r="W116" s="61" t="str">
        <f>IF(Table1[[#This Row],[Distrelec]]="","", HYPERLINK(Table1[[#This Row],[Destination - Distrelec]],_xlfn.CONCAT("Link (",Table1[[#This Row],[Distrelec]],")")))</f>
        <v/>
      </c>
      <c r="X116" s="62" t="str">
        <f>_xlfn.CONCAT("https://www.distrelec.ch/search?q=",Table1[[#This Row],[Distrelec]])</f>
        <v>https://www.distrelec.ch/search?q=</v>
      </c>
      <c r="Y116" s="57"/>
      <c r="Z116" s="59"/>
      <c r="AA116" s="61" t="str">
        <f>IF(Table1[[#This Row],[Conrad]]="","", HYPERLINK(Table1[[#This Row],[Destination - Conrad]],_xlfn.CONCAT("Link (",Table1[[#This Row],[Conrad]],")")))</f>
        <v/>
      </c>
      <c r="AB116" s="62"/>
      <c r="AC116" s="57"/>
      <c r="AD116" s="59"/>
      <c r="AE116" s="61" t="str">
        <f>IF(Table1[[#This Row],[Mouser]]="","", HYPERLINK(Table1[[#This Row],[Destination - Mouser]],_xlfn.CONCAT("Link (",Table1[[#This Row],[Mouser]],")")))</f>
        <v/>
      </c>
      <c r="AF116" s="62" t="str">
        <f>_xlfn.CONCAT("https://www.mouser.ch/ProductDetail/",Table1[[#This Row],[Mouser]])</f>
        <v>https://www.mouser.ch/ProductDetail/</v>
      </c>
      <c r="AG116" s="57"/>
      <c r="AH116" s="59"/>
      <c r="AI116" s="61" t="str">
        <f>IF(Table1[[#This Row],[Bauhaus]]="","", HYPERLINK(Table1[[#This Row],[Destination - Bauhaus]],_xlfn.CONCAT("Link (",Table1[[#This Row],[Bauhaus]],")")))</f>
        <v/>
      </c>
      <c r="AJ116" s="62" t="str">
        <f>_xlfn.CONCAT("https://www.bauhaus.ch/fr/search?query=",Table1[[#This Row],[Bauhaus]])</f>
        <v>https://www.bauhaus.ch/fr/search?query=</v>
      </c>
      <c r="AK116" s="59"/>
      <c r="AL116" s="59"/>
      <c r="AM116" s="61" t="str">
        <f>IF(Table1[[#This Row],[BricoEtLoisirs]]="","", HYPERLINK(Table1[[#This Row],[Destination - BricoEtLoisirs]],_xlfn.CONCAT("Link (",Table1[[#This Row],[BricoEtLoisirs]],")")))</f>
        <v/>
      </c>
      <c r="AN116" s="62" t="str">
        <f>_xlfn.CONCAT("https://bricoetloisirs.ch/p/",Table1[[#This Row],[BricoEtLoisirs]])</f>
        <v>https://bricoetloisirs.ch/p/</v>
      </c>
      <c r="AO116" s="57"/>
      <c r="AP116" s="59"/>
      <c r="AQ116" s="61" t="str">
        <f>IF(Table1[[#This Row],[Aliexpress]]="","", HYPERLINK(Table1[[#This Row],[Destination - Aliexpress]],_xlfn.CONCAT("Link (",Table1[[#This Row],[Aliexpress]],")")))</f>
        <v/>
      </c>
      <c r="AR116" s="62" t="str">
        <f>_xlfn.CONCAT("https://www.aliexpress.com/item/",Table1[[#This Row],[Aliexpress]],".html")</f>
        <v>https://www.aliexpress.com/item/.html</v>
      </c>
      <c r="AS116" s="57"/>
      <c r="AT116" s="59"/>
      <c r="AU116" s="61" t="str">
        <f>IF(Table1[[#This Row],[Banggood]]="","", HYPERLINK(Table1[[#This Row],[Destination - Banggood]],_xlfn.CONCAT("Link (",Table1[[#This Row],[Banggood]],")")))</f>
        <v/>
      </c>
      <c r="AV116" s="62" t="str">
        <f>_xlfn.CONCAT("https://www.banggood.com/search/",Table1[[#This Row],[Banggood]],".html")</f>
        <v>https://www.banggood.com/search/.html</v>
      </c>
      <c r="AW116" s="59" t="str">
        <f>IF(Table1[[#This Row],[Other]]&lt;&gt;"","Other","")</f>
        <v/>
      </c>
      <c r="AX116" s="57"/>
      <c r="AY116" s="59"/>
      <c r="AZ116" s="61" t="str">
        <f>IF(Table1[[#This Row],[Other]]="","",IF(Table1[[#This Row],[Destination - Other]]="","",HYPERLINK(Table1[[#This Row],[Destination - Other]],_xlfn.CONCAT("Link ("&amp;Table1[[#This Row],[Other]]&amp;")"))))</f>
        <v/>
      </c>
      <c r="BA116" s="59"/>
      <c r="BB116" s="58" t="str">
        <f>IF(AND( Table1[[#This Row],[Auto Order]]=1,Table1[[#This Row],[Obsolete]]=""),IF(Table1[[#This Row],[In stock]]&lt;Table1[[#This Row],[Min in stock]],1,""),"")</f>
        <v/>
      </c>
      <c r="BC116" s="64"/>
      <c r="BD116" s="66" t="str">
        <f>IF(Table1[[#This Row],[Obsolete]],Table1[[#This Row],[Art. Number]],"")</f>
        <v/>
      </c>
    </row>
    <row r="117" spans="1:56" x14ac:dyDescent="0.25">
      <c r="A117" s="65" t="s">
        <v>801</v>
      </c>
      <c r="B117" s="57" t="s">
        <v>802</v>
      </c>
      <c r="C117" s="57" t="s">
        <v>97</v>
      </c>
      <c r="D117" s="57" t="s">
        <v>803</v>
      </c>
      <c r="E117" s="57" t="s">
        <v>804</v>
      </c>
      <c r="F117" s="58">
        <v>1</v>
      </c>
      <c r="G117" s="58"/>
      <c r="H117" s="58"/>
      <c r="I11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495-5623-1-ND</v>
      </c>
      <c r="J11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0.72</v>
      </c>
      <c r="K11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(495-5623-1-ND)</v>
      </c>
      <c r="M117" s="57" t="s">
        <v>805</v>
      </c>
      <c r="N117" s="59">
        <v>0.72</v>
      </c>
      <c r="O117" s="61" t="str">
        <f>IF(Table1[[#This Row],[Digikey]]="","", HYPERLINK(Table1[[#This Row],[Destination - Digikey]],_xlfn.CONCAT("Link (",Table1[[#This Row],[Digikey]],")")))</f>
        <v>Link (495-5623-1-ND)</v>
      </c>
      <c r="P117" s="62" t="str">
        <f>_xlfn.CONCAT("https://www.digikey.ch/products/en?keywords=",Table1[[#This Row],[Digikey]])</f>
        <v>https://www.digikey.ch/products/en?keywords=495-5623-1-ND</v>
      </c>
      <c r="Q117" s="57"/>
      <c r="R117" s="59"/>
      <c r="S117" s="61" t="str">
        <f>IF(Table1[[#This Row],[Farnell]]="","", HYPERLINK(Table1[[#This Row],[Destination - Farnell]],_xlfn.CONCAT("Link (",Table1[[#This Row],[Farnell]],")")))</f>
        <v/>
      </c>
      <c r="T117" s="62" t="str">
        <f>_xlfn.CONCAT("https://ch.farnell.com/fr-CH/",Table1[[#This Row],[Farnell]])</f>
        <v>https://ch.farnell.com/fr-CH/</v>
      </c>
      <c r="U117" s="57"/>
      <c r="V117" s="59"/>
      <c r="W117" s="61" t="str">
        <f>IF(Table1[[#This Row],[Distrelec]]="","", HYPERLINK(Table1[[#This Row],[Destination - Distrelec]],_xlfn.CONCAT("Link (",Table1[[#This Row],[Distrelec]],")")))</f>
        <v/>
      </c>
      <c r="X117" s="62" t="str">
        <f>_xlfn.CONCAT("https://www.distrelec.ch/search?q=",Table1[[#This Row],[Distrelec]])</f>
        <v>https://www.distrelec.ch/search?q=</v>
      </c>
      <c r="Y117" s="57"/>
      <c r="Z117" s="59"/>
      <c r="AA117" s="61" t="str">
        <f>IF(Table1[[#This Row],[Conrad]]="","", HYPERLINK(Table1[[#This Row],[Destination - Conrad]],_xlfn.CONCAT("Link (",Table1[[#This Row],[Conrad]],")")))</f>
        <v/>
      </c>
      <c r="AB117" s="62"/>
      <c r="AC117" s="57"/>
      <c r="AD117" s="59"/>
      <c r="AE117" s="61" t="str">
        <f>IF(Table1[[#This Row],[Mouser]]="","", HYPERLINK(Table1[[#This Row],[Destination - Mouser]],_xlfn.CONCAT("Link (",Table1[[#This Row],[Mouser]],")")))</f>
        <v/>
      </c>
      <c r="AF117" s="62" t="str">
        <f>_xlfn.CONCAT("https://www.mouser.ch/ProductDetail/",Table1[[#This Row],[Mouser]])</f>
        <v>https://www.mouser.ch/ProductDetail/</v>
      </c>
      <c r="AG117" s="57"/>
      <c r="AH117" s="59"/>
      <c r="AI117" s="61" t="str">
        <f>IF(Table1[[#This Row],[Bauhaus]]="","", HYPERLINK(Table1[[#This Row],[Destination - Bauhaus]],_xlfn.CONCAT("Link (",Table1[[#This Row],[Bauhaus]],")")))</f>
        <v/>
      </c>
      <c r="AJ117" s="62" t="str">
        <f>_xlfn.CONCAT("https://www.bauhaus.ch/fr/search?query=",Table1[[#This Row],[Bauhaus]])</f>
        <v>https://www.bauhaus.ch/fr/search?query=</v>
      </c>
      <c r="AK117" s="59"/>
      <c r="AL117" s="59"/>
      <c r="AM117" s="61" t="str">
        <f>IF(Table1[[#This Row],[BricoEtLoisirs]]="","", HYPERLINK(Table1[[#This Row],[Destination - BricoEtLoisirs]],_xlfn.CONCAT("Link (",Table1[[#This Row],[BricoEtLoisirs]],")")))</f>
        <v/>
      </c>
      <c r="AN117" s="62" t="str">
        <f>_xlfn.CONCAT("https://bricoetloisirs.ch/p/",Table1[[#This Row],[BricoEtLoisirs]])</f>
        <v>https://bricoetloisirs.ch/p/</v>
      </c>
      <c r="AO117" s="57"/>
      <c r="AP117" s="59"/>
      <c r="AQ117" s="61" t="str">
        <f>IF(Table1[[#This Row],[Aliexpress]]="","", HYPERLINK(Table1[[#This Row],[Destination - Aliexpress]],_xlfn.CONCAT("Link (",Table1[[#This Row],[Aliexpress]],")")))</f>
        <v/>
      </c>
      <c r="AR117" s="62" t="str">
        <f>_xlfn.CONCAT("https://www.aliexpress.com/item/",Table1[[#This Row],[Aliexpress]],".html")</f>
        <v>https://www.aliexpress.com/item/.html</v>
      </c>
      <c r="AS117" s="57"/>
      <c r="AT117" s="59"/>
      <c r="AU117" s="61" t="str">
        <f>IF(Table1[[#This Row],[Banggood]]="","", HYPERLINK(Table1[[#This Row],[Destination - Banggood]],_xlfn.CONCAT("Link (",Table1[[#This Row],[Banggood]],")")))</f>
        <v/>
      </c>
      <c r="AV117" s="62" t="str">
        <f>_xlfn.CONCAT("https://www.banggood.com/search/",Table1[[#This Row],[Banggood]],".html")</f>
        <v>https://www.banggood.com/search/.html</v>
      </c>
      <c r="AW117" s="59" t="str">
        <f>IF(Table1[[#This Row],[Other]]&lt;&gt;"","Other","")</f>
        <v/>
      </c>
      <c r="AX117" s="57"/>
      <c r="AY117" s="59"/>
      <c r="AZ117" s="61" t="str">
        <f>IF(Table1[[#This Row],[Other]]="","",IF(Table1[[#This Row],[Destination - Other]]="","",HYPERLINK(Table1[[#This Row],[Destination - Other]],_xlfn.CONCAT("Link ("&amp;Table1[[#This Row],[Other]]&amp;")"))))</f>
        <v/>
      </c>
      <c r="BA117" s="59"/>
      <c r="BB117" s="58" t="str">
        <f>IF(AND( Table1[[#This Row],[Auto Order]]=1,Table1[[#This Row],[Obsolete]]=""),IF(Table1[[#This Row],[In stock]]&lt;Table1[[#This Row],[Min in stock]],1,""),"")</f>
        <v/>
      </c>
      <c r="BC117" s="64"/>
      <c r="BD117" s="66" t="str">
        <f>IF(Table1[[#This Row],[Obsolete]],Table1[[#This Row],[Art. Number]],"")</f>
        <v/>
      </c>
    </row>
    <row r="118" spans="1:56" x14ac:dyDescent="0.25">
      <c r="A118" s="65" t="s">
        <v>807</v>
      </c>
      <c r="B118" s="57" t="s">
        <v>802</v>
      </c>
      <c r="C118" s="57" t="s">
        <v>97</v>
      </c>
      <c r="D118" s="57" t="s">
        <v>808</v>
      </c>
      <c r="E118" s="57" t="s">
        <v>804</v>
      </c>
      <c r="F118" s="58">
        <v>1</v>
      </c>
      <c r="G118" s="58"/>
      <c r="H118" s="58"/>
      <c r="I11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495-5633-1-ND</v>
      </c>
      <c r="J11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0.93</v>
      </c>
      <c r="K11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(495-5633-1-ND)</v>
      </c>
      <c r="M118" s="57" t="s">
        <v>809</v>
      </c>
      <c r="N118" s="59">
        <v>0.93</v>
      </c>
      <c r="O118" s="61" t="str">
        <f>IF(Table1[[#This Row],[Digikey]]="","", HYPERLINK(Table1[[#This Row],[Destination - Digikey]],_xlfn.CONCAT("Link (",Table1[[#This Row],[Digikey]],")")))</f>
        <v>Link (495-5633-1-ND)</v>
      </c>
      <c r="P118" s="62" t="str">
        <f>_xlfn.CONCAT("https://www.digikey.ch/products/en?keywords=",Table1[[#This Row],[Digikey]])</f>
        <v>https://www.digikey.ch/products/en?keywords=495-5633-1-ND</v>
      </c>
      <c r="Q118" s="57"/>
      <c r="R118" s="59"/>
      <c r="S118" s="61" t="str">
        <f>IF(Table1[[#This Row],[Farnell]]="","", HYPERLINK(Table1[[#This Row],[Destination - Farnell]],_xlfn.CONCAT("Link (",Table1[[#This Row],[Farnell]],")")))</f>
        <v/>
      </c>
      <c r="T118" s="62" t="str">
        <f>_xlfn.CONCAT("https://ch.farnell.com/fr-CH/",Table1[[#This Row],[Farnell]])</f>
        <v>https://ch.farnell.com/fr-CH/</v>
      </c>
      <c r="U118" s="57"/>
      <c r="V118" s="59"/>
      <c r="W118" s="61" t="str">
        <f>IF(Table1[[#This Row],[Distrelec]]="","", HYPERLINK(Table1[[#This Row],[Destination - Distrelec]],_xlfn.CONCAT("Link (",Table1[[#This Row],[Distrelec]],")")))</f>
        <v/>
      </c>
      <c r="X118" s="62" t="str">
        <f>_xlfn.CONCAT("https://www.distrelec.ch/search?q=",Table1[[#This Row],[Distrelec]])</f>
        <v>https://www.distrelec.ch/search?q=</v>
      </c>
      <c r="Y118" s="57"/>
      <c r="Z118" s="59"/>
      <c r="AA118" s="61" t="str">
        <f>IF(Table1[[#This Row],[Conrad]]="","", HYPERLINK(Table1[[#This Row],[Destination - Conrad]],_xlfn.CONCAT("Link (",Table1[[#This Row],[Conrad]],")")))</f>
        <v/>
      </c>
      <c r="AB118" s="62"/>
      <c r="AC118" s="57"/>
      <c r="AD118" s="59"/>
      <c r="AE118" s="61" t="str">
        <f>IF(Table1[[#This Row],[Mouser]]="","", HYPERLINK(Table1[[#This Row],[Destination - Mouser]],_xlfn.CONCAT("Link (",Table1[[#This Row],[Mouser]],")")))</f>
        <v/>
      </c>
      <c r="AF118" s="62" t="str">
        <f>_xlfn.CONCAT("https://www.mouser.ch/ProductDetail/",Table1[[#This Row],[Mouser]])</f>
        <v>https://www.mouser.ch/ProductDetail/</v>
      </c>
      <c r="AG118" s="57"/>
      <c r="AH118" s="59"/>
      <c r="AI118" s="61" t="str">
        <f>IF(Table1[[#This Row],[Bauhaus]]="","", HYPERLINK(Table1[[#This Row],[Destination - Bauhaus]],_xlfn.CONCAT("Link (",Table1[[#This Row],[Bauhaus]],")")))</f>
        <v/>
      </c>
      <c r="AJ118" s="62" t="str">
        <f>_xlfn.CONCAT("https://www.bauhaus.ch/fr/search?query=",Table1[[#This Row],[Bauhaus]])</f>
        <v>https://www.bauhaus.ch/fr/search?query=</v>
      </c>
      <c r="AK118" s="59"/>
      <c r="AL118" s="59"/>
      <c r="AM118" s="61" t="str">
        <f>IF(Table1[[#This Row],[BricoEtLoisirs]]="","", HYPERLINK(Table1[[#This Row],[Destination - BricoEtLoisirs]],_xlfn.CONCAT("Link (",Table1[[#This Row],[BricoEtLoisirs]],")")))</f>
        <v/>
      </c>
      <c r="AN118" s="62" t="str">
        <f>_xlfn.CONCAT("https://bricoetloisirs.ch/p/",Table1[[#This Row],[BricoEtLoisirs]])</f>
        <v>https://bricoetloisirs.ch/p/</v>
      </c>
      <c r="AO118" s="57"/>
      <c r="AP118" s="59"/>
      <c r="AQ118" s="61" t="str">
        <f>IF(Table1[[#This Row],[Aliexpress]]="","", HYPERLINK(Table1[[#This Row],[Destination - Aliexpress]],_xlfn.CONCAT("Link (",Table1[[#This Row],[Aliexpress]],")")))</f>
        <v/>
      </c>
      <c r="AR118" s="62" t="str">
        <f>_xlfn.CONCAT("https://www.aliexpress.com/item/",Table1[[#This Row],[Aliexpress]],".html")</f>
        <v>https://www.aliexpress.com/item/.html</v>
      </c>
      <c r="AS118" s="57"/>
      <c r="AT118" s="59"/>
      <c r="AU118" s="61" t="str">
        <f>IF(Table1[[#This Row],[Banggood]]="","", HYPERLINK(Table1[[#This Row],[Destination - Banggood]],_xlfn.CONCAT("Link (",Table1[[#This Row],[Banggood]],")")))</f>
        <v/>
      </c>
      <c r="AV118" s="62" t="str">
        <f>_xlfn.CONCAT("https://www.banggood.com/search/",Table1[[#This Row],[Banggood]],".html")</f>
        <v>https://www.banggood.com/search/.html</v>
      </c>
      <c r="AW118" s="59" t="str">
        <f>IF(Table1[[#This Row],[Other]]&lt;&gt;"","Other","")</f>
        <v/>
      </c>
      <c r="AX118" s="57"/>
      <c r="AY118" s="59"/>
      <c r="AZ118" s="61" t="str">
        <f>IF(Table1[[#This Row],[Other]]="","",IF(Table1[[#This Row],[Destination - Other]]="","",HYPERLINK(Table1[[#This Row],[Destination - Other]],_xlfn.CONCAT("Link ("&amp;Table1[[#This Row],[Other]]&amp;")"))))</f>
        <v/>
      </c>
      <c r="BA118" s="59"/>
      <c r="BB118" s="58" t="str">
        <f>IF(AND( Table1[[#This Row],[Auto Order]]=1,Table1[[#This Row],[Obsolete]]=""),IF(Table1[[#This Row],[In stock]]&lt;Table1[[#This Row],[Min in stock]],1,""),"")</f>
        <v/>
      </c>
      <c r="BC118" s="64"/>
      <c r="BD118" s="66" t="str">
        <f>IF(Table1[[#This Row],[Obsolete]],Table1[[#This Row],[Art. Number]],"")</f>
        <v/>
      </c>
    </row>
    <row r="119" spans="1:56" x14ac:dyDescent="0.25">
      <c r="A119" s="65" t="s">
        <v>224</v>
      </c>
      <c r="B119" s="57" t="s">
        <v>342</v>
      </c>
      <c r="C119" s="57" t="s">
        <v>343</v>
      </c>
      <c r="D119" s="57" t="s">
        <v>2448</v>
      </c>
      <c r="E119" s="57" t="s">
        <v>344</v>
      </c>
      <c r="F119" s="58">
        <v>66</v>
      </c>
      <c r="G119" s="58">
        <v>50</v>
      </c>
      <c r="H119" s="58">
        <v>1</v>
      </c>
      <c r="I11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S9337-ND</v>
      </c>
      <c r="J11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3.6999999999999998E-2</v>
      </c>
      <c r="K11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1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(S9337-ND)</v>
      </c>
      <c r="M119" s="57" t="s">
        <v>345</v>
      </c>
      <c r="N119" s="59">
        <v>3.6999999999999998E-2</v>
      </c>
      <c r="O119" s="61" t="str">
        <f>IF(Table1[[#This Row],[Digikey]]="","", HYPERLINK(Table1[[#This Row],[Destination - Digikey]],_xlfn.CONCAT("Link (",Table1[[#This Row],[Digikey]],")")))</f>
        <v>Link (S9337-ND)</v>
      </c>
      <c r="P119" s="62" t="str">
        <f>_xlfn.CONCAT("https://www.digikey.ch/products/en?keywords=",Table1[[#This Row],[Digikey]])</f>
        <v>https://www.digikey.ch/products/en?keywords=S9337-ND</v>
      </c>
      <c r="Q119" s="57"/>
      <c r="R119" s="59"/>
      <c r="S119" s="61" t="str">
        <f>IF(Table1[[#This Row],[Farnell]]="","", HYPERLINK(Table1[[#This Row],[Destination - Farnell]],_xlfn.CONCAT("Link (",Table1[[#This Row],[Farnell]],")")))</f>
        <v/>
      </c>
      <c r="T119" s="62" t="str">
        <f>_xlfn.CONCAT("https://ch.farnell.com/fr-CH/",Table1[[#This Row],[Farnell]])</f>
        <v>https://ch.farnell.com/fr-CH/</v>
      </c>
      <c r="U119" s="57"/>
      <c r="V119" s="59"/>
      <c r="W119" s="61" t="str">
        <f>IF(Table1[[#This Row],[Distrelec]]="","", HYPERLINK(Table1[[#This Row],[Destination - Distrelec]],_xlfn.CONCAT("Link (",Table1[[#This Row],[Distrelec]],")")))</f>
        <v/>
      </c>
      <c r="X119" s="62" t="str">
        <f>_xlfn.CONCAT("https://www.distrelec.ch/search?q=",Table1[[#This Row],[Distrelec]])</f>
        <v>https://www.distrelec.ch/search?q=</v>
      </c>
      <c r="Y119" s="57"/>
      <c r="Z119" s="59"/>
      <c r="AA119" s="61" t="str">
        <f>IF(Table1[[#This Row],[Conrad]]="","", HYPERLINK(Table1[[#This Row],[Destination - Conrad]],_xlfn.CONCAT("Link (",Table1[[#This Row],[Conrad]],")")))</f>
        <v/>
      </c>
      <c r="AB119" s="62"/>
      <c r="AC119" s="57"/>
      <c r="AD119" s="59"/>
      <c r="AE119" s="61" t="str">
        <f>IF(Table1[[#This Row],[Mouser]]="","", HYPERLINK(Table1[[#This Row],[Destination - Mouser]],_xlfn.CONCAT("Link (",Table1[[#This Row],[Mouser]],")")))</f>
        <v/>
      </c>
      <c r="AF119" s="62" t="str">
        <f>_xlfn.CONCAT("https://www.mouser.ch/ProductDetail/",Table1[[#This Row],[Mouser]])</f>
        <v>https://www.mouser.ch/ProductDetail/</v>
      </c>
      <c r="AG119" s="57"/>
      <c r="AH119" s="59"/>
      <c r="AI119" s="61" t="str">
        <f>IF(Table1[[#This Row],[Bauhaus]]="","", HYPERLINK(Table1[[#This Row],[Destination - Bauhaus]],_xlfn.CONCAT("Link (",Table1[[#This Row],[Bauhaus]],")")))</f>
        <v/>
      </c>
      <c r="AJ119" s="62" t="str">
        <f>_xlfn.CONCAT("https://www.bauhaus.ch/fr/search?query=",Table1[[#This Row],[Bauhaus]])</f>
        <v>https://www.bauhaus.ch/fr/search?query=</v>
      </c>
      <c r="AK119" s="59"/>
      <c r="AL119" s="59"/>
      <c r="AM119" s="61" t="str">
        <f>IF(Table1[[#This Row],[BricoEtLoisirs]]="","", HYPERLINK(Table1[[#This Row],[Destination - BricoEtLoisirs]],_xlfn.CONCAT("Link (",Table1[[#This Row],[BricoEtLoisirs]],")")))</f>
        <v/>
      </c>
      <c r="AN119" s="62" t="str">
        <f>_xlfn.CONCAT("https://bricoetloisirs.ch/p/",Table1[[#This Row],[BricoEtLoisirs]])</f>
        <v>https://bricoetloisirs.ch/p/</v>
      </c>
      <c r="AO119" s="57"/>
      <c r="AP119" s="59"/>
      <c r="AQ119" s="61" t="str">
        <f>IF(Table1[[#This Row],[Aliexpress]]="","", HYPERLINK(Table1[[#This Row],[Destination - Aliexpress]],_xlfn.CONCAT("Link (",Table1[[#This Row],[Aliexpress]],")")))</f>
        <v/>
      </c>
      <c r="AR119" s="62" t="str">
        <f>_xlfn.CONCAT("https://www.aliexpress.com/item/",Table1[[#This Row],[Aliexpress]],".html")</f>
        <v>https://www.aliexpress.com/item/.html</v>
      </c>
      <c r="AS119" s="57"/>
      <c r="AT119" s="59"/>
      <c r="AU119" s="61" t="str">
        <f>IF(Table1[[#This Row],[Banggood]]="","", HYPERLINK(Table1[[#This Row],[Destination - Banggood]],_xlfn.CONCAT("Link (",Table1[[#This Row],[Banggood]],")")))</f>
        <v/>
      </c>
      <c r="AV119" s="62" t="str">
        <f>_xlfn.CONCAT("https://www.banggood.com/search/",Table1[[#This Row],[Banggood]],".html")</f>
        <v>https://www.banggood.com/search/.html</v>
      </c>
      <c r="AW119" s="59" t="str">
        <f>IF(Table1[[#This Row],[Other]]&lt;&gt;"","Other","")</f>
        <v/>
      </c>
      <c r="AX119" s="57"/>
      <c r="AY119" s="59"/>
      <c r="AZ119" s="61" t="str">
        <f>IF(Table1[[#This Row],[Other]]="","",IF(Table1[[#This Row],[Destination - Other]]="","",HYPERLINK(Table1[[#This Row],[Destination - Other]],_xlfn.CONCAT("Link ("&amp;Table1[[#This Row],[Other]]&amp;")"))))</f>
        <v/>
      </c>
      <c r="BA119" s="59"/>
      <c r="BB119" s="58" t="str">
        <f>IF(AND( Table1[[#This Row],[Auto Order]]=1,Table1[[#This Row],[Obsolete]]=""),IF(Table1[[#This Row],[In stock]]&lt;Table1[[#This Row],[Min in stock]],1,""),"")</f>
        <v/>
      </c>
      <c r="BC119" s="64"/>
      <c r="BD119" s="66" t="str">
        <f>IF(Table1[[#This Row],[Obsolete]],Table1[[#This Row],[Art. Number]],"")</f>
        <v/>
      </c>
    </row>
    <row r="120" spans="1:56" x14ac:dyDescent="0.25">
      <c r="A120" s="65" t="s">
        <v>347</v>
      </c>
      <c r="B120" s="57" t="s">
        <v>348</v>
      </c>
      <c r="C120" s="57" t="s">
        <v>349</v>
      </c>
      <c r="D120" s="57" t="s">
        <v>2449</v>
      </c>
      <c r="E120" s="57" t="s">
        <v>344</v>
      </c>
      <c r="F120" s="58">
        <v>20</v>
      </c>
      <c r="G120" s="58"/>
      <c r="H120" s="58"/>
      <c r="I12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A106373-ND</v>
      </c>
      <c r="J12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1.37</v>
      </c>
      <c r="K12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(A106373-ND)</v>
      </c>
      <c r="M120" s="57" t="s">
        <v>350</v>
      </c>
      <c r="N120" s="59">
        <v>1.37</v>
      </c>
      <c r="O120" s="61" t="str">
        <f>IF(Table1[[#This Row],[Digikey]]="","", HYPERLINK(Table1[[#This Row],[Destination - Digikey]],_xlfn.CONCAT("Link (",Table1[[#This Row],[Digikey]],")")))</f>
        <v>Link (A106373-ND)</v>
      </c>
      <c r="P120" s="62" t="str">
        <f>_xlfn.CONCAT("https://www.digikey.ch/products/en?keywords=",Table1[[#This Row],[Digikey]])</f>
        <v>https://www.digikey.ch/products/en?keywords=A106373-ND</v>
      </c>
      <c r="Q120" s="57"/>
      <c r="R120" s="59"/>
      <c r="S120" s="61" t="str">
        <f>IF(Table1[[#This Row],[Farnell]]="","", HYPERLINK(Table1[[#This Row],[Destination - Farnell]],_xlfn.CONCAT("Link (",Table1[[#This Row],[Farnell]],")")))</f>
        <v/>
      </c>
      <c r="T120" s="62" t="str">
        <f>_xlfn.CONCAT("https://ch.farnell.com/fr-CH/",Table1[[#This Row],[Farnell]])</f>
        <v>https://ch.farnell.com/fr-CH/</v>
      </c>
      <c r="U120" s="57"/>
      <c r="V120" s="59"/>
      <c r="W120" s="61" t="str">
        <f>IF(Table1[[#This Row],[Distrelec]]="","", HYPERLINK(Table1[[#This Row],[Destination - Distrelec]],_xlfn.CONCAT("Link (",Table1[[#This Row],[Distrelec]],")")))</f>
        <v/>
      </c>
      <c r="X120" s="62" t="str">
        <f>_xlfn.CONCAT("https://www.distrelec.ch/search?q=",Table1[[#This Row],[Distrelec]])</f>
        <v>https://www.distrelec.ch/search?q=</v>
      </c>
      <c r="Y120" s="57"/>
      <c r="Z120" s="59"/>
      <c r="AA120" s="61" t="str">
        <f>IF(Table1[[#This Row],[Conrad]]="","", HYPERLINK(Table1[[#This Row],[Destination - Conrad]],_xlfn.CONCAT("Link (",Table1[[#This Row],[Conrad]],")")))</f>
        <v/>
      </c>
      <c r="AB120" s="62"/>
      <c r="AC120" s="57"/>
      <c r="AD120" s="59"/>
      <c r="AE120" s="61" t="str">
        <f>IF(Table1[[#This Row],[Mouser]]="","", HYPERLINK(Table1[[#This Row],[Destination - Mouser]],_xlfn.CONCAT("Link (",Table1[[#This Row],[Mouser]],")")))</f>
        <v/>
      </c>
      <c r="AF120" s="62" t="str">
        <f>_xlfn.CONCAT("https://www.mouser.ch/ProductDetail/",Table1[[#This Row],[Mouser]])</f>
        <v>https://www.mouser.ch/ProductDetail/</v>
      </c>
      <c r="AG120" s="57"/>
      <c r="AH120" s="59"/>
      <c r="AI120" s="61" t="str">
        <f>IF(Table1[[#This Row],[Bauhaus]]="","", HYPERLINK(Table1[[#This Row],[Destination - Bauhaus]],_xlfn.CONCAT("Link (",Table1[[#This Row],[Bauhaus]],")")))</f>
        <v/>
      </c>
      <c r="AJ120" s="62" t="str">
        <f>_xlfn.CONCAT("https://www.bauhaus.ch/fr/search?query=",Table1[[#This Row],[Bauhaus]])</f>
        <v>https://www.bauhaus.ch/fr/search?query=</v>
      </c>
      <c r="AK120" s="59"/>
      <c r="AL120" s="59"/>
      <c r="AM120" s="61" t="str">
        <f>IF(Table1[[#This Row],[BricoEtLoisirs]]="","", HYPERLINK(Table1[[#This Row],[Destination - BricoEtLoisirs]],_xlfn.CONCAT("Link (",Table1[[#This Row],[BricoEtLoisirs]],")")))</f>
        <v/>
      </c>
      <c r="AN120" s="62" t="str">
        <f>_xlfn.CONCAT("https://bricoetloisirs.ch/p/",Table1[[#This Row],[BricoEtLoisirs]])</f>
        <v>https://bricoetloisirs.ch/p/</v>
      </c>
      <c r="AO120" s="57"/>
      <c r="AP120" s="59"/>
      <c r="AQ120" s="61" t="str">
        <f>IF(Table1[[#This Row],[Aliexpress]]="","", HYPERLINK(Table1[[#This Row],[Destination - Aliexpress]],_xlfn.CONCAT("Link (",Table1[[#This Row],[Aliexpress]],")")))</f>
        <v/>
      </c>
      <c r="AR120" s="62" t="str">
        <f>_xlfn.CONCAT("https://www.aliexpress.com/item/",Table1[[#This Row],[Aliexpress]],".html")</f>
        <v>https://www.aliexpress.com/item/.html</v>
      </c>
      <c r="AS120" s="57"/>
      <c r="AT120" s="59"/>
      <c r="AU120" s="61" t="str">
        <f>IF(Table1[[#This Row],[Banggood]]="","", HYPERLINK(Table1[[#This Row],[Destination - Banggood]],_xlfn.CONCAT("Link (",Table1[[#This Row],[Banggood]],")")))</f>
        <v/>
      </c>
      <c r="AV120" s="62" t="str">
        <f>_xlfn.CONCAT("https://www.banggood.com/search/",Table1[[#This Row],[Banggood]],".html")</f>
        <v>https://www.banggood.com/search/.html</v>
      </c>
      <c r="AW120" s="59" t="str">
        <f>IF(Table1[[#This Row],[Other]]&lt;&gt;"","Other","")</f>
        <v/>
      </c>
      <c r="AX120" s="57"/>
      <c r="AY120" s="59"/>
      <c r="AZ120" s="61" t="str">
        <f>IF(Table1[[#This Row],[Other]]="","",IF(Table1[[#This Row],[Destination - Other]]="","",HYPERLINK(Table1[[#This Row],[Destination - Other]],_xlfn.CONCAT("Link ("&amp;Table1[[#This Row],[Other]]&amp;")"))))</f>
        <v/>
      </c>
      <c r="BA120" s="59"/>
      <c r="BB120" s="58" t="str">
        <f>IF(AND( Table1[[#This Row],[Auto Order]]=1,Table1[[#This Row],[Obsolete]]=""),IF(Table1[[#This Row],[In stock]]&lt;Table1[[#This Row],[Min in stock]],1,""),"")</f>
        <v/>
      </c>
      <c r="BC120" s="64"/>
      <c r="BD120" s="66" t="str">
        <f>IF(Table1[[#This Row],[Obsolete]],Table1[[#This Row],[Art. Number]],"")</f>
        <v/>
      </c>
    </row>
    <row r="121" spans="1:56" x14ac:dyDescent="0.25">
      <c r="A121" s="65" t="s">
        <v>35</v>
      </c>
      <c r="B121" s="57" t="s">
        <v>352</v>
      </c>
      <c r="C121" s="57" t="s">
        <v>353</v>
      </c>
      <c r="D121" s="57" t="s">
        <v>2450</v>
      </c>
      <c r="E121" s="57" t="s">
        <v>344</v>
      </c>
      <c r="F121" s="58">
        <v>100</v>
      </c>
      <c r="G121" s="58"/>
      <c r="H121" s="58"/>
      <c r="I12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A107340-ND</v>
      </c>
      <c r="J12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0.26</v>
      </c>
      <c r="K12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(A107340-ND)</v>
      </c>
      <c r="M121" s="57" t="s">
        <v>355</v>
      </c>
      <c r="N121" s="59">
        <v>0.26</v>
      </c>
      <c r="O121" s="61" t="str">
        <f>IF(Table1[[#This Row],[Digikey]]="","", HYPERLINK(Table1[[#This Row],[Destination - Digikey]],_xlfn.CONCAT("Link (",Table1[[#This Row],[Digikey]],")")))</f>
        <v>Link (A107340-ND)</v>
      </c>
      <c r="P121" s="62" t="str">
        <f>_xlfn.CONCAT("https://www.digikey.ch/products/en?keywords=",Table1[[#This Row],[Digikey]])</f>
        <v>https://www.digikey.ch/products/en?keywords=A107340-ND</v>
      </c>
      <c r="Q121" s="57"/>
      <c r="R121" s="59"/>
      <c r="S121" s="61" t="str">
        <f>IF(Table1[[#This Row],[Farnell]]="","", HYPERLINK(Table1[[#This Row],[Destination - Farnell]],_xlfn.CONCAT("Link (",Table1[[#This Row],[Farnell]],")")))</f>
        <v/>
      </c>
      <c r="T121" s="62" t="str">
        <f>_xlfn.CONCAT("https://ch.farnell.com/fr-CH/",Table1[[#This Row],[Farnell]])</f>
        <v>https://ch.farnell.com/fr-CH/</v>
      </c>
      <c r="U121" s="57"/>
      <c r="V121" s="59"/>
      <c r="W121" s="61" t="str">
        <f>IF(Table1[[#This Row],[Distrelec]]="","", HYPERLINK(Table1[[#This Row],[Destination - Distrelec]],_xlfn.CONCAT("Link (",Table1[[#This Row],[Distrelec]],")")))</f>
        <v/>
      </c>
      <c r="X121" s="62" t="str">
        <f>_xlfn.CONCAT("https://www.distrelec.ch/search?q=",Table1[[#This Row],[Distrelec]])</f>
        <v>https://www.distrelec.ch/search?q=</v>
      </c>
      <c r="Y121" s="57"/>
      <c r="Z121" s="59"/>
      <c r="AA121" s="61" t="str">
        <f>IF(Table1[[#This Row],[Conrad]]="","", HYPERLINK(Table1[[#This Row],[Destination - Conrad]],_xlfn.CONCAT("Link (",Table1[[#This Row],[Conrad]],")")))</f>
        <v/>
      </c>
      <c r="AB121" s="62"/>
      <c r="AC121" s="57"/>
      <c r="AD121" s="59"/>
      <c r="AE121" s="61" t="str">
        <f>IF(Table1[[#This Row],[Mouser]]="","", HYPERLINK(Table1[[#This Row],[Destination - Mouser]],_xlfn.CONCAT("Link (",Table1[[#This Row],[Mouser]],")")))</f>
        <v/>
      </c>
      <c r="AF121" s="62" t="str">
        <f>_xlfn.CONCAT("https://www.mouser.ch/ProductDetail/",Table1[[#This Row],[Mouser]])</f>
        <v>https://www.mouser.ch/ProductDetail/</v>
      </c>
      <c r="AG121" s="57"/>
      <c r="AH121" s="59"/>
      <c r="AI121" s="61" t="str">
        <f>IF(Table1[[#This Row],[Bauhaus]]="","", HYPERLINK(Table1[[#This Row],[Destination - Bauhaus]],_xlfn.CONCAT("Link (",Table1[[#This Row],[Bauhaus]],")")))</f>
        <v/>
      </c>
      <c r="AJ121" s="62" t="str">
        <f>_xlfn.CONCAT("https://www.bauhaus.ch/fr/search?query=",Table1[[#This Row],[Bauhaus]])</f>
        <v>https://www.bauhaus.ch/fr/search?query=</v>
      </c>
      <c r="AK121" s="59"/>
      <c r="AL121" s="59"/>
      <c r="AM121" s="61" t="str">
        <f>IF(Table1[[#This Row],[BricoEtLoisirs]]="","", HYPERLINK(Table1[[#This Row],[Destination - BricoEtLoisirs]],_xlfn.CONCAT("Link (",Table1[[#This Row],[BricoEtLoisirs]],")")))</f>
        <v/>
      </c>
      <c r="AN121" s="62" t="str">
        <f>_xlfn.CONCAT("https://bricoetloisirs.ch/p/",Table1[[#This Row],[BricoEtLoisirs]])</f>
        <v>https://bricoetloisirs.ch/p/</v>
      </c>
      <c r="AO121" s="57"/>
      <c r="AP121" s="59"/>
      <c r="AQ121" s="61" t="str">
        <f>IF(Table1[[#This Row],[Aliexpress]]="","", HYPERLINK(Table1[[#This Row],[Destination - Aliexpress]],_xlfn.CONCAT("Link (",Table1[[#This Row],[Aliexpress]],")")))</f>
        <v/>
      </c>
      <c r="AR121" s="62" t="str">
        <f>_xlfn.CONCAT("https://www.aliexpress.com/item/",Table1[[#This Row],[Aliexpress]],".html")</f>
        <v>https://www.aliexpress.com/item/.html</v>
      </c>
      <c r="AS121" s="57"/>
      <c r="AT121" s="59"/>
      <c r="AU121" s="61" t="str">
        <f>IF(Table1[[#This Row],[Banggood]]="","", HYPERLINK(Table1[[#This Row],[Destination - Banggood]],_xlfn.CONCAT("Link (",Table1[[#This Row],[Banggood]],")")))</f>
        <v/>
      </c>
      <c r="AV121" s="62" t="str">
        <f>_xlfn.CONCAT("https://www.banggood.com/search/",Table1[[#This Row],[Banggood]],".html")</f>
        <v>https://www.banggood.com/search/.html</v>
      </c>
      <c r="AW121" s="59" t="str">
        <f>IF(Table1[[#This Row],[Other]]&lt;&gt;"","Other","")</f>
        <v/>
      </c>
      <c r="AX121" s="57"/>
      <c r="AY121" s="59"/>
      <c r="AZ121" s="61" t="str">
        <f>IF(Table1[[#This Row],[Other]]="","",IF(Table1[[#This Row],[Destination - Other]]="","",HYPERLINK(Table1[[#This Row],[Destination - Other]],_xlfn.CONCAT("Link ("&amp;Table1[[#This Row],[Other]]&amp;")"))))</f>
        <v/>
      </c>
      <c r="BA121" s="59"/>
      <c r="BB121" s="58" t="str">
        <f>IF(AND( Table1[[#This Row],[Auto Order]]=1,Table1[[#This Row],[Obsolete]]=""),IF(Table1[[#This Row],[In stock]]&lt;Table1[[#This Row],[Min in stock]],1,""),"")</f>
        <v/>
      </c>
      <c r="BC121" s="64"/>
      <c r="BD121" s="66" t="str">
        <f>IF(Table1[[#This Row],[Obsolete]],Table1[[#This Row],[Art. Number]],"")</f>
        <v/>
      </c>
    </row>
    <row r="122" spans="1:56" x14ac:dyDescent="0.25">
      <c r="A122" s="65" t="s">
        <v>825</v>
      </c>
      <c r="B122" s="57" t="s">
        <v>826</v>
      </c>
      <c r="C122" s="57" t="s">
        <v>97</v>
      </c>
      <c r="D122" s="57" t="s">
        <v>827</v>
      </c>
      <c r="E122" s="57" t="s">
        <v>828</v>
      </c>
      <c r="F122" s="58">
        <v>0</v>
      </c>
      <c r="G122" s="58"/>
      <c r="H122" s="58"/>
      <c r="I12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505.411</v>
      </c>
      <c r="J12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3.23</v>
      </c>
      <c r="K12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12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(505.411)</v>
      </c>
      <c r="M122" s="57"/>
      <c r="N122" s="59"/>
      <c r="O122" s="61" t="str">
        <f>IF(Table1[[#This Row],[Digikey]]="","", HYPERLINK(Table1[[#This Row],[Destination - Digikey]],_xlfn.CONCAT("Link (",Table1[[#This Row],[Digikey]],")")))</f>
        <v/>
      </c>
      <c r="P122" s="62" t="str">
        <f>_xlfn.CONCAT("https://www.digikey.ch/products/en?keywords=",Table1[[#This Row],[Digikey]])</f>
        <v>https://www.digikey.ch/products/en?keywords=</v>
      </c>
      <c r="Q122" s="57"/>
      <c r="R122" s="59"/>
      <c r="S122" s="61" t="str">
        <f>IF(Table1[[#This Row],[Farnell]]="","", HYPERLINK(Table1[[#This Row],[Destination - Farnell]],_xlfn.CONCAT("Link (",Table1[[#This Row],[Farnell]],")")))</f>
        <v/>
      </c>
      <c r="T122" s="62" t="str">
        <f>_xlfn.CONCAT("https://ch.farnell.com/fr-CH/",Table1[[#This Row],[Farnell]])</f>
        <v>https://ch.farnell.com/fr-CH/</v>
      </c>
      <c r="U122" s="57" t="s">
        <v>2405</v>
      </c>
      <c r="V122" s="59">
        <v>3.23</v>
      </c>
      <c r="W122" s="61" t="str">
        <f>IF(Table1[[#This Row],[Distrelec]]="","", HYPERLINK(Table1[[#This Row],[Destination - Distrelec]],_xlfn.CONCAT("Link (",Table1[[#This Row],[Distrelec]],")")))</f>
        <v>Link (505.411)</v>
      </c>
      <c r="X122" s="62" t="str">
        <f>_xlfn.CONCAT("https://www.distrelec.ch/search?q=",Table1[[#This Row],[Distrelec]])</f>
        <v>https://www.distrelec.ch/search?q=505.411</v>
      </c>
      <c r="Y122" s="57"/>
      <c r="Z122" s="59"/>
      <c r="AA122" s="61" t="str">
        <f>IF(Table1[[#This Row],[Conrad]]="","", HYPERLINK(Table1[[#This Row],[Destination - Conrad]],_xlfn.CONCAT("Link (",Table1[[#This Row],[Conrad]],")")))</f>
        <v/>
      </c>
      <c r="AB122" s="62"/>
      <c r="AC122" s="57"/>
      <c r="AD122" s="59"/>
      <c r="AE122" s="61" t="str">
        <f>IF(Table1[[#This Row],[Mouser]]="","", HYPERLINK(Table1[[#This Row],[Destination - Mouser]],_xlfn.CONCAT("Link (",Table1[[#This Row],[Mouser]],")")))</f>
        <v/>
      </c>
      <c r="AF122" s="62" t="str">
        <f>_xlfn.CONCAT("https://www.mouser.ch/ProductDetail/",Table1[[#This Row],[Mouser]])</f>
        <v>https://www.mouser.ch/ProductDetail/</v>
      </c>
      <c r="AG122" s="57"/>
      <c r="AH122" s="59"/>
      <c r="AI122" s="61" t="str">
        <f>IF(Table1[[#This Row],[Bauhaus]]="","", HYPERLINK(Table1[[#This Row],[Destination - Bauhaus]],_xlfn.CONCAT("Link (",Table1[[#This Row],[Bauhaus]],")")))</f>
        <v/>
      </c>
      <c r="AJ122" s="62" t="str">
        <f>_xlfn.CONCAT("https://www.bauhaus.ch/fr/search?query=",Table1[[#This Row],[Bauhaus]])</f>
        <v>https://www.bauhaus.ch/fr/search?query=</v>
      </c>
      <c r="AK122" s="59"/>
      <c r="AL122" s="59"/>
      <c r="AM122" s="61" t="str">
        <f>IF(Table1[[#This Row],[BricoEtLoisirs]]="","", HYPERLINK(Table1[[#This Row],[Destination - BricoEtLoisirs]],_xlfn.CONCAT("Link (",Table1[[#This Row],[BricoEtLoisirs]],")")))</f>
        <v/>
      </c>
      <c r="AN122" s="62" t="str">
        <f>_xlfn.CONCAT("https://bricoetloisirs.ch/p/",Table1[[#This Row],[BricoEtLoisirs]])</f>
        <v>https://bricoetloisirs.ch/p/</v>
      </c>
      <c r="AO122" s="57"/>
      <c r="AP122" s="59"/>
      <c r="AQ122" s="61" t="str">
        <f>IF(Table1[[#This Row],[Aliexpress]]="","", HYPERLINK(Table1[[#This Row],[Destination - Aliexpress]],_xlfn.CONCAT("Link (",Table1[[#This Row],[Aliexpress]],")")))</f>
        <v/>
      </c>
      <c r="AR122" s="62" t="str">
        <f>_xlfn.CONCAT("https://www.aliexpress.com/item/",Table1[[#This Row],[Aliexpress]],".html")</f>
        <v>https://www.aliexpress.com/item/.html</v>
      </c>
      <c r="AS122" s="57"/>
      <c r="AT122" s="59"/>
      <c r="AU122" s="61" t="str">
        <f>IF(Table1[[#This Row],[Banggood]]="","", HYPERLINK(Table1[[#This Row],[Destination - Banggood]],_xlfn.CONCAT("Link (",Table1[[#This Row],[Banggood]],")")))</f>
        <v/>
      </c>
      <c r="AV122" s="62" t="str">
        <f>_xlfn.CONCAT("https://www.banggood.com/search/",Table1[[#This Row],[Banggood]],".html")</f>
        <v>https://www.banggood.com/search/.html</v>
      </c>
      <c r="AW122" s="59" t="str">
        <f>IF(Table1[[#This Row],[Other]]&lt;&gt;"","Other","")</f>
        <v/>
      </c>
      <c r="AX122" s="57"/>
      <c r="AY122" s="59"/>
      <c r="AZ122" s="61" t="str">
        <f>IF(Table1[[#This Row],[Other]]="","",IF(Table1[[#This Row],[Destination - Other]]="","",HYPERLINK(Table1[[#This Row],[Destination - Other]],_xlfn.CONCAT("Link ("&amp;Table1[[#This Row],[Other]]&amp;")"))))</f>
        <v/>
      </c>
      <c r="BA122" s="59"/>
      <c r="BB122" s="58" t="str">
        <f>IF(AND( Table1[[#This Row],[Auto Order]]=1,Table1[[#This Row],[Obsolete]]=""),IF(Table1[[#This Row],[In stock]]&lt;Table1[[#This Row],[Min in stock]],1,""),"")</f>
        <v/>
      </c>
      <c r="BC122" s="64"/>
      <c r="BD122" s="66" t="str">
        <f>IF(Table1[[#This Row],[Obsolete]],Table1[[#This Row],[Art. Number]],"")</f>
        <v/>
      </c>
    </row>
    <row r="123" spans="1:56" x14ac:dyDescent="0.25">
      <c r="A123" s="65" t="s">
        <v>225</v>
      </c>
      <c r="B123" s="57" t="s">
        <v>830</v>
      </c>
      <c r="C123" s="57" t="s">
        <v>831</v>
      </c>
      <c r="D123" s="57" t="s">
        <v>832</v>
      </c>
      <c r="E123" s="57" t="s">
        <v>833</v>
      </c>
      <c r="F123" s="58">
        <v>2</v>
      </c>
      <c r="G123" s="58"/>
      <c r="H123" s="58"/>
      <c r="I12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497-15229-1-ND</v>
      </c>
      <c r="J12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</v>
      </c>
      <c r="K12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(497-15229-1-ND)</v>
      </c>
      <c r="M123" s="57" t="s">
        <v>834</v>
      </c>
      <c r="N123" s="59">
        <v>0.9</v>
      </c>
      <c r="O123" s="61" t="str">
        <f>IF(Table1[[#This Row],[Digikey]]="","", HYPERLINK(Table1[[#This Row],[Destination - Digikey]],_xlfn.CONCAT("Link (",Table1[[#This Row],[Digikey]],")")))</f>
        <v>Link (497-15229-1-ND)</v>
      </c>
      <c r="P123" s="62" t="str">
        <f>_xlfn.CONCAT("https://www.digikey.ch/products/en?keywords=",Table1[[#This Row],[Digikey]])</f>
        <v>https://www.digikey.ch/products/en?keywords=497-15229-1-ND</v>
      </c>
      <c r="Q123" s="57"/>
      <c r="R123" s="59"/>
      <c r="S123" s="61" t="str">
        <f>IF(Table1[[#This Row],[Farnell]]="","", HYPERLINK(Table1[[#This Row],[Destination - Farnell]],_xlfn.CONCAT("Link (",Table1[[#This Row],[Farnell]],")")))</f>
        <v/>
      </c>
      <c r="T123" s="62" t="str">
        <f>_xlfn.CONCAT("https://ch.farnell.com/fr-CH/",Table1[[#This Row],[Farnell]])</f>
        <v>https://ch.farnell.com/fr-CH/</v>
      </c>
      <c r="U123" s="57"/>
      <c r="V123" s="59"/>
      <c r="W123" s="61" t="str">
        <f>IF(Table1[[#This Row],[Distrelec]]="","", HYPERLINK(Table1[[#This Row],[Destination - Distrelec]],_xlfn.CONCAT("Link (",Table1[[#This Row],[Distrelec]],")")))</f>
        <v/>
      </c>
      <c r="X123" s="62" t="str">
        <f>_xlfn.CONCAT("https://www.distrelec.ch/search?q=",Table1[[#This Row],[Distrelec]])</f>
        <v>https://www.distrelec.ch/search?q=</v>
      </c>
      <c r="Y123" s="57"/>
      <c r="Z123" s="59"/>
      <c r="AA123" s="61" t="str">
        <f>IF(Table1[[#This Row],[Conrad]]="","", HYPERLINK(Table1[[#This Row],[Destination - Conrad]],_xlfn.CONCAT("Link (",Table1[[#This Row],[Conrad]],")")))</f>
        <v/>
      </c>
      <c r="AB123" s="62"/>
      <c r="AC123" s="57"/>
      <c r="AD123" s="59"/>
      <c r="AE123" s="61" t="str">
        <f>IF(Table1[[#This Row],[Mouser]]="","", HYPERLINK(Table1[[#This Row],[Destination - Mouser]],_xlfn.CONCAT("Link (",Table1[[#This Row],[Mouser]],")")))</f>
        <v/>
      </c>
      <c r="AF123" s="62" t="str">
        <f>_xlfn.CONCAT("https://www.mouser.ch/ProductDetail/",Table1[[#This Row],[Mouser]])</f>
        <v>https://www.mouser.ch/ProductDetail/</v>
      </c>
      <c r="AG123" s="57"/>
      <c r="AH123" s="59"/>
      <c r="AI123" s="61" t="str">
        <f>IF(Table1[[#This Row],[Bauhaus]]="","", HYPERLINK(Table1[[#This Row],[Destination - Bauhaus]],_xlfn.CONCAT("Link (",Table1[[#This Row],[Bauhaus]],")")))</f>
        <v/>
      </c>
      <c r="AJ123" s="62" t="str">
        <f>_xlfn.CONCAT("https://www.bauhaus.ch/fr/search?query=",Table1[[#This Row],[Bauhaus]])</f>
        <v>https://www.bauhaus.ch/fr/search?query=</v>
      </c>
      <c r="AK123" s="59"/>
      <c r="AL123" s="59"/>
      <c r="AM123" s="61" t="str">
        <f>IF(Table1[[#This Row],[BricoEtLoisirs]]="","", HYPERLINK(Table1[[#This Row],[Destination - BricoEtLoisirs]],_xlfn.CONCAT("Link (",Table1[[#This Row],[BricoEtLoisirs]],")")))</f>
        <v/>
      </c>
      <c r="AN123" s="62" t="str">
        <f>_xlfn.CONCAT("https://bricoetloisirs.ch/p/",Table1[[#This Row],[BricoEtLoisirs]])</f>
        <v>https://bricoetloisirs.ch/p/</v>
      </c>
      <c r="AO123" s="57"/>
      <c r="AP123" s="59"/>
      <c r="AQ123" s="61" t="str">
        <f>IF(Table1[[#This Row],[Aliexpress]]="","", HYPERLINK(Table1[[#This Row],[Destination - Aliexpress]],_xlfn.CONCAT("Link (",Table1[[#This Row],[Aliexpress]],")")))</f>
        <v/>
      </c>
      <c r="AR123" s="62" t="str">
        <f>_xlfn.CONCAT("https://www.aliexpress.com/item/",Table1[[#This Row],[Aliexpress]],".html")</f>
        <v>https://www.aliexpress.com/item/.html</v>
      </c>
      <c r="AS123" s="57"/>
      <c r="AT123" s="59"/>
      <c r="AU123" s="61" t="str">
        <f>IF(Table1[[#This Row],[Banggood]]="","", HYPERLINK(Table1[[#This Row],[Destination - Banggood]],_xlfn.CONCAT("Link (",Table1[[#This Row],[Banggood]],")")))</f>
        <v/>
      </c>
      <c r="AV123" s="62" t="str">
        <f>_xlfn.CONCAT("https://www.banggood.com/search/",Table1[[#This Row],[Banggood]],".html")</f>
        <v>https://www.banggood.com/search/.html</v>
      </c>
      <c r="AW123" s="59" t="str">
        <f>IF(Table1[[#This Row],[Other]]&lt;&gt;"","Other","")</f>
        <v/>
      </c>
      <c r="AX123" s="57"/>
      <c r="AY123" s="59"/>
      <c r="AZ123" s="61" t="str">
        <f>IF(Table1[[#This Row],[Other]]="","",IF(Table1[[#This Row],[Destination - Other]]="","",HYPERLINK(Table1[[#This Row],[Destination - Other]],_xlfn.CONCAT("Link ("&amp;Table1[[#This Row],[Other]]&amp;")"))))</f>
        <v/>
      </c>
      <c r="BA123" s="59"/>
      <c r="BB123" s="58" t="str">
        <f>IF(AND( Table1[[#This Row],[Auto Order]]=1,Table1[[#This Row],[Obsolete]]=""),IF(Table1[[#This Row],[In stock]]&lt;Table1[[#This Row],[Min in stock]],1,""),"")</f>
        <v/>
      </c>
      <c r="BC123" s="64"/>
      <c r="BD123" s="66" t="str">
        <f>IF(Table1[[#This Row],[Obsolete]],Table1[[#This Row],[Art. Number]],"")</f>
        <v/>
      </c>
    </row>
    <row r="124" spans="1:56" x14ac:dyDescent="0.25">
      <c r="A124" s="65" t="s">
        <v>836</v>
      </c>
      <c r="B124" s="57" t="s">
        <v>723</v>
      </c>
      <c r="C124" s="57" t="s">
        <v>837</v>
      </c>
      <c r="D124" s="57" t="s">
        <v>838</v>
      </c>
      <c r="E124" s="57" t="s">
        <v>833</v>
      </c>
      <c r="F124" s="58">
        <v>1</v>
      </c>
      <c r="G124" s="58"/>
      <c r="H124" s="58"/>
      <c r="I12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296-46314-1-ND</v>
      </c>
      <c r="J12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1.82</v>
      </c>
      <c r="K12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(296-46314-1-ND)</v>
      </c>
      <c r="M124" s="57" t="s">
        <v>839</v>
      </c>
      <c r="N124" s="59">
        <v>1.82</v>
      </c>
      <c r="O124" s="61" t="str">
        <f>IF(Table1[[#This Row],[Digikey]]="","", HYPERLINK(Table1[[#This Row],[Destination - Digikey]],_xlfn.CONCAT("Link (",Table1[[#This Row],[Digikey]],")")))</f>
        <v>Link (296-46314-1-ND)</v>
      </c>
      <c r="P124" s="62" t="str">
        <f>_xlfn.CONCAT("https://www.digikey.ch/products/en?keywords=",Table1[[#This Row],[Digikey]])</f>
        <v>https://www.digikey.ch/products/en?keywords=296-46314-1-ND</v>
      </c>
      <c r="Q124" s="57"/>
      <c r="R124" s="59"/>
      <c r="S124" s="61" t="str">
        <f>IF(Table1[[#This Row],[Farnell]]="","", HYPERLINK(Table1[[#This Row],[Destination - Farnell]],_xlfn.CONCAT("Link (",Table1[[#This Row],[Farnell]],")")))</f>
        <v/>
      </c>
      <c r="T124" s="62" t="str">
        <f>_xlfn.CONCAT("https://ch.farnell.com/fr-CH/",Table1[[#This Row],[Farnell]])</f>
        <v>https://ch.farnell.com/fr-CH/</v>
      </c>
      <c r="U124" s="57"/>
      <c r="V124" s="59"/>
      <c r="W124" s="61" t="str">
        <f>IF(Table1[[#This Row],[Distrelec]]="","", HYPERLINK(Table1[[#This Row],[Destination - Distrelec]],_xlfn.CONCAT("Link (",Table1[[#This Row],[Distrelec]],")")))</f>
        <v/>
      </c>
      <c r="X124" s="62" t="str">
        <f>_xlfn.CONCAT("https://www.distrelec.ch/search?q=",Table1[[#This Row],[Distrelec]])</f>
        <v>https://www.distrelec.ch/search?q=</v>
      </c>
      <c r="Y124" s="57"/>
      <c r="Z124" s="59"/>
      <c r="AA124" s="61" t="str">
        <f>IF(Table1[[#This Row],[Conrad]]="","", HYPERLINK(Table1[[#This Row],[Destination - Conrad]],_xlfn.CONCAT("Link (",Table1[[#This Row],[Conrad]],")")))</f>
        <v/>
      </c>
      <c r="AB124" s="62"/>
      <c r="AC124" s="57"/>
      <c r="AD124" s="59"/>
      <c r="AE124" s="61" t="str">
        <f>IF(Table1[[#This Row],[Mouser]]="","", HYPERLINK(Table1[[#This Row],[Destination - Mouser]],_xlfn.CONCAT("Link (",Table1[[#This Row],[Mouser]],")")))</f>
        <v/>
      </c>
      <c r="AF124" s="62" t="str">
        <f>_xlfn.CONCAT("https://www.mouser.ch/ProductDetail/",Table1[[#This Row],[Mouser]])</f>
        <v>https://www.mouser.ch/ProductDetail/</v>
      </c>
      <c r="AG124" s="57"/>
      <c r="AH124" s="59"/>
      <c r="AI124" s="61" t="str">
        <f>IF(Table1[[#This Row],[Bauhaus]]="","", HYPERLINK(Table1[[#This Row],[Destination - Bauhaus]],_xlfn.CONCAT("Link (",Table1[[#This Row],[Bauhaus]],")")))</f>
        <v/>
      </c>
      <c r="AJ124" s="62" t="str">
        <f>_xlfn.CONCAT("https://www.bauhaus.ch/fr/search?query=",Table1[[#This Row],[Bauhaus]])</f>
        <v>https://www.bauhaus.ch/fr/search?query=</v>
      </c>
      <c r="AK124" s="59"/>
      <c r="AL124" s="59"/>
      <c r="AM124" s="61" t="str">
        <f>IF(Table1[[#This Row],[BricoEtLoisirs]]="","", HYPERLINK(Table1[[#This Row],[Destination - BricoEtLoisirs]],_xlfn.CONCAT("Link (",Table1[[#This Row],[BricoEtLoisirs]],")")))</f>
        <v/>
      </c>
      <c r="AN124" s="62" t="str">
        <f>_xlfn.CONCAT("https://bricoetloisirs.ch/p/",Table1[[#This Row],[BricoEtLoisirs]])</f>
        <v>https://bricoetloisirs.ch/p/</v>
      </c>
      <c r="AO124" s="57"/>
      <c r="AP124" s="59"/>
      <c r="AQ124" s="61" t="str">
        <f>IF(Table1[[#This Row],[Aliexpress]]="","", HYPERLINK(Table1[[#This Row],[Destination - Aliexpress]],_xlfn.CONCAT("Link (",Table1[[#This Row],[Aliexpress]],")")))</f>
        <v/>
      </c>
      <c r="AR124" s="62" t="str">
        <f>_xlfn.CONCAT("https://www.aliexpress.com/item/",Table1[[#This Row],[Aliexpress]],".html")</f>
        <v>https://www.aliexpress.com/item/.html</v>
      </c>
      <c r="AS124" s="57"/>
      <c r="AT124" s="59"/>
      <c r="AU124" s="61" t="str">
        <f>IF(Table1[[#This Row],[Banggood]]="","", HYPERLINK(Table1[[#This Row],[Destination - Banggood]],_xlfn.CONCAT("Link (",Table1[[#This Row],[Banggood]],")")))</f>
        <v/>
      </c>
      <c r="AV124" s="62" t="str">
        <f>_xlfn.CONCAT("https://www.banggood.com/search/",Table1[[#This Row],[Banggood]],".html")</f>
        <v>https://www.banggood.com/search/.html</v>
      </c>
      <c r="AW124" s="59" t="str">
        <f>IF(Table1[[#This Row],[Other]]&lt;&gt;"","Other","")</f>
        <v/>
      </c>
      <c r="AX124" s="57"/>
      <c r="AY124" s="59"/>
      <c r="AZ124" s="61" t="str">
        <f>IF(Table1[[#This Row],[Other]]="","",IF(Table1[[#This Row],[Destination - Other]]="","",HYPERLINK(Table1[[#This Row],[Destination - Other]],_xlfn.CONCAT("Link ("&amp;Table1[[#This Row],[Other]]&amp;")"))))</f>
        <v/>
      </c>
      <c r="BA124" s="59"/>
      <c r="BB124" s="58" t="str">
        <f>IF(AND( Table1[[#This Row],[Auto Order]]=1,Table1[[#This Row],[Obsolete]]=""),IF(Table1[[#This Row],[In stock]]&lt;Table1[[#This Row],[Min in stock]],1,""),"")</f>
        <v/>
      </c>
      <c r="BC124" s="64"/>
      <c r="BD124" s="66" t="str">
        <f>IF(Table1[[#This Row],[Obsolete]],Table1[[#This Row],[Art. Number]],"")</f>
        <v/>
      </c>
    </row>
    <row r="125" spans="1:56" x14ac:dyDescent="0.25">
      <c r="A125" s="65" t="s">
        <v>841</v>
      </c>
      <c r="B125" s="57" t="s">
        <v>375</v>
      </c>
      <c r="C125" s="57" t="s">
        <v>842</v>
      </c>
      <c r="D125" s="57" t="s">
        <v>843</v>
      </c>
      <c r="E125" s="57" t="s">
        <v>833</v>
      </c>
      <c r="F125" s="58">
        <v>24</v>
      </c>
      <c r="G125" s="58"/>
      <c r="H125" s="58"/>
      <c r="I12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576-4880-1-ND</v>
      </c>
      <c r="J12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0.11</v>
      </c>
      <c r="K12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(576-4880-1-ND)</v>
      </c>
      <c r="M125" s="57" t="s">
        <v>844</v>
      </c>
      <c r="N125" s="59">
        <v>0.11</v>
      </c>
      <c r="O125" s="61" t="str">
        <f>IF(Table1[[#This Row],[Digikey]]="","", HYPERLINK(Table1[[#This Row],[Destination - Digikey]],_xlfn.CONCAT("Link (",Table1[[#This Row],[Digikey]],")")))</f>
        <v>Link (576-4880-1-ND)</v>
      </c>
      <c r="P125" s="62" t="str">
        <f>_xlfn.CONCAT("https://www.digikey.ch/products/en?keywords=",Table1[[#This Row],[Digikey]])</f>
        <v>https://www.digikey.ch/products/en?keywords=576-4880-1-ND</v>
      </c>
      <c r="Q125" s="57"/>
      <c r="R125" s="59"/>
      <c r="S125" s="61" t="str">
        <f>IF(Table1[[#This Row],[Farnell]]="","", HYPERLINK(Table1[[#This Row],[Destination - Farnell]],_xlfn.CONCAT("Link (",Table1[[#This Row],[Farnell]],")")))</f>
        <v/>
      </c>
      <c r="T125" s="62" t="str">
        <f>_xlfn.CONCAT("https://ch.farnell.com/fr-CH/",Table1[[#This Row],[Farnell]])</f>
        <v>https://ch.farnell.com/fr-CH/</v>
      </c>
      <c r="U125" s="57"/>
      <c r="V125" s="59"/>
      <c r="W125" s="61" t="str">
        <f>IF(Table1[[#This Row],[Distrelec]]="","", HYPERLINK(Table1[[#This Row],[Destination - Distrelec]],_xlfn.CONCAT("Link (",Table1[[#This Row],[Distrelec]],")")))</f>
        <v/>
      </c>
      <c r="X125" s="62" t="str">
        <f>_xlfn.CONCAT("https://www.distrelec.ch/search?q=",Table1[[#This Row],[Distrelec]])</f>
        <v>https://www.distrelec.ch/search?q=</v>
      </c>
      <c r="Y125" s="57"/>
      <c r="Z125" s="59"/>
      <c r="AA125" s="61" t="str">
        <f>IF(Table1[[#This Row],[Conrad]]="","", HYPERLINK(Table1[[#This Row],[Destination - Conrad]],_xlfn.CONCAT("Link (",Table1[[#This Row],[Conrad]],")")))</f>
        <v/>
      </c>
      <c r="AB125" s="62"/>
      <c r="AC125" s="57"/>
      <c r="AD125" s="59"/>
      <c r="AE125" s="61" t="str">
        <f>IF(Table1[[#This Row],[Mouser]]="","", HYPERLINK(Table1[[#This Row],[Destination - Mouser]],_xlfn.CONCAT("Link (",Table1[[#This Row],[Mouser]],")")))</f>
        <v/>
      </c>
      <c r="AF125" s="62" t="str">
        <f>_xlfn.CONCAT("https://www.mouser.ch/ProductDetail/",Table1[[#This Row],[Mouser]])</f>
        <v>https://www.mouser.ch/ProductDetail/</v>
      </c>
      <c r="AG125" s="57"/>
      <c r="AH125" s="59"/>
      <c r="AI125" s="61" t="str">
        <f>IF(Table1[[#This Row],[Bauhaus]]="","", HYPERLINK(Table1[[#This Row],[Destination - Bauhaus]],_xlfn.CONCAT("Link (",Table1[[#This Row],[Bauhaus]],")")))</f>
        <v/>
      </c>
      <c r="AJ125" s="62" t="str">
        <f>_xlfn.CONCAT("https://www.bauhaus.ch/fr/search?query=",Table1[[#This Row],[Bauhaus]])</f>
        <v>https://www.bauhaus.ch/fr/search?query=</v>
      </c>
      <c r="AK125" s="59"/>
      <c r="AL125" s="59"/>
      <c r="AM125" s="61" t="str">
        <f>IF(Table1[[#This Row],[BricoEtLoisirs]]="","", HYPERLINK(Table1[[#This Row],[Destination - BricoEtLoisirs]],_xlfn.CONCAT("Link (",Table1[[#This Row],[BricoEtLoisirs]],")")))</f>
        <v/>
      </c>
      <c r="AN125" s="62" t="str">
        <f>_xlfn.CONCAT("https://bricoetloisirs.ch/p/",Table1[[#This Row],[BricoEtLoisirs]])</f>
        <v>https://bricoetloisirs.ch/p/</v>
      </c>
      <c r="AO125" s="57"/>
      <c r="AP125" s="59"/>
      <c r="AQ125" s="61" t="str">
        <f>IF(Table1[[#This Row],[Aliexpress]]="","", HYPERLINK(Table1[[#This Row],[Destination - Aliexpress]],_xlfn.CONCAT("Link (",Table1[[#This Row],[Aliexpress]],")")))</f>
        <v/>
      </c>
      <c r="AR125" s="62" t="str">
        <f>_xlfn.CONCAT("https://www.aliexpress.com/item/",Table1[[#This Row],[Aliexpress]],".html")</f>
        <v>https://www.aliexpress.com/item/.html</v>
      </c>
      <c r="AS125" s="57"/>
      <c r="AT125" s="59"/>
      <c r="AU125" s="61" t="str">
        <f>IF(Table1[[#This Row],[Banggood]]="","", HYPERLINK(Table1[[#This Row],[Destination - Banggood]],_xlfn.CONCAT("Link (",Table1[[#This Row],[Banggood]],")")))</f>
        <v/>
      </c>
      <c r="AV125" s="62" t="str">
        <f>_xlfn.CONCAT("https://www.banggood.com/search/",Table1[[#This Row],[Banggood]],".html")</f>
        <v>https://www.banggood.com/search/.html</v>
      </c>
      <c r="AW125" s="59" t="str">
        <f>IF(Table1[[#This Row],[Other]]&lt;&gt;"","Other","")</f>
        <v/>
      </c>
      <c r="AX125" s="57"/>
      <c r="AY125" s="59"/>
      <c r="AZ125" s="61" t="str">
        <f>IF(Table1[[#This Row],[Other]]="","",IF(Table1[[#This Row],[Destination - Other]]="","",HYPERLINK(Table1[[#This Row],[Destination - Other]],_xlfn.CONCAT("Link ("&amp;Table1[[#This Row],[Other]]&amp;")"))))</f>
        <v/>
      </c>
      <c r="BA125" s="59"/>
      <c r="BB125" s="58" t="str">
        <f>IF(AND( Table1[[#This Row],[Auto Order]]=1,Table1[[#This Row],[Obsolete]]=""),IF(Table1[[#This Row],[In stock]]&lt;Table1[[#This Row],[Min in stock]],1,""),"")</f>
        <v/>
      </c>
      <c r="BC125" s="64"/>
      <c r="BD125" s="66" t="str">
        <f>IF(Table1[[#This Row],[Obsolete]],Table1[[#This Row],[Art. Number]],"")</f>
        <v/>
      </c>
    </row>
    <row r="126" spans="1:56" x14ac:dyDescent="0.25">
      <c r="A126" s="65" t="s">
        <v>16</v>
      </c>
      <c r="B126" s="57" t="s">
        <v>695</v>
      </c>
      <c r="C126" s="57" t="s">
        <v>846</v>
      </c>
      <c r="D126" s="57" t="s">
        <v>847</v>
      </c>
      <c r="E126" s="57" t="s">
        <v>833</v>
      </c>
      <c r="F126" s="58">
        <v>14</v>
      </c>
      <c r="G126" s="58">
        <v>10</v>
      </c>
      <c r="H126" s="58">
        <v>1</v>
      </c>
      <c r="I12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NCP114ASN330T1GOSCT-ND</v>
      </c>
      <c r="J12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0.35</v>
      </c>
      <c r="K12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(NCP114ASN330T1GOSCT-ND)</v>
      </c>
      <c r="M126" s="57" t="s">
        <v>848</v>
      </c>
      <c r="N126" s="59">
        <v>0.35</v>
      </c>
      <c r="O126" s="61" t="str">
        <f>IF(Table1[[#This Row],[Digikey]]="","", HYPERLINK(Table1[[#This Row],[Destination - Digikey]],_xlfn.CONCAT("Link (",Table1[[#This Row],[Digikey]],")")))</f>
        <v>Link (NCP114ASN330T1GOSCT-ND)</v>
      </c>
      <c r="P126" s="62" t="str">
        <f>_xlfn.CONCAT("https://www.digikey.ch/products/en?keywords=",Table1[[#This Row],[Digikey]])</f>
        <v>https://www.digikey.ch/products/en?keywords=NCP114ASN330T1GOSCT-ND</v>
      </c>
      <c r="Q126" s="57"/>
      <c r="R126" s="59"/>
      <c r="S126" s="61" t="str">
        <f>IF(Table1[[#This Row],[Farnell]]="","", HYPERLINK(Table1[[#This Row],[Destination - Farnell]],_xlfn.CONCAT("Link (",Table1[[#This Row],[Farnell]],")")))</f>
        <v/>
      </c>
      <c r="T126" s="62" t="str">
        <f>_xlfn.CONCAT("https://ch.farnell.com/fr-CH/",Table1[[#This Row],[Farnell]])</f>
        <v>https://ch.farnell.com/fr-CH/</v>
      </c>
      <c r="U126" s="57"/>
      <c r="V126" s="59"/>
      <c r="W126" s="61" t="str">
        <f>IF(Table1[[#This Row],[Distrelec]]="","", HYPERLINK(Table1[[#This Row],[Destination - Distrelec]],_xlfn.CONCAT("Link (",Table1[[#This Row],[Distrelec]],")")))</f>
        <v/>
      </c>
      <c r="X126" s="62" t="str">
        <f>_xlfn.CONCAT("https://www.distrelec.ch/search?q=",Table1[[#This Row],[Distrelec]])</f>
        <v>https://www.distrelec.ch/search?q=</v>
      </c>
      <c r="Y126" s="57"/>
      <c r="Z126" s="59"/>
      <c r="AA126" s="61" t="str">
        <f>IF(Table1[[#This Row],[Conrad]]="","", HYPERLINK(Table1[[#This Row],[Destination - Conrad]],_xlfn.CONCAT("Link (",Table1[[#This Row],[Conrad]],")")))</f>
        <v/>
      </c>
      <c r="AB126" s="62"/>
      <c r="AC126" s="57"/>
      <c r="AD126" s="59"/>
      <c r="AE126" s="61" t="str">
        <f>IF(Table1[[#This Row],[Mouser]]="","", HYPERLINK(Table1[[#This Row],[Destination - Mouser]],_xlfn.CONCAT("Link (",Table1[[#This Row],[Mouser]],")")))</f>
        <v/>
      </c>
      <c r="AF126" s="62" t="str">
        <f>_xlfn.CONCAT("https://www.mouser.ch/ProductDetail/",Table1[[#This Row],[Mouser]])</f>
        <v>https://www.mouser.ch/ProductDetail/</v>
      </c>
      <c r="AG126" s="57"/>
      <c r="AH126" s="59"/>
      <c r="AI126" s="61" t="str">
        <f>IF(Table1[[#This Row],[Bauhaus]]="","", HYPERLINK(Table1[[#This Row],[Destination - Bauhaus]],_xlfn.CONCAT("Link (",Table1[[#This Row],[Bauhaus]],")")))</f>
        <v/>
      </c>
      <c r="AJ126" s="62" t="str">
        <f>_xlfn.CONCAT("https://www.bauhaus.ch/fr/search?query=",Table1[[#This Row],[Bauhaus]])</f>
        <v>https://www.bauhaus.ch/fr/search?query=</v>
      </c>
      <c r="AK126" s="59"/>
      <c r="AL126" s="59"/>
      <c r="AM126" s="61" t="str">
        <f>IF(Table1[[#This Row],[BricoEtLoisirs]]="","", HYPERLINK(Table1[[#This Row],[Destination - BricoEtLoisirs]],_xlfn.CONCAT("Link (",Table1[[#This Row],[BricoEtLoisirs]],")")))</f>
        <v/>
      </c>
      <c r="AN126" s="62" t="str">
        <f>_xlfn.CONCAT("https://bricoetloisirs.ch/p/",Table1[[#This Row],[BricoEtLoisirs]])</f>
        <v>https://bricoetloisirs.ch/p/</v>
      </c>
      <c r="AO126" s="57"/>
      <c r="AP126" s="59"/>
      <c r="AQ126" s="61" t="str">
        <f>IF(Table1[[#This Row],[Aliexpress]]="","", HYPERLINK(Table1[[#This Row],[Destination - Aliexpress]],_xlfn.CONCAT("Link (",Table1[[#This Row],[Aliexpress]],")")))</f>
        <v/>
      </c>
      <c r="AR126" s="62" t="str">
        <f>_xlfn.CONCAT("https://www.aliexpress.com/item/",Table1[[#This Row],[Aliexpress]],".html")</f>
        <v>https://www.aliexpress.com/item/.html</v>
      </c>
      <c r="AS126" s="57"/>
      <c r="AT126" s="59"/>
      <c r="AU126" s="61" t="str">
        <f>IF(Table1[[#This Row],[Banggood]]="","", HYPERLINK(Table1[[#This Row],[Destination - Banggood]],_xlfn.CONCAT("Link (",Table1[[#This Row],[Banggood]],")")))</f>
        <v/>
      </c>
      <c r="AV126" s="62" t="str">
        <f>_xlfn.CONCAT("https://www.banggood.com/search/",Table1[[#This Row],[Banggood]],".html")</f>
        <v>https://www.banggood.com/search/.html</v>
      </c>
      <c r="AW126" s="59" t="str">
        <f>IF(Table1[[#This Row],[Other]]&lt;&gt;"","Other","")</f>
        <v/>
      </c>
      <c r="AX126" s="57"/>
      <c r="AY126" s="59"/>
      <c r="AZ126" s="61" t="str">
        <f>IF(Table1[[#This Row],[Other]]="","",IF(Table1[[#This Row],[Destination - Other]]="","",HYPERLINK(Table1[[#This Row],[Destination - Other]],_xlfn.CONCAT("Link ("&amp;Table1[[#This Row],[Other]]&amp;")"))))</f>
        <v/>
      </c>
      <c r="BA126" s="59"/>
      <c r="BB126" s="58" t="str">
        <f>IF(AND( Table1[[#This Row],[Auto Order]]=1,Table1[[#This Row],[Obsolete]]=""),IF(Table1[[#This Row],[In stock]]&lt;Table1[[#This Row],[Min in stock]],1,""),"")</f>
        <v/>
      </c>
      <c r="BC126" s="64"/>
      <c r="BD126" s="66" t="str">
        <f>IF(Table1[[#This Row],[Obsolete]],Table1[[#This Row],[Art. Number]],"")</f>
        <v/>
      </c>
    </row>
    <row r="127" spans="1:56" x14ac:dyDescent="0.25">
      <c r="A127" s="65" t="s">
        <v>18</v>
      </c>
      <c r="B127" s="57" t="s">
        <v>300</v>
      </c>
      <c r="C127" s="57" t="s">
        <v>433</v>
      </c>
      <c r="D127" s="57" t="s">
        <v>434</v>
      </c>
      <c r="E127" s="57" t="s">
        <v>435</v>
      </c>
      <c r="F127" s="58">
        <v>3</v>
      </c>
      <c r="G127" s="58">
        <v>2</v>
      </c>
      <c r="H127" s="58">
        <v>1</v>
      </c>
      <c r="I12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2112100</v>
      </c>
      <c r="J12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0.28999999999999998</v>
      </c>
      <c r="K12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2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(2112100)</v>
      </c>
      <c r="M127" s="57"/>
      <c r="N127" s="59"/>
      <c r="O127" s="61" t="str">
        <f>IF(Table1[[#This Row],[Digikey]]="","", HYPERLINK(Table1[[#This Row],[Destination - Digikey]],_xlfn.CONCAT("Link (",Table1[[#This Row],[Digikey]],")")))</f>
        <v/>
      </c>
      <c r="P127" s="62" t="str">
        <f>_xlfn.CONCAT("https://www.digikey.ch/products/en?keywords=",Table1[[#This Row],[Digikey]])</f>
        <v>https://www.digikey.ch/products/en?keywords=</v>
      </c>
      <c r="Q127" s="57" t="s">
        <v>2366</v>
      </c>
      <c r="R127" s="59">
        <v>0.28999999999999998</v>
      </c>
      <c r="S127" s="61" t="str">
        <f>IF(Table1[[#This Row],[Farnell]]="","", HYPERLINK(Table1[[#This Row],[Destination - Farnell]],_xlfn.CONCAT("Link (",Table1[[#This Row],[Farnell]],")")))</f>
        <v>Link (2112100)</v>
      </c>
      <c r="T127" s="62" t="str">
        <f>_xlfn.CONCAT("https://ch.farnell.com/fr-CH/",Table1[[#This Row],[Farnell]])</f>
        <v>https://ch.farnell.com/fr-CH/2112100</v>
      </c>
      <c r="U127" s="57"/>
      <c r="V127" s="59"/>
      <c r="W127" s="61" t="str">
        <f>IF(Table1[[#This Row],[Distrelec]]="","", HYPERLINK(Table1[[#This Row],[Destination - Distrelec]],_xlfn.CONCAT("Link (",Table1[[#This Row],[Distrelec]],")")))</f>
        <v/>
      </c>
      <c r="X127" s="62" t="str">
        <f>_xlfn.CONCAT("https://www.distrelec.ch/search?q=",Table1[[#This Row],[Distrelec]])</f>
        <v>https://www.distrelec.ch/search?q=</v>
      </c>
      <c r="Y127" s="57"/>
      <c r="Z127" s="59"/>
      <c r="AA127" s="61" t="str">
        <f>IF(Table1[[#This Row],[Conrad]]="","", HYPERLINK(Table1[[#This Row],[Destination - Conrad]],_xlfn.CONCAT("Link (",Table1[[#This Row],[Conrad]],")")))</f>
        <v/>
      </c>
      <c r="AB127" s="62"/>
      <c r="AC127" s="57"/>
      <c r="AD127" s="59"/>
      <c r="AE127" s="61" t="str">
        <f>IF(Table1[[#This Row],[Mouser]]="","", HYPERLINK(Table1[[#This Row],[Destination - Mouser]],_xlfn.CONCAT("Link (",Table1[[#This Row],[Mouser]],")")))</f>
        <v/>
      </c>
      <c r="AF127" s="62" t="str">
        <f>_xlfn.CONCAT("https://www.mouser.ch/ProductDetail/",Table1[[#This Row],[Mouser]])</f>
        <v>https://www.mouser.ch/ProductDetail/</v>
      </c>
      <c r="AG127" s="57"/>
      <c r="AH127" s="59"/>
      <c r="AI127" s="61" t="str">
        <f>IF(Table1[[#This Row],[Bauhaus]]="","", HYPERLINK(Table1[[#This Row],[Destination - Bauhaus]],_xlfn.CONCAT("Link (",Table1[[#This Row],[Bauhaus]],")")))</f>
        <v/>
      </c>
      <c r="AJ127" s="62" t="str">
        <f>_xlfn.CONCAT("https://www.bauhaus.ch/fr/search?query=",Table1[[#This Row],[Bauhaus]])</f>
        <v>https://www.bauhaus.ch/fr/search?query=</v>
      </c>
      <c r="AK127" s="59"/>
      <c r="AL127" s="59"/>
      <c r="AM127" s="61" t="str">
        <f>IF(Table1[[#This Row],[BricoEtLoisirs]]="","", HYPERLINK(Table1[[#This Row],[Destination - BricoEtLoisirs]],_xlfn.CONCAT("Link (",Table1[[#This Row],[BricoEtLoisirs]],")")))</f>
        <v/>
      </c>
      <c r="AN127" s="62" t="str">
        <f>_xlfn.CONCAT("https://bricoetloisirs.ch/p/",Table1[[#This Row],[BricoEtLoisirs]])</f>
        <v>https://bricoetloisirs.ch/p/</v>
      </c>
      <c r="AO127" s="57"/>
      <c r="AP127" s="59"/>
      <c r="AQ127" s="61" t="str">
        <f>IF(Table1[[#This Row],[Aliexpress]]="","", HYPERLINK(Table1[[#This Row],[Destination - Aliexpress]],_xlfn.CONCAT("Link (",Table1[[#This Row],[Aliexpress]],")")))</f>
        <v/>
      </c>
      <c r="AR127" s="62" t="str">
        <f>_xlfn.CONCAT("https://www.aliexpress.com/item/",Table1[[#This Row],[Aliexpress]],".html")</f>
        <v>https://www.aliexpress.com/item/.html</v>
      </c>
      <c r="AS127" s="57"/>
      <c r="AT127" s="59"/>
      <c r="AU127" s="61" t="str">
        <f>IF(Table1[[#This Row],[Banggood]]="","", HYPERLINK(Table1[[#This Row],[Destination - Banggood]],_xlfn.CONCAT("Link (",Table1[[#This Row],[Banggood]],")")))</f>
        <v/>
      </c>
      <c r="AV127" s="62" t="str">
        <f>_xlfn.CONCAT("https://www.banggood.com/search/",Table1[[#This Row],[Banggood]],".html")</f>
        <v>https://www.banggood.com/search/.html</v>
      </c>
      <c r="AW127" s="59" t="str">
        <f>IF(Table1[[#This Row],[Other]]&lt;&gt;"","Other","")</f>
        <v/>
      </c>
      <c r="AX127" s="57"/>
      <c r="AY127" s="59"/>
      <c r="AZ127" s="61" t="str">
        <f>IF(Table1[[#This Row],[Other]]="","",IF(Table1[[#This Row],[Destination - Other]]="","",HYPERLINK(Table1[[#This Row],[Destination - Other]],_xlfn.CONCAT("Link ("&amp;Table1[[#This Row],[Other]]&amp;")"))))</f>
        <v/>
      </c>
      <c r="BA127" s="59"/>
      <c r="BB127" s="58" t="str">
        <f>IF(AND( Table1[[#This Row],[Auto Order]]=1,Table1[[#This Row],[Obsolete]]=""),IF(Table1[[#This Row],[In stock]]&lt;Table1[[#This Row],[Min in stock]],1,""),"")</f>
        <v/>
      </c>
      <c r="BC127" s="64"/>
      <c r="BD127" s="66" t="str">
        <f>IF(Table1[[#This Row],[Obsolete]],Table1[[#This Row],[Art. Number]],"")</f>
        <v/>
      </c>
    </row>
    <row r="128" spans="1:56" x14ac:dyDescent="0.25">
      <c r="A128" s="65" t="s">
        <v>853</v>
      </c>
      <c r="B128" s="57" t="s">
        <v>396</v>
      </c>
      <c r="C128" s="57" t="s">
        <v>854</v>
      </c>
      <c r="D128" s="57" t="s">
        <v>855</v>
      </c>
      <c r="E128" s="57" t="s">
        <v>435</v>
      </c>
      <c r="F128" s="58">
        <v>10</v>
      </c>
      <c r="G128" s="58">
        <v>10</v>
      </c>
      <c r="H128" s="58">
        <v>1</v>
      </c>
      <c r="I12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732-4966-1-ND</v>
      </c>
      <c r="J12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0.15</v>
      </c>
      <c r="K12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(732-4966-1-ND)</v>
      </c>
      <c r="M128" s="57" t="s">
        <v>856</v>
      </c>
      <c r="N128" s="59">
        <v>0.15</v>
      </c>
      <c r="O128" s="61" t="str">
        <f>IF(Table1[[#This Row],[Digikey]]="","", HYPERLINK(Table1[[#This Row],[Destination - Digikey]],_xlfn.CONCAT("Link (",Table1[[#This Row],[Digikey]],")")))</f>
        <v>Link (732-4966-1-ND)</v>
      </c>
      <c r="P128" s="62" t="str">
        <f>_xlfn.CONCAT("https://www.digikey.ch/products/en?keywords=",Table1[[#This Row],[Digikey]])</f>
        <v>https://www.digikey.ch/products/en?keywords=732-4966-1-ND</v>
      </c>
      <c r="Q128" s="57"/>
      <c r="R128" s="59"/>
      <c r="S128" s="61" t="str">
        <f>IF(Table1[[#This Row],[Farnell]]="","", HYPERLINK(Table1[[#This Row],[Destination - Farnell]],_xlfn.CONCAT("Link (",Table1[[#This Row],[Farnell]],")")))</f>
        <v/>
      </c>
      <c r="T128" s="62" t="str">
        <f>_xlfn.CONCAT("https://ch.farnell.com/fr-CH/",Table1[[#This Row],[Farnell]])</f>
        <v>https://ch.farnell.com/fr-CH/</v>
      </c>
      <c r="U128" s="57"/>
      <c r="V128" s="59"/>
      <c r="W128" s="61" t="str">
        <f>IF(Table1[[#This Row],[Distrelec]]="","", HYPERLINK(Table1[[#This Row],[Destination - Distrelec]],_xlfn.CONCAT("Link (",Table1[[#This Row],[Distrelec]],")")))</f>
        <v/>
      </c>
      <c r="X128" s="62" t="str">
        <f>_xlfn.CONCAT("https://www.distrelec.ch/search?q=",Table1[[#This Row],[Distrelec]])</f>
        <v>https://www.distrelec.ch/search?q=</v>
      </c>
      <c r="Y128" s="57"/>
      <c r="Z128" s="59"/>
      <c r="AA128" s="61" t="str">
        <f>IF(Table1[[#This Row],[Conrad]]="","", HYPERLINK(Table1[[#This Row],[Destination - Conrad]],_xlfn.CONCAT("Link (",Table1[[#This Row],[Conrad]],")")))</f>
        <v/>
      </c>
      <c r="AB128" s="62"/>
      <c r="AC128" s="57"/>
      <c r="AD128" s="59"/>
      <c r="AE128" s="61" t="str">
        <f>IF(Table1[[#This Row],[Mouser]]="","", HYPERLINK(Table1[[#This Row],[Destination - Mouser]],_xlfn.CONCAT("Link (",Table1[[#This Row],[Mouser]],")")))</f>
        <v/>
      </c>
      <c r="AF128" s="62" t="str">
        <f>_xlfn.CONCAT("https://www.mouser.ch/ProductDetail/",Table1[[#This Row],[Mouser]])</f>
        <v>https://www.mouser.ch/ProductDetail/</v>
      </c>
      <c r="AG128" s="57"/>
      <c r="AH128" s="59"/>
      <c r="AI128" s="61" t="str">
        <f>IF(Table1[[#This Row],[Bauhaus]]="","", HYPERLINK(Table1[[#This Row],[Destination - Bauhaus]],_xlfn.CONCAT("Link (",Table1[[#This Row],[Bauhaus]],")")))</f>
        <v/>
      </c>
      <c r="AJ128" s="62" t="str">
        <f>_xlfn.CONCAT("https://www.bauhaus.ch/fr/search?query=",Table1[[#This Row],[Bauhaus]])</f>
        <v>https://www.bauhaus.ch/fr/search?query=</v>
      </c>
      <c r="AK128" s="59"/>
      <c r="AL128" s="59"/>
      <c r="AM128" s="61" t="str">
        <f>IF(Table1[[#This Row],[BricoEtLoisirs]]="","", HYPERLINK(Table1[[#This Row],[Destination - BricoEtLoisirs]],_xlfn.CONCAT("Link (",Table1[[#This Row],[BricoEtLoisirs]],")")))</f>
        <v/>
      </c>
      <c r="AN128" s="62" t="str">
        <f>_xlfn.CONCAT("https://bricoetloisirs.ch/p/",Table1[[#This Row],[BricoEtLoisirs]])</f>
        <v>https://bricoetloisirs.ch/p/</v>
      </c>
      <c r="AO128" s="57"/>
      <c r="AP128" s="59"/>
      <c r="AQ128" s="61" t="str">
        <f>IF(Table1[[#This Row],[Aliexpress]]="","", HYPERLINK(Table1[[#This Row],[Destination - Aliexpress]],_xlfn.CONCAT("Link (",Table1[[#This Row],[Aliexpress]],")")))</f>
        <v/>
      </c>
      <c r="AR128" s="62" t="str">
        <f>_xlfn.CONCAT("https://www.aliexpress.com/item/",Table1[[#This Row],[Aliexpress]],".html")</f>
        <v>https://www.aliexpress.com/item/.html</v>
      </c>
      <c r="AS128" s="57"/>
      <c r="AT128" s="59"/>
      <c r="AU128" s="61" t="str">
        <f>IF(Table1[[#This Row],[Banggood]]="","", HYPERLINK(Table1[[#This Row],[Destination - Banggood]],_xlfn.CONCAT("Link (",Table1[[#This Row],[Banggood]],")")))</f>
        <v/>
      </c>
      <c r="AV128" s="62" t="str">
        <f>_xlfn.CONCAT("https://www.banggood.com/search/",Table1[[#This Row],[Banggood]],".html")</f>
        <v>https://www.banggood.com/search/.html</v>
      </c>
      <c r="AW128" s="59" t="str">
        <f>IF(Table1[[#This Row],[Other]]&lt;&gt;"","Other","")</f>
        <v/>
      </c>
      <c r="AX128" s="57"/>
      <c r="AY128" s="59"/>
      <c r="AZ128" s="61" t="str">
        <f>IF(Table1[[#This Row],[Other]]="","",IF(Table1[[#This Row],[Destination - Other]]="","",HYPERLINK(Table1[[#This Row],[Destination - Other]],_xlfn.CONCAT("Link ("&amp;Table1[[#This Row],[Other]]&amp;")"))))</f>
        <v/>
      </c>
      <c r="BA128" s="59"/>
      <c r="BB128" s="58" t="str">
        <f>IF(AND( Table1[[#This Row],[Auto Order]]=1,Table1[[#This Row],[Obsolete]]=""),IF(Table1[[#This Row],[In stock]]&lt;Table1[[#This Row],[Min in stock]],1,""),"")</f>
        <v/>
      </c>
      <c r="BC128" s="64"/>
      <c r="BD128" s="66" t="str">
        <f>IF(Table1[[#This Row],[Obsolete]],Table1[[#This Row],[Art. Number]],"")</f>
        <v/>
      </c>
    </row>
    <row r="129" spans="1:56" x14ac:dyDescent="0.25">
      <c r="A129" s="65" t="s">
        <v>860</v>
      </c>
      <c r="B129" s="57" t="s">
        <v>396</v>
      </c>
      <c r="C129" s="57" t="s">
        <v>861</v>
      </c>
      <c r="D129" s="57" t="s">
        <v>862</v>
      </c>
      <c r="E129" s="57" t="s">
        <v>435</v>
      </c>
      <c r="F129" s="58">
        <v>10</v>
      </c>
      <c r="G129" s="58">
        <v>10</v>
      </c>
      <c r="H129" s="58">
        <v>1</v>
      </c>
      <c r="I12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732-4978-1-ND</v>
      </c>
      <c r="J12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0.14000000000000001</v>
      </c>
      <c r="K12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2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(732-4978-1-ND)</v>
      </c>
      <c r="M129" s="57" t="s">
        <v>863</v>
      </c>
      <c r="N129" s="59">
        <v>0.14000000000000001</v>
      </c>
      <c r="O129" s="61" t="str">
        <f>IF(Table1[[#This Row],[Digikey]]="","", HYPERLINK(Table1[[#This Row],[Destination - Digikey]],_xlfn.CONCAT("Link (",Table1[[#This Row],[Digikey]],")")))</f>
        <v>Link (732-4978-1-ND)</v>
      </c>
      <c r="P129" s="62" t="str">
        <f>_xlfn.CONCAT("https://www.digikey.ch/products/en?keywords=",Table1[[#This Row],[Digikey]])</f>
        <v>https://www.digikey.ch/products/en?keywords=732-4978-1-ND</v>
      </c>
      <c r="Q129" s="57"/>
      <c r="R129" s="59"/>
      <c r="S129" s="61" t="str">
        <f>IF(Table1[[#This Row],[Farnell]]="","", HYPERLINK(Table1[[#This Row],[Destination - Farnell]],_xlfn.CONCAT("Link (",Table1[[#This Row],[Farnell]],")")))</f>
        <v/>
      </c>
      <c r="T129" s="62" t="str">
        <f>_xlfn.CONCAT("https://ch.farnell.com/fr-CH/",Table1[[#This Row],[Farnell]])</f>
        <v>https://ch.farnell.com/fr-CH/</v>
      </c>
      <c r="U129" s="57"/>
      <c r="V129" s="59"/>
      <c r="W129" s="61" t="str">
        <f>IF(Table1[[#This Row],[Distrelec]]="","", HYPERLINK(Table1[[#This Row],[Destination - Distrelec]],_xlfn.CONCAT("Link (",Table1[[#This Row],[Distrelec]],")")))</f>
        <v/>
      </c>
      <c r="X129" s="62" t="str">
        <f>_xlfn.CONCAT("https://www.distrelec.ch/search?q=",Table1[[#This Row],[Distrelec]])</f>
        <v>https://www.distrelec.ch/search?q=</v>
      </c>
      <c r="Y129" s="57"/>
      <c r="Z129" s="59"/>
      <c r="AA129" s="61" t="str">
        <f>IF(Table1[[#This Row],[Conrad]]="","", HYPERLINK(Table1[[#This Row],[Destination - Conrad]],_xlfn.CONCAT("Link (",Table1[[#This Row],[Conrad]],")")))</f>
        <v/>
      </c>
      <c r="AB129" s="62"/>
      <c r="AC129" s="57"/>
      <c r="AD129" s="59"/>
      <c r="AE129" s="61" t="str">
        <f>IF(Table1[[#This Row],[Mouser]]="","", HYPERLINK(Table1[[#This Row],[Destination - Mouser]],_xlfn.CONCAT("Link (",Table1[[#This Row],[Mouser]],")")))</f>
        <v/>
      </c>
      <c r="AF129" s="62" t="str">
        <f>_xlfn.CONCAT("https://www.mouser.ch/ProductDetail/",Table1[[#This Row],[Mouser]])</f>
        <v>https://www.mouser.ch/ProductDetail/</v>
      </c>
      <c r="AG129" s="57"/>
      <c r="AH129" s="59"/>
      <c r="AI129" s="61" t="str">
        <f>IF(Table1[[#This Row],[Bauhaus]]="","", HYPERLINK(Table1[[#This Row],[Destination - Bauhaus]],_xlfn.CONCAT("Link (",Table1[[#This Row],[Bauhaus]],")")))</f>
        <v/>
      </c>
      <c r="AJ129" s="62" t="str">
        <f>_xlfn.CONCAT("https://www.bauhaus.ch/fr/search?query=",Table1[[#This Row],[Bauhaus]])</f>
        <v>https://www.bauhaus.ch/fr/search?query=</v>
      </c>
      <c r="AK129" s="59"/>
      <c r="AL129" s="59"/>
      <c r="AM129" s="61" t="str">
        <f>IF(Table1[[#This Row],[BricoEtLoisirs]]="","", HYPERLINK(Table1[[#This Row],[Destination - BricoEtLoisirs]],_xlfn.CONCAT("Link (",Table1[[#This Row],[BricoEtLoisirs]],")")))</f>
        <v/>
      </c>
      <c r="AN129" s="62" t="str">
        <f>_xlfn.CONCAT("https://bricoetloisirs.ch/p/",Table1[[#This Row],[BricoEtLoisirs]])</f>
        <v>https://bricoetloisirs.ch/p/</v>
      </c>
      <c r="AO129" s="57"/>
      <c r="AP129" s="59"/>
      <c r="AQ129" s="61" t="str">
        <f>IF(Table1[[#This Row],[Aliexpress]]="","", HYPERLINK(Table1[[#This Row],[Destination - Aliexpress]],_xlfn.CONCAT("Link (",Table1[[#This Row],[Aliexpress]],")")))</f>
        <v/>
      </c>
      <c r="AR129" s="62" t="str">
        <f>_xlfn.CONCAT("https://www.aliexpress.com/item/",Table1[[#This Row],[Aliexpress]],".html")</f>
        <v>https://www.aliexpress.com/item/.html</v>
      </c>
      <c r="AS129" s="57"/>
      <c r="AT129" s="59"/>
      <c r="AU129" s="61" t="str">
        <f>IF(Table1[[#This Row],[Banggood]]="","", HYPERLINK(Table1[[#This Row],[Destination - Banggood]],_xlfn.CONCAT("Link (",Table1[[#This Row],[Banggood]],")")))</f>
        <v/>
      </c>
      <c r="AV129" s="62" t="str">
        <f>_xlfn.CONCAT("https://www.banggood.com/search/",Table1[[#This Row],[Banggood]],".html")</f>
        <v>https://www.banggood.com/search/.html</v>
      </c>
      <c r="AW129" s="59" t="str">
        <f>IF(Table1[[#This Row],[Other]]&lt;&gt;"","Other","")</f>
        <v/>
      </c>
      <c r="AX129" s="57"/>
      <c r="AY129" s="59"/>
      <c r="AZ129" s="61" t="str">
        <f>IF(Table1[[#This Row],[Other]]="","",IF(Table1[[#This Row],[Destination - Other]]="","",HYPERLINK(Table1[[#This Row],[Destination - Other]],_xlfn.CONCAT("Link ("&amp;Table1[[#This Row],[Other]]&amp;")"))))</f>
        <v/>
      </c>
      <c r="BA129" s="59"/>
      <c r="BB129" s="58" t="str">
        <f>IF(AND( Table1[[#This Row],[Auto Order]]=1,Table1[[#This Row],[Obsolete]]=""),IF(Table1[[#This Row],[In stock]]&lt;Table1[[#This Row],[Min in stock]],1,""),"")</f>
        <v/>
      </c>
      <c r="BC129" s="64"/>
      <c r="BD129" s="66" t="str">
        <f>IF(Table1[[#This Row],[Obsolete]],Table1[[#This Row],[Art. Number]],"")</f>
        <v/>
      </c>
    </row>
    <row r="130" spans="1:56" x14ac:dyDescent="0.25">
      <c r="A130" s="65" t="s">
        <v>57</v>
      </c>
      <c r="B130" s="57" t="s">
        <v>396</v>
      </c>
      <c r="C130" s="57" t="s">
        <v>867</v>
      </c>
      <c r="D130" s="57" t="s">
        <v>868</v>
      </c>
      <c r="E130" s="57" t="s">
        <v>435</v>
      </c>
      <c r="F130" s="58">
        <v>10</v>
      </c>
      <c r="G130" s="58">
        <v>10</v>
      </c>
      <c r="H130" s="58">
        <v>1</v>
      </c>
      <c r="I13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732-4980-1-ND</v>
      </c>
      <c r="J13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0.14000000000000001</v>
      </c>
      <c r="K13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(732-4980-1-ND)</v>
      </c>
      <c r="M130" s="57" t="s">
        <v>869</v>
      </c>
      <c r="N130" s="59">
        <v>0.14000000000000001</v>
      </c>
      <c r="O130" s="61" t="str">
        <f>IF(Table1[[#This Row],[Digikey]]="","", HYPERLINK(Table1[[#This Row],[Destination - Digikey]],_xlfn.CONCAT("Link (",Table1[[#This Row],[Digikey]],")")))</f>
        <v>Link (732-4980-1-ND)</v>
      </c>
      <c r="P130" s="62" t="str">
        <f>_xlfn.CONCAT("https://www.digikey.ch/products/en?keywords=",Table1[[#This Row],[Digikey]])</f>
        <v>https://www.digikey.ch/products/en?keywords=732-4980-1-ND</v>
      </c>
      <c r="Q130" s="57"/>
      <c r="R130" s="59"/>
      <c r="S130" s="61" t="str">
        <f>IF(Table1[[#This Row],[Farnell]]="","", HYPERLINK(Table1[[#This Row],[Destination - Farnell]],_xlfn.CONCAT("Link (",Table1[[#This Row],[Farnell]],")")))</f>
        <v/>
      </c>
      <c r="T130" s="62" t="str">
        <f>_xlfn.CONCAT("https://ch.farnell.com/fr-CH/",Table1[[#This Row],[Farnell]])</f>
        <v>https://ch.farnell.com/fr-CH/</v>
      </c>
      <c r="U130" s="57"/>
      <c r="V130" s="59"/>
      <c r="W130" s="61" t="str">
        <f>IF(Table1[[#This Row],[Distrelec]]="","", HYPERLINK(Table1[[#This Row],[Destination - Distrelec]],_xlfn.CONCAT("Link (",Table1[[#This Row],[Distrelec]],")")))</f>
        <v/>
      </c>
      <c r="X130" s="62" t="str">
        <f>_xlfn.CONCAT("https://www.distrelec.ch/search?q=",Table1[[#This Row],[Distrelec]])</f>
        <v>https://www.distrelec.ch/search?q=</v>
      </c>
      <c r="Y130" s="57"/>
      <c r="Z130" s="59"/>
      <c r="AA130" s="61" t="str">
        <f>IF(Table1[[#This Row],[Conrad]]="","", HYPERLINK(Table1[[#This Row],[Destination - Conrad]],_xlfn.CONCAT("Link (",Table1[[#This Row],[Conrad]],")")))</f>
        <v/>
      </c>
      <c r="AB130" s="62"/>
      <c r="AC130" s="57"/>
      <c r="AD130" s="59"/>
      <c r="AE130" s="61" t="str">
        <f>IF(Table1[[#This Row],[Mouser]]="","", HYPERLINK(Table1[[#This Row],[Destination - Mouser]],_xlfn.CONCAT("Link (",Table1[[#This Row],[Mouser]],")")))</f>
        <v/>
      </c>
      <c r="AF130" s="62" t="str">
        <f>_xlfn.CONCAT("https://www.mouser.ch/ProductDetail/",Table1[[#This Row],[Mouser]])</f>
        <v>https://www.mouser.ch/ProductDetail/</v>
      </c>
      <c r="AG130" s="57"/>
      <c r="AH130" s="59"/>
      <c r="AI130" s="61" t="str">
        <f>IF(Table1[[#This Row],[Bauhaus]]="","", HYPERLINK(Table1[[#This Row],[Destination - Bauhaus]],_xlfn.CONCAT("Link (",Table1[[#This Row],[Bauhaus]],")")))</f>
        <v/>
      </c>
      <c r="AJ130" s="62" t="str">
        <f>_xlfn.CONCAT("https://www.bauhaus.ch/fr/search?query=",Table1[[#This Row],[Bauhaus]])</f>
        <v>https://www.bauhaus.ch/fr/search?query=</v>
      </c>
      <c r="AK130" s="59"/>
      <c r="AL130" s="59"/>
      <c r="AM130" s="61" t="str">
        <f>IF(Table1[[#This Row],[BricoEtLoisirs]]="","", HYPERLINK(Table1[[#This Row],[Destination - BricoEtLoisirs]],_xlfn.CONCAT("Link (",Table1[[#This Row],[BricoEtLoisirs]],")")))</f>
        <v/>
      </c>
      <c r="AN130" s="62" t="str">
        <f>_xlfn.CONCAT("https://bricoetloisirs.ch/p/",Table1[[#This Row],[BricoEtLoisirs]])</f>
        <v>https://bricoetloisirs.ch/p/</v>
      </c>
      <c r="AO130" s="57"/>
      <c r="AP130" s="59"/>
      <c r="AQ130" s="61" t="str">
        <f>IF(Table1[[#This Row],[Aliexpress]]="","", HYPERLINK(Table1[[#This Row],[Destination - Aliexpress]],_xlfn.CONCAT("Link (",Table1[[#This Row],[Aliexpress]],")")))</f>
        <v/>
      </c>
      <c r="AR130" s="62" t="str">
        <f>_xlfn.CONCAT("https://www.aliexpress.com/item/",Table1[[#This Row],[Aliexpress]],".html")</f>
        <v>https://www.aliexpress.com/item/.html</v>
      </c>
      <c r="AS130" s="57"/>
      <c r="AT130" s="59"/>
      <c r="AU130" s="61" t="str">
        <f>IF(Table1[[#This Row],[Banggood]]="","", HYPERLINK(Table1[[#This Row],[Destination - Banggood]],_xlfn.CONCAT("Link (",Table1[[#This Row],[Banggood]],")")))</f>
        <v/>
      </c>
      <c r="AV130" s="62" t="str">
        <f>_xlfn.CONCAT("https://www.banggood.com/search/",Table1[[#This Row],[Banggood]],".html")</f>
        <v>https://www.banggood.com/search/.html</v>
      </c>
      <c r="AW130" s="59" t="str">
        <f>IF(Table1[[#This Row],[Other]]&lt;&gt;"","Other","")</f>
        <v/>
      </c>
      <c r="AX130" s="57"/>
      <c r="AY130" s="59"/>
      <c r="AZ130" s="61" t="str">
        <f>IF(Table1[[#This Row],[Other]]="","",IF(Table1[[#This Row],[Destination - Other]]="","",HYPERLINK(Table1[[#This Row],[Destination - Other]],_xlfn.CONCAT("Link ("&amp;Table1[[#This Row],[Other]]&amp;")"))))</f>
        <v/>
      </c>
      <c r="BA130" s="59"/>
      <c r="BB130" s="58" t="str">
        <f>IF(AND( Table1[[#This Row],[Auto Order]]=1,Table1[[#This Row],[Obsolete]]=""),IF(Table1[[#This Row],[In stock]]&lt;Table1[[#This Row],[Min in stock]],1,""),"")</f>
        <v/>
      </c>
      <c r="BC130" s="64"/>
      <c r="BD130" s="66" t="str">
        <f>IF(Table1[[#This Row],[Obsolete]],Table1[[#This Row],[Art. Number]],"")</f>
        <v/>
      </c>
    </row>
    <row r="131" spans="1:56" x14ac:dyDescent="0.25">
      <c r="A131" s="65" t="s">
        <v>873</v>
      </c>
      <c r="B131" s="57" t="s">
        <v>396</v>
      </c>
      <c r="C131" s="57" t="s">
        <v>874</v>
      </c>
      <c r="D131" s="57" t="s">
        <v>875</v>
      </c>
      <c r="E131" s="57" t="s">
        <v>435</v>
      </c>
      <c r="F131" s="58">
        <v>10</v>
      </c>
      <c r="G131" s="58">
        <v>10</v>
      </c>
      <c r="H131" s="58">
        <v>1</v>
      </c>
      <c r="I13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732-4981-1-ND</v>
      </c>
      <c r="J13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0.14000000000000001</v>
      </c>
      <c r="K13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(732-4981-1-ND)</v>
      </c>
      <c r="M131" s="57" t="s">
        <v>876</v>
      </c>
      <c r="N131" s="59">
        <v>0.14000000000000001</v>
      </c>
      <c r="O131" s="61" t="str">
        <f>IF(Table1[[#This Row],[Digikey]]="","", HYPERLINK(Table1[[#This Row],[Destination - Digikey]],_xlfn.CONCAT("Link (",Table1[[#This Row],[Digikey]],")")))</f>
        <v>Link (732-4981-1-ND)</v>
      </c>
      <c r="P131" s="62" t="str">
        <f>_xlfn.CONCAT("https://www.digikey.ch/products/en?keywords=",Table1[[#This Row],[Digikey]])</f>
        <v>https://www.digikey.ch/products/en?keywords=732-4981-1-ND</v>
      </c>
      <c r="Q131" s="57"/>
      <c r="R131" s="59"/>
      <c r="S131" s="61" t="str">
        <f>IF(Table1[[#This Row],[Farnell]]="","", HYPERLINK(Table1[[#This Row],[Destination - Farnell]],_xlfn.CONCAT("Link (",Table1[[#This Row],[Farnell]],")")))</f>
        <v/>
      </c>
      <c r="T131" s="62" t="str">
        <f>_xlfn.CONCAT("https://ch.farnell.com/fr-CH/",Table1[[#This Row],[Farnell]])</f>
        <v>https://ch.farnell.com/fr-CH/</v>
      </c>
      <c r="U131" s="57"/>
      <c r="V131" s="59"/>
      <c r="W131" s="61" t="str">
        <f>IF(Table1[[#This Row],[Distrelec]]="","", HYPERLINK(Table1[[#This Row],[Destination - Distrelec]],_xlfn.CONCAT("Link (",Table1[[#This Row],[Distrelec]],")")))</f>
        <v/>
      </c>
      <c r="X131" s="62" t="str">
        <f>_xlfn.CONCAT("https://www.distrelec.ch/search?q=",Table1[[#This Row],[Distrelec]])</f>
        <v>https://www.distrelec.ch/search?q=</v>
      </c>
      <c r="Y131" s="57"/>
      <c r="Z131" s="59"/>
      <c r="AA131" s="61" t="str">
        <f>IF(Table1[[#This Row],[Conrad]]="","", HYPERLINK(Table1[[#This Row],[Destination - Conrad]],_xlfn.CONCAT("Link (",Table1[[#This Row],[Conrad]],")")))</f>
        <v/>
      </c>
      <c r="AB131" s="62"/>
      <c r="AC131" s="57"/>
      <c r="AD131" s="59"/>
      <c r="AE131" s="61" t="str">
        <f>IF(Table1[[#This Row],[Mouser]]="","", HYPERLINK(Table1[[#This Row],[Destination - Mouser]],_xlfn.CONCAT("Link (",Table1[[#This Row],[Mouser]],")")))</f>
        <v/>
      </c>
      <c r="AF131" s="62" t="str">
        <f>_xlfn.CONCAT("https://www.mouser.ch/ProductDetail/",Table1[[#This Row],[Mouser]])</f>
        <v>https://www.mouser.ch/ProductDetail/</v>
      </c>
      <c r="AG131" s="57"/>
      <c r="AH131" s="59"/>
      <c r="AI131" s="61" t="str">
        <f>IF(Table1[[#This Row],[Bauhaus]]="","", HYPERLINK(Table1[[#This Row],[Destination - Bauhaus]],_xlfn.CONCAT("Link (",Table1[[#This Row],[Bauhaus]],")")))</f>
        <v/>
      </c>
      <c r="AJ131" s="62" t="str">
        <f>_xlfn.CONCAT("https://www.bauhaus.ch/fr/search?query=",Table1[[#This Row],[Bauhaus]])</f>
        <v>https://www.bauhaus.ch/fr/search?query=</v>
      </c>
      <c r="AK131" s="59"/>
      <c r="AL131" s="59"/>
      <c r="AM131" s="61" t="str">
        <f>IF(Table1[[#This Row],[BricoEtLoisirs]]="","", HYPERLINK(Table1[[#This Row],[Destination - BricoEtLoisirs]],_xlfn.CONCAT("Link (",Table1[[#This Row],[BricoEtLoisirs]],")")))</f>
        <v/>
      </c>
      <c r="AN131" s="62" t="str">
        <f>_xlfn.CONCAT("https://bricoetloisirs.ch/p/",Table1[[#This Row],[BricoEtLoisirs]])</f>
        <v>https://bricoetloisirs.ch/p/</v>
      </c>
      <c r="AO131" s="57"/>
      <c r="AP131" s="59"/>
      <c r="AQ131" s="61" t="str">
        <f>IF(Table1[[#This Row],[Aliexpress]]="","", HYPERLINK(Table1[[#This Row],[Destination - Aliexpress]],_xlfn.CONCAT("Link (",Table1[[#This Row],[Aliexpress]],")")))</f>
        <v/>
      </c>
      <c r="AR131" s="62" t="str">
        <f>_xlfn.CONCAT("https://www.aliexpress.com/item/",Table1[[#This Row],[Aliexpress]],".html")</f>
        <v>https://www.aliexpress.com/item/.html</v>
      </c>
      <c r="AS131" s="57"/>
      <c r="AT131" s="59"/>
      <c r="AU131" s="61" t="str">
        <f>IF(Table1[[#This Row],[Banggood]]="","", HYPERLINK(Table1[[#This Row],[Destination - Banggood]],_xlfn.CONCAT("Link (",Table1[[#This Row],[Banggood]],")")))</f>
        <v/>
      </c>
      <c r="AV131" s="62" t="str">
        <f>_xlfn.CONCAT("https://www.banggood.com/search/",Table1[[#This Row],[Banggood]],".html")</f>
        <v>https://www.banggood.com/search/.html</v>
      </c>
      <c r="AW131" s="59" t="str">
        <f>IF(Table1[[#This Row],[Other]]&lt;&gt;"","Other","")</f>
        <v/>
      </c>
      <c r="AX131" s="57"/>
      <c r="AY131" s="59"/>
      <c r="AZ131" s="61" t="str">
        <f>IF(Table1[[#This Row],[Other]]="","",IF(Table1[[#This Row],[Destination - Other]]="","",HYPERLINK(Table1[[#This Row],[Destination - Other]],_xlfn.CONCAT("Link ("&amp;Table1[[#This Row],[Other]]&amp;")"))))</f>
        <v/>
      </c>
      <c r="BA131" s="59"/>
      <c r="BB131" s="58" t="str">
        <f>IF(AND( Table1[[#This Row],[Auto Order]]=1,Table1[[#This Row],[Obsolete]]=""),IF(Table1[[#This Row],[In stock]]&lt;Table1[[#This Row],[Min in stock]],1,""),"")</f>
        <v/>
      </c>
      <c r="BC131" s="64"/>
      <c r="BD131" s="66" t="str">
        <f>IF(Table1[[#This Row],[Obsolete]],Table1[[#This Row],[Art. Number]],"")</f>
        <v/>
      </c>
    </row>
    <row r="132" spans="1:56" x14ac:dyDescent="0.25">
      <c r="A132" s="65" t="s">
        <v>240</v>
      </c>
      <c r="B132" s="57" t="s">
        <v>396</v>
      </c>
      <c r="C132" s="57" t="s">
        <v>880</v>
      </c>
      <c r="D132" s="57" t="s">
        <v>881</v>
      </c>
      <c r="E132" s="57" t="s">
        <v>435</v>
      </c>
      <c r="F132" s="58">
        <v>8</v>
      </c>
      <c r="G132" s="58"/>
      <c r="H132" s="58"/>
      <c r="I13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732-4982-1-ND</v>
      </c>
      <c r="J13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0.17</v>
      </c>
      <c r="K13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(732-4982-1-ND)</v>
      </c>
      <c r="M132" s="57" t="s">
        <v>882</v>
      </c>
      <c r="N132" s="59">
        <v>0.17</v>
      </c>
      <c r="O132" s="61" t="str">
        <f>IF(Table1[[#This Row],[Digikey]]="","", HYPERLINK(Table1[[#This Row],[Destination - Digikey]],_xlfn.CONCAT("Link (",Table1[[#This Row],[Digikey]],")")))</f>
        <v>Link (732-4982-1-ND)</v>
      </c>
      <c r="P132" s="62" t="str">
        <f>_xlfn.CONCAT("https://www.digikey.ch/products/en?keywords=",Table1[[#This Row],[Digikey]])</f>
        <v>https://www.digikey.ch/products/en?keywords=732-4982-1-ND</v>
      </c>
      <c r="Q132" s="57"/>
      <c r="R132" s="59"/>
      <c r="S132" s="61" t="str">
        <f>IF(Table1[[#This Row],[Farnell]]="","", HYPERLINK(Table1[[#This Row],[Destination - Farnell]],_xlfn.CONCAT("Link (",Table1[[#This Row],[Farnell]],")")))</f>
        <v/>
      </c>
      <c r="T132" s="62" t="str">
        <f>_xlfn.CONCAT("https://ch.farnell.com/fr-CH/",Table1[[#This Row],[Farnell]])</f>
        <v>https://ch.farnell.com/fr-CH/</v>
      </c>
      <c r="U132" s="57"/>
      <c r="V132" s="59"/>
      <c r="W132" s="61" t="str">
        <f>IF(Table1[[#This Row],[Distrelec]]="","", HYPERLINK(Table1[[#This Row],[Destination - Distrelec]],_xlfn.CONCAT("Link (",Table1[[#This Row],[Distrelec]],")")))</f>
        <v/>
      </c>
      <c r="X132" s="62" t="str">
        <f>_xlfn.CONCAT("https://www.distrelec.ch/search?q=",Table1[[#This Row],[Distrelec]])</f>
        <v>https://www.distrelec.ch/search?q=</v>
      </c>
      <c r="Y132" s="57"/>
      <c r="Z132" s="59"/>
      <c r="AA132" s="61" t="str">
        <f>IF(Table1[[#This Row],[Conrad]]="","", HYPERLINK(Table1[[#This Row],[Destination - Conrad]],_xlfn.CONCAT("Link (",Table1[[#This Row],[Conrad]],")")))</f>
        <v/>
      </c>
      <c r="AB132" s="62"/>
      <c r="AC132" s="57"/>
      <c r="AD132" s="59"/>
      <c r="AE132" s="61" t="str">
        <f>IF(Table1[[#This Row],[Mouser]]="","", HYPERLINK(Table1[[#This Row],[Destination - Mouser]],_xlfn.CONCAT("Link (",Table1[[#This Row],[Mouser]],")")))</f>
        <v/>
      </c>
      <c r="AF132" s="62" t="str">
        <f>_xlfn.CONCAT("https://www.mouser.ch/ProductDetail/",Table1[[#This Row],[Mouser]])</f>
        <v>https://www.mouser.ch/ProductDetail/</v>
      </c>
      <c r="AG132" s="57"/>
      <c r="AH132" s="59"/>
      <c r="AI132" s="61" t="str">
        <f>IF(Table1[[#This Row],[Bauhaus]]="","", HYPERLINK(Table1[[#This Row],[Destination - Bauhaus]],_xlfn.CONCAT("Link (",Table1[[#This Row],[Bauhaus]],")")))</f>
        <v/>
      </c>
      <c r="AJ132" s="62" t="str">
        <f>_xlfn.CONCAT("https://www.bauhaus.ch/fr/search?query=",Table1[[#This Row],[Bauhaus]])</f>
        <v>https://www.bauhaus.ch/fr/search?query=</v>
      </c>
      <c r="AK132" s="59"/>
      <c r="AL132" s="59"/>
      <c r="AM132" s="61" t="str">
        <f>IF(Table1[[#This Row],[BricoEtLoisirs]]="","", HYPERLINK(Table1[[#This Row],[Destination - BricoEtLoisirs]],_xlfn.CONCAT("Link (",Table1[[#This Row],[BricoEtLoisirs]],")")))</f>
        <v/>
      </c>
      <c r="AN132" s="62" t="str">
        <f>_xlfn.CONCAT("https://bricoetloisirs.ch/p/",Table1[[#This Row],[BricoEtLoisirs]])</f>
        <v>https://bricoetloisirs.ch/p/</v>
      </c>
      <c r="AO132" s="57"/>
      <c r="AP132" s="59"/>
      <c r="AQ132" s="61" t="str">
        <f>IF(Table1[[#This Row],[Aliexpress]]="","", HYPERLINK(Table1[[#This Row],[Destination - Aliexpress]],_xlfn.CONCAT("Link (",Table1[[#This Row],[Aliexpress]],")")))</f>
        <v/>
      </c>
      <c r="AR132" s="62" t="str">
        <f>_xlfn.CONCAT("https://www.aliexpress.com/item/",Table1[[#This Row],[Aliexpress]],".html")</f>
        <v>https://www.aliexpress.com/item/.html</v>
      </c>
      <c r="AS132" s="57"/>
      <c r="AT132" s="59"/>
      <c r="AU132" s="61" t="str">
        <f>IF(Table1[[#This Row],[Banggood]]="","", HYPERLINK(Table1[[#This Row],[Destination - Banggood]],_xlfn.CONCAT("Link (",Table1[[#This Row],[Banggood]],")")))</f>
        <v/>
      </c>
      <c r="AV132" s="62" t="str">
        <f>_xlfn.CONCAT("https://www.banggood.com/search/",Table1[[#This Row],[Banggood]],".html")</f>
        <v>https://www.banggood.com/search/.html</v>
      </c>
      <c r="AW132" s="59" t="str">
        <f>IF(Table1[[#This Row],[Other]]&lt;&gt;"","Other","")</f>
        <v/>
      </c>
      <c r="AX132" s="57"/>
      <c r="AY132" s="59"/>
      <c r="AZ132" s="61" t="str">
        <f>IF(Table1[[#This Row],[Other]]="","",IF(Table1[[#This Row],[Destination - Other]]="","",HYPERLINK(Table1[[#This Row],[Destination - Other]],_xlfn.CONCAT("Link ("&amp;Table1[[#This Row],[Other]]&amp;")"))))</f>
        <v/>
      </c>
      <c r="BA132" s="59"/>
      <c r="BB132" s="58" t="str">
        <f>IF(AND( Table1[[#This Row],[Auto Order]]=1,Table1[[#This Row],[Obsolete]]=""),IF(Table1[[#This Row],[In stock]]&lt;Table1[[#This Row],[Min in stock]],1,""),"")</f>
        <v/>
      </c>
      <c r="BC132" s="64"/>
      <c r="BD132" s="66" t="str">
        <f>IF(Table1[[#This Row],[Obsolete]],Table1[[#This Row],[Art. Number]],"")</f>
        <v/>
      </c>
    </row>
    <row r="133" spans="1:56" x14ac:dyDescent="0.25">
      <c r="A133" s="65" t="s">
        <v>39</v>
      </c>
      <c r="B133" s="57" t="s">
        <v>396</v>
      </c>
      <c r="C133" s="57" t="s">
        <v>884</v>
      </c>
      <c r="D133" s="57" t="s">
        <v>885</v>
      </c>
      <c r="E133" s="57" t="s">
        <v>435</v>
      </c>
      <c r="F133" s="58">
        <v>6</v>
      </c>
      <c r="G133" s="58">
        <v>5</v>
      </c>
      <c r="H133" s="58">
        <v>1</v>
      </c>
      <c r="I13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732-4998-1-ND</v>
      </c>
      <c r="J13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0.45</v>
      </c>
      <c r="K13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(732-4998-1-ND)</v>
      </c>
      <c r="M133" s="57" t="s">
        <v>886</v>
      </c>
      <c r="N133" s="59">
        <v>0.45</v>
      </c>
      <c r="O133" s="61" t="str">
        <f>IF(Table1[[#This Row],[Digikey]]="","", HYPERLINK(Table1[[#This Row],[Destination - Digikey]],_xlfn.CONCAT("Link (",Table1[[#This Row],[Digikey]],")")))</f>
        <v>Link (732-4998-1-ND)</v>
      </c>
      <c r="P133" s="62" t="str">
        <f>_xlfn.CONCAT("https://www.digikey.ch/products/en?keywords=",Table1[[#This Row],[Digikey]])</f>
        <v>https://www.digikey.ch/products/en?keywords=732-4998-1-ND</v>
      </c>
      <c r="Q133" s="57"/>
      <c r="R133" s="59"/>
      <c r="S133" s="61" t="str">
        <f>IF(Table1[[#This Row],[Farnell]]="","", HYPERLINK(Table1[[#This Row],[Destination - Farnell]],_xlfn.CONCAT("Link (",Table1[[#This Row],[Farnell]],")")))</f>
        <v/>
      </c>
      <c r="T133" s="62" t="str">
        <f>_xlfn.CONCAT("https://ch.farnell.com/fr-CH/",Table1[[#This Row],[Farnell]])</f>
        <v>https://ch.farnell.com/fr-CH/</v>
      </c>
      <c r="U133" s="57"/>
      <c r="V133" s="59"/>
      <c r="W133" s="61" t="str">
        <f>IF(Table1[[#This Row],[Distrelec]]="","", HYPERLINK(Table1[[#This Row],[Destination - Distrelec]],_xlfn.CONCAT("Link (",Table1[[#This Row],[Distrelec]],")")))</f>
        <v/>
      </c>
      <c r="X133" s="62" t="str">
        <f>_xlfn.CONCAT("https://www.distrelec.ch/search?q=",Table1[[#This Row],[Distrelec]])</f>
        <v>https://www.distrelec.ch/search?q=</v>
      </c>
      <c r="Y133" s="57"/>
      <c r="Z133" s="59"/>
      <c r="AA133" s="61" t="str">
        <f>IF(Table1[[#This Row],[Conrad]]="","", HYPERLINK(Table1[[#This Row],[Destination - Conrad]],_xlfn.CONCAT("Link (",Table1[[#This Row],[Conrad]],")")))</f>
        <v/>
      </c>
      <c r="AB133" s="62"/>
      <c r="AC133" s="57"/>
      <c r="AD133" s="59"/>
      <c r="AE133" s="61" t="str">
        <f>IF(Table1[[#This Row],[Mouser]]="","", HYPERLINK(Table1[[#This Row],[Destination - Mouser]],_xlfn.CONCAT("Link (",Table1[[#This Row],[Mouser]],")")))</f>
        <v/>
      </c>
      <c r="AF133" s="62" t="str">
        <f>_xlfn.CONCAT("https://www.mouser.ch/ProductDetail/",Table1[[#This Row],[Mouser]])</f>
        <v>https://www.mouser.ch/ProductDetail/</v>
      </c>
      <c r="AG133" s="57"/>
      <c r="AH133" s="59"/>
      <c r="AI133" s="61" t="str">
        <f>IF(Table1[[#This Row],[Bauhaus]]="","", HYPERLINK(Table1[[#This Row],[Destination - Bauhaus]],_xlfn.CONCAT("Link (",Table1[[#This Row],[Bauhaus]],")")))</f>
        <v/>
      </c>
      <c r="AJ133" s="62" t="str">
        <f>_xlfn.CONCAT("https://www.bauhaus.ch/fr/search?query=",Table1[[#This Row],[Bauhaus]])</f>
        <v>https://www.bauhaus.ch/fr/search?query=</v>
      </c>
      <c r="AK133" s="59"/>
      <c r="AL133" s="59"/>
      <c r="AM133" s="61" t="str">
        <f>IF(Table1[[#This Row],[BricoEtLoisirs]]="","", HYPERLINK(Table1[[#This Row],[Destination - BricoEtLoisirs]],_xlfn.CONCAT("Link (",Table1[[#This Row],[BricoEtLoisirs]],")")))</f>
        <v/>
      </c>
      <c r="AN133" s="62" t="str">
        <f>_xlfn.CONCAT("https://bricoetloisirs.ch/p/",Table1[[#This Row],[BricoEtLoisirs]])</f>
        <v>https://bricoetloisirs.ch/p/</v>
      </c>
      <c r="AO133" s="57"/>
      <c r="AP133" s="59"/>
      <c r="AQ133" s="61" t="str">
        <f>IF(Table1[[#This Row],[Aliexpress]]="","", HYPERLINK(Table1[[#This Row],[Destination - Aliexpress]],_xlfn.CONCAT("Link (",Table1[[#This Row],[Aliexpress]],")")))</f>
        <v/>
      </c>
      <c r="AR133" s="62" t="str">
        <f>_xlfn.CONCAT("https://www.aliexpress.com/item/",Table1[[#This Row],[Aliexpress]],".html")</f>
        <v>https://www.aliexpress.com/item/.html</v>
      </c>
      <c r="AS133" s="57"/>
      <c r="AT133" s="59"/>
      <c r="AU133" s="61" t="str">
        <f>IF(Table1[[#This Row],[Banggood]]="","", HYPERLINK(Table1[[#This Row],[Destination - Banggood]],_xlfn.CONCAT("Link (",Table1[[#This Row],[Banggood]],")")))</f>
        <v/>
      </c>
      <c r="AV133" s="62" t="str">
        <f>_xlfn.CONCAT("https://www.banggood.com/search/",Table1[[#This Row],[Banggood]],".html")</f>
        <v>https://www.banggood.com/search/.html</v>
      </c>
      <c r="AW133" s="59" t="str">
        <f>IF(Table1[[#This Row],[Other]]&lt;&gt;"","Other","")</f>
        <v/>
      </c>
      <c r="AX133" s="57"/>
      <c r="AY133" s="59"/>
      <c r="AZ133" s="61" t="str">
        <f>IF(Table1[[#This Row],[Other]]="","",IF(Table1[[#This Row],[Destination - Other]]="","",HYPERLINK(Table1[[#This Row],[Destination - Other]],_xlfn.CONCAT("Link ("&amp;Table1[[#This Row],[Other]]&amp;")"))))</f>
        <v/>
      </c>
      <c r="BA133" s="59"/>
      <c r="BB133" s="58" t="str">
        <f>IF(AND( Table1[[#This Row],[Auto Order]]=1,Table1[[#This Row],[Obsolete]]=""),IF(Table1[[#This Row],[In stock]]&lt;Table1[[#This Row],[Min in stock]],1,""),"")</f>
        <v/>
      </c>
      <c r="BC133" s="64"/>
      <c r="BD133" s="66" t="str">
        <f>IF(Table1[[#This Row],[Obsolete]],Table1[[#This Row],[Art. Number]],"")</f>
        <v/>
      </c>
    </row>
    <row r="134" spans="1:56" x14ac:dyDescent="0.25">
      <c r="A134" s="65" t="s">
        <v>58</v>
      </c>
      <c r="B134" s="57" t="s">
        <v>893</v>
      </c>
      <c r="C134" s="57" t="s">
        <v>894</v>
      </c>
      <c r="D134" s="57" t="s">
        <v>895</v>
      </c>
      <c r="E134" s="57" t="s">
        <v>435</v>
      </c>
      <c r="F134" s="58">
        <v>0</v>
      </c>
      <c r="G134" s="58"/>
      <c r="H134" s="58"/>
      <c r="I13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TLMS1000-GS08CT-ND</v>
      </c>
      <c r="J13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0.52</v>
      </c>
      <c r="K13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(TLMS1000-GS08CT-ND)</v>
      </c>
      <c r="M134" s="57" t="s">
        <v>896</v>
      </c>
      <c r="N134" s="59">
        <v>0.52</v>
      </c>
      <c r="O134" s="61" t="str">
        <f>IF(Table1[[#This Row],[Digikey]]="","", HYPERLINK(Table1[[#This Row],[Destination - Digikey]],_xlfn.CONCAT("Link (",Table1[[#This Row],[Digikey]],")")))</f>
        <v>Link (TLMS1000-GS08CT-ND)</v>
      </c>
      <c r="P134" s="62" t="str">
        <f>_xlfn.CONCAT("https://www.digikey.ch/products/en?keywords=",Table1[[#This Row],[Digikey]])</f>
        <v>https://www.digikey.ch/products/en?keywords=TLMS1000-GS08CT-ND</v>
      </c>
      <c r="Q134" s="57"/>
      <c r="R134" s="59"/>
      <c r="S134" s="61" t="str">
        <f>IF(Table1[[#This Row],[Farnell]]="","", HYPERLINK(Table1[[#This Row],[Destination - Farnell]],_xlfn.CONCAT("Link (",Table1[[#This Row],[Farnell]],")")))</f>
        <v/>
      </c>
      <c r="T134" s="62" t="str">
        <f>_xlfn.CONCAT("https://ch.farnell.com/fr-CH/",Table1[[#This Row],[Farnell]])</f>
        <v>https://ch.farnell.com/fr-CH/</v>
      </c>
      <c r="U134" s="57"/>
      <c r="V134" s="59"/>
      <c r="W134" s="61" t="str">
        <f>IF(Table1[[#This Row],[Distrelec]]="","", HYPERLINK(Table1[[#This Row],[Destination - Distrelec]],_xlfn.CONCAT("Link (",Table1[[#This Row],[Distrelec]],")")))</f>
        <v/>
      </c>
      <c r="X134" s="62" t="str">
        <f>_xlfn.CONCAT("https://www.distrelec.ch/search?q=",Table1[[#This Row],[Distrelec]])</f>
        <v>https://www.distrelec.ch/search?q=</v>
      </c>
      <c r="Y134" s="57"/>
      <c r="Z134" s="59"/>
      <c r="AA134" s="61" t="str">
        <f>IF(Table1[[#This Row],[Conrad]]="","", HYPERLINK(Table1[[#This Row],[Destination - Conrad]],_xlfn.CONCAT("Link (",Table1[[#This Row],[Conrad]],")")))</f>
        <v/>
      </c>
      <c r="AB134" s="62"/>
      <c r="AC134" s="57"/>
      <c r="AD134" s="59"/>
      <c r="AE134" s="61" t="str">
        <f>IF(Table1[[#This Row],[Mouser]]="","", HYPERLINK(Table1[[#This Row],[Destination - Mouser]],_xlfn.CONCAT("Link (",Table1[[#This Row],[Mouser]],")")))</f>
        <v/>
      </c>
      <c r="AF134" s="62" t="str">
        <f>_xlfn.CONCAT("https://www.mouser.ch/ProductDetail/",Table1[[#This Row],[Mouser]])</f>
        <v>https://www.mouser.ch/ProductDetail/</v>
      </c>
      <c r="AG134" s="57"/>
      <c r="AH134" s="59"/>
      <c r="AI134" s="61" t="str">
        <f>IF(Table1[[#This Row],[Bauhaus]]="","", HYPERLINK(Table1[[#This Row],[Destination - Bauhaus]],_xlfn.CONCAT("Link (",Table1[[#This Row],[Bauhaus]],")")))</f>
        <v/>
      </c>
      <c r="AJ134" s="62" t="str">
        <f>_xlfn.CONCAT("https://www.bauhaus.ch/fr/search?query=",Table1[[#This Row],[Bauhaus]])</f>
        <v>https://www.bauhaus.ch/fr/search?query=</v>
      </c>
      <c r="AK134" s="59"/>
      <c r="AL134" s="59"/>
      <c r="AM134" s="61" t="str">
        <f>IF(Table1[[#This Row],[BricoEtLoisirs]]="","", HYPERLINK(Table1[[#This Row],[Destination - BricoEtLoisirs]],_xlfn.CONCAT("Link (",Table1[[#This Row],[BricoEtLoisirs]],")")))</f>
        <v/>
      </c>
      <c r="AN134" s="62" t="str">
        <f>_xlfn.CONCAT("https://bricoetloisirs.ch/p/",Table1[[#This Row],[BricoEtLoisirs]])</f>
        <v>https://bricoetloisirs.ch/p/</v>
      </c>
      <c r="AO134" s="57"/>
      <c r="AP134" s="59"/>
      <c r="AQ134" s="61" t="str">
        <f>IF(Table1[[#This Row],[Aliexpress]]="","", HYPERLINK(Table1[[#This Row],[Destination - Aliexpress]],_xlfn.CONCAT("Link (",Table1[[#This Row],[Aliexpress]],")")))</f>
        <v/>
      </c>
      <c r="AR134" s="62" t="str">
        <f>_xlfn.CONCAT("https://www.aliexpress.com/item/",Table1[[#This Row],[Aliexpress]],".html")</f>
        <v>https://www.aliexpress.com/item/.html</v>
      </c>
      <c r="AS134" s="57"/>
      <c r="AT134" s="59"/>
      <c r="AU134" s="61" t="str">
        <f>IF(Table1[[#This Row],[Banggood]]="","", HYPERLINK(Table1[[#This Row],[Destination - Banggood]],_xlfn.CONCAT("Link (",Table1[[#This Row],[Banggood]],")")))</f>
        <v/>
      </c>
      <c r="AV134" s="62" t="str">
        <f>_xlfn.CONCAT("https://www.banggood.com/search/",Table1[[#This Row],[Banggood]],".html")</f>
        <v>https://www.banggood.com/search/.html</v>
      </c>
      <c r="AW134" s="59" t="str">
        <f>IF(Table1[[#This Row],[Other]]&lt;&gt;"","Other","")</f>
        <v/>
      </c>
      <c r="AX134" s="57"/>
      <c r="AY134" s="59"/>
      <c r="AZ134" s="61" t="str">
        <f>IF(Table1[[#This Row],[Other]]="","",IF(Table1[[#This Row],[Destination - Other]]="","",HYPERLINK(Table1[[#This Row],[Destination - Other]],_xlfn.CONCAT("Link ("&amp;Table1[[#This Row],[Other]]&amp;")"))))</f>
        <v/>
      </c>
      <c r="BA134" s="59"/>
      <c r="BB134" s="58" t="str">
        <f>IF(AND( Table1[[#This Row],[Auto Order]]=1,Table1[[#This Row],[Obsolete]]=""),IF(Table1[[#This Row],[In stock]]&lt;Table1[[#This Row],[Min in stock]],1,""),"")</f>
        <v/>
      </c>
      <c r="BC134" s="64"/>
      <c r="BD134" s="66" t="str">
        <f>IF(Table1[[#This Row],[Obsolete]],Table1[[#This Row],[Art. Number]],"")</f>
        <v/>
      </c>
    </row>
    <row r="135" spans="1:56" x14ac:dyDescent="0.25">
      <c r="A135" s="65" t="s">
        <v>900</v>
      </c>
      <c r="B135" s="57" t="s">
        <v>893</v>
      </c>
      <c r="C135" s="57" t="s">
        <v>901</v>
      </c>
      <c r="D135" s="57" t="s">
        <v>902</v>
      </c>
      <c r="E135" s="57" t="s">
        <v>435</v>
      </c>
      <c r="F135" s="58">
        <v>2</v>
      </c>
      <c r="G135" s="58"/>
      <c r="H135" s="58"/>
      <c r="I13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VEML6040A3OGCT-ND</v>
      </c>
      <c r="J13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2.52</v>
      </c>
      <c r="K13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(VEML6040A3OGCT-ND)</v>
      </c>
      <c r="M135" s="57" t="s">
        <v>903</v>
      </c>
      <c r="N135" s="59">
        <v>2.52</v>
      </c>
      <c r="O135" s="61" t="str">
        <f>IF(Table1[[#This Row],[Digikey]]="","", HYPERLINK(Table1[[#This Row],[Destination - Digikey]],_xlfn.CONCAT("Link (",Table1[[#This Row],[Digikey]],")")))</f>
        <v>Link (VEML6040A3OGCT-ND)</v>
      </c>
      <c r="P135" s="62" t="str">
        <f>_xlfn.CONCAT("https://www.digikey.ch/products/en?keywords=",Table1[[#This Row],[Digikey]])</f>
        <v>https://www.digikey.ch/products/en?keywords=VEML6040A3OGCT-ND</v>
      </c>
      <c r="Q135" s="57"/>
      <c r="R135" s="59"/>
      <c r="S135" s="61" t="str">
        <f>IF(Table1[[#This Row],[Farnell]]="","", HYPERLINK(Table1[[#This Row],[Destination - Farnell]],_xlfn.CONCAT("Link (",Table1[[#This Row],[Farnell]],")")))</f>
        <v/>
      </c>
      <c r="T135" s="62" t="str">
        <f>_xlfn.CONCAT("https://ch.farnell.com/fr-CH/",Table1[[#This Row],[Farnell]])</f>
        <v>https://ch.farnell.com/fr-CH/</v>
      </c>
      <c r="U135" s="57"/>
      <c r="V135" s="59"/>
      <c r="W135" s="61" t="str">
        <f>IF(Table1[[#This Row],[Distrelec]]="","", HYPERLINK(Table1[[#This Row],[Destination - Distrelec]],_xlfn.CONCAT("Link (",Table1[[#This Row],[Distrelec]],")")))</f>
        <v/>
      </c>
      <c r="X135" s="62" t="str">
        <f>_xlfn.CONCAT("https://www.distrelec.ch/search?q=",Table1[[#This Row],[Distrelec]])</f>
        <v>https://www.distrelec.ch/search?q=</v>
      </c>
      <c r="Y135" s="57"/>
      <c r="Z135" s="59"/>
      <c r="AA135" s="61" t="str">
        <f>IF(Table1[[#This Row],[Conrad]]="","", HYPERLINK(Table1[[#This Row],[Destination - Conrad]],_xlfn.CONCAT("Link (",Table1[[#This Row],[Conrad]],")")))</f>
        <v/>
      </c>
      <c r="AB135" s="62"/>
      <c r="AC135" s="57"/>
      <c r="AD135" s="59"/>
      <c r="AE135" s="61" t="str">
        <f>IF(Table1[[#This Row],[Mouser]]="","", HYPERLINK(Table1[[#This Row],[Destination - Mouser]],_xlfn.CONCAT("Link (",Table1[[#This Row],[Mouser]],")")))</f>
        <v/>
      </c>
      <c r="AF135" s="62" t="str">
        <f>_xlfn.CONCAT("https://www.mouser.ch/ProductDetail/",Table1[[#This Row],[Mouser]])</f>
        <v>https://www.mouser.ch/ProductDetail/</v>
      </c>
      <c r="AG135" s="57"/>
      <c r="AH135" s="59"/>
      <c r="AI135" s="61" t="str">
        <f>IF(Table1[[#This Row],[Bauhaus]]="","", HYPERLINK(Table1[[#This Row],[Destination - Bauhaus]],_xlfn.CONCAT("Link (",Table1[[#This Row],[Bauhaus]],")")))</f>
        <v/>
      </c>
      <c r="AJ135" s="62" t="str">
        <f>_xlfn.CONCAT("https://www.bauhaus.ch/fr/search?query=",Table1[[#This Row],[Bauhaus]])</f>
        <v>https://www.bauhaus.ch/fr/search?query=</v>
      </c>
      <c r="AK135" s="59"/>
      <c r="AL135" s="59"/>
      <c r="AM135" s="61" t="str">
        <f>IF(Table1[[#This Row],[BricoEtLoisirs]]="","", HYPERLINK(Table1[[#This Row],[Destination - BricoEtLoisirs]],_xlfn.CONCAT("Link (",Table1[[#This Row],[BricoEtLoisirs]],")")))</f>
        <v/>
      </c>
      <c r="AN135" s="62" t="str">
        <f>_xlfn.CONCAT("https://bricoetloisirs.ch/p/",Table1[[#This Row],[BricoEtLoisirs]])</f>
        <v>https://bricoetloisirs.ch/p/</v>
      </c>
      <c r="AO135" s="57"/>
      <c r="AP135" s="59"/>
      <c r="AQ135" s="61" t="str">
        <f>IF(Table1[[#This Row],[Aliexpress]]="","", HYPERLINK(Table1[[#This Row],[Destination - Aliexpress]],_xlfn.CONCAT("Link (",Table1[[#This Row],[Aliexpress]],")")))</f>
        <v/>
      </c>
      <c r="AR135" s="62" t="str">
        <f>_xlfn.CONCAT("https://www.aliexpress.com/item/",Table1[[#This Row],[Aliexpress]],".html")</f>
        <v>https://www.aliexpress.com/item/.html</v>
      </c>
      <c r="AS135" s="57"/>
      <c r="AT135" s="59"/>
      <c r="AU135" s="61" t="str">
        <f>IF(Table1[[#This Row],[Banggood]]="","", HYPERLINK(Table1[[#This Row],[Destination - Banggood]],_xlfn.CONCAT("Link (",Table1[[#This Row],[Banggood]],")")))</f>
        <v/>
      </c>
      <c r="AV135" s="62" t="str">
        <f>_xlfn.CONCAT("https://www.banggood.com/search/",Table1[[#This Row],[Banggood]],".html")</f>
        <v>https://www.banggood.com/search/.html</v>
      </c>
      <c r="AW135" s="59" t="str">
        <f>IF(Table1[[#This Row],[Other]]&lt;&gt;"","Other","")</f>
        <v/>
      </c>
      <c r="AX135" s="57"/>
      <c r="AY135" s="59"/>
      <c r="AZ135" s="61" t="str">
        <f>IF(Table1[[#This Row],[Other]]="","",IF(Table1[[#This Row],[Destination - Other]]="","",HYPERLINK(Table1[[#This Row],[Destination - Other]],_xlfn.CONCAT("Link ("&amp;Table1[[#This Row],[Other]]&amp;")"))))</f>
        <v/>
      </c>
      <c r="BA135" s="59"/>
      <c r="BB135" s="58" t="str">
        <f>IF(AND( Table1[[#This Row],[Auto Order]]=1,Table1[[#This Row],[Obsolete]]=""),IF(Table1[[#This Row],[In stock]]&lt;Table1[[#This Row],[Min in stock]],1,""),"")</f>
        <v/>
      </c>
      <c r="BC135" s="64"/>
      <c r="BD135" s="66" t="str">
        <f>IF(Table1[[#This Row],[Obsolete]],Table1[[#This Row],[Art. Number]],"")</f>
        <v/>
      </c>
    </row>
    <row r="136" spans="1:56" x14ac:dyDescent="0.25">
      <c r="A136" s="65" t="s">
        <v>905</v>
      </c>
      <c r="B136" s="57" t="s">
        <v>704</v>
      </c>
      <c r="C136" s="57" t="s">
        <v>906</v>
      </c>
      <c r="D136" s="57" t="s">
        <v>907</v>
      </c>
      <c r="E136" s="57" t="s">
        <v>908</v>
      </c>
      <c r="F136" s="58">
        <v>5</v>
      </c>
      <c r="G136" s="58"/>
      <c r="H136" s="58"/>
      <c r="I13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2334901</v>
      </c>
      <c r="J13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0.27100000000000002</v>
      </c>
      <c r="K13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3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(2334901)</v>
      </c>
      <c r="M136" s="57"/>
      <c r="N136" s="59"/>
      <c r="O136" s="61" t="str">
        <f>IF(Table1[[#This Row],[Digikey]]="","", HYPERLINK(Table1[[#This Row],[Destination - Digikey]],_xlfn.CONCAT("Link (",Table1[[#This Row],[Digikey]],")")))</f>
        <v/>
      </c>
      <c r="P136" s="62" t="str">
        <f>_xlfn.CONCAT("https://www.digikey.ch/products/en?keywords=",Table1[[#This Row],[Digikey]])</f>
        <v>https://www.digikey.ch/products/en?keywords=</v>
      </c>
      <c r="Q136" s="57" t="s">
        <v>2409</v>
      </c>
      <c r="R136" s="59">
        <v>0.27100000000000002</v>
      </c>
      <c r="S136" s="61" t="str">
        <f>IF(Table1[[#This Row],[Farnell]]="","", HYPERLINK(Table1[[#This Row],[Destination - Farnell]],_xlfn.CONCAT("Link (",Table1[[#This Row],[Farnell]],")")))</f>
        <v>Link (2334901)</v>
      </c>
      <c r="T136" s="62" t="str">
        <f>_xlfn.CONCAT("https://ch.farnell.com/fr-CH/",Table1[[#This Row],[Farnell]])</f>
        <v>https://ch.farnell.com/fr-CH/2334901</v>
      </c>
      <c r="U136" s="57"/>
      <c r="V136" s="59"/>
      <c r="W136" s="61" t="str">
        <f>IF(Table1[[#This Row],[Distrelec]]="","", HYPERLINK(Table1[[#This Row],[Destination - Distrelec]],_xlfn.CONCAT("Link (",Table1[[#This Row],[Distrelec]],")")))</f>
        <v/>
      </c>
      <c r="X136" s="62" t="str">
        <f>_xlfn.CONCAT("https://www.distrelec.ch/search?q=",Table1[[#This Row],[Distrelec]])</f>
        <v>https://www.distrelec.ch/search?q=</v>
      </c>
      <c r="Y136" s="57"/>
      <c r="Z136" s="59"/>
      <c r="AA136" s="61" t="str">
        <f>IF(Table1[[#This Row],[Conrad]]="","", HYPERLINK(Table1[[#This Row],[Destination - Conrad]],_xlfn.CONCAT("Link (",Table1[[#This Row],[Conrad]],")")))</f>
        <v/>
      </c>
      <c r="AB136" s="62"/>
      <c r="AC136" s="57"/>
      <c r="AD136" s="59"/>
      <c r="AE136" s="61" t="str">
        <f>IF(Table1[[#This Row],[Mouser]]="","", HYPERLINK(Table1[[#This Row],[Destination - Mouser]],_xlfn.CONCAT("Link (",Table1[[#This Row],[Mouser]],")")))</f>
        <v/>
      </c>
      <c r="AF136" s="62" t="str">
        <f>_xlfn.CONCAT("https://www.mouser.ch/ProductDetail/",Table1[[#This Row],[Mouser]])</f>
        <v>https://www.mouser.ch/ProductDetail/</v>
      </c>
      <c r="AG136" s="57"/>
      <c r="AH136" s="59"/>
      <c r="AI136" s="61" t="str">
        <f>IF(Table1[[#This Row],[Bauhaus]]="","", HYPERLINK(Table1[[#This Row],[Destination - Bauhaus]],_xlfn.CONCAT("Link (",Table1[[#This Row],[Bauhaus]],")")))</f>
        <v/>
      </c>
      <c r="AJ136" s="62" t="str">
        <f>_xlfn.CONCAT("https://www.bauhaus.ch/fr/search?query=",Table1[[#This Row],[Bauhaus]])</f>
        <v>https://www.bauhaus.ch/fr/search?query=</v>
      </c>
      <c r="AK136" s="59"/>
      <c r="AL136" s="59"/>
      <c r="AM136" s="61" t="str">
        <f>IF(Table1[[#This Row],[BricoEtLoisirs]]="","", HYPERLINK(Table1[[#This Row],[Destination - BricoEtLoisirs]],_xlfn.CONCAT("Link (",Table1[[#This Row],[BricoEtLoisirs]],")")))</f>
        <v/>
      </c>
      <c r="AN136" s="62" t="str">
        <f>_xlfn.CONCAT("https://bricoetloisirs.ch/p/",Table1[[#This Row],[BricoEtLoisirs]])</f>
        <v>https://bricoetloisirs.ch/p/</v>
      </c>
      <c r="AO136" s="57"/>
      <c r="AP136" s="59"/>
      <c r="AQ136" s="61" t="str">
        <f>IF(Table1[[#This Row],[Aliexpress]]="","", HYPERLINK(Table1[[#This Row],[Destination - Aliexpress]],_xlfn.CONCAT("Link (",Table1[[#This Row],[Aliexpress]],")")))</f>
        <v/>
      </c>
      <c r="AR136" s="62" t="str">
        <f>_xlfn.CONCAT("https://www.aliexpress.com/item/",Table1[[#This Row],[Aliexpress]],".html")</f>
        <v>https://www.aliexpress.com/item/.html</v>
      </c>
      <c r="AS136" s="57"/>
      <c r="AT136" s="59"/>
      <c r="AU136" s="61" t="str">
        <f>IF(Table1[[#This Row],[Banggood]]="","", HYPERLINK(Table1[[#This Row],[Destination - Banggood]],_xlfn.CONCAT("Link (",Table1[[#This Row],[Banggood]],")")))</f>
        <v/>
      </c>
      <c r="AV136" s="62" t="str">
        <f>_xlfn.CONCAT("https://www.banggood.com/search/",Table1[[#This Row],[Banggood]],".html")</f>
        <v>https://www.banggood.com/search/.html</v>
      </c>
      <c r="AW136" s="59" t="str">
        <f>IF(Table1[[#This Row],[Other]]&lt;&gt;"","Other","")</f>
        <v/>
      </c>
      <c r="AX136" s="57"/>
      <c r="AY136" s="59"/>
      <c r="AZ136" s="61" t="str">
        <f>IF(Table1[[#This Row],[Other]]="","",IF(Table1[[#This Row],[Destination - Other]]="","",HYPERLINK(Table1[[#This Row],[Destination - Other]],_xlfn.CONCAT("Link ("&amp;Table1[[#This Row],[Other]]&amp;")"))))</f>
        <v/>
      </c>
      <c r="BA136" s="59"/>
      <c r="BB136" s="58" t="str">
        <f>IF(AND( Table1[[#This Row],[Auto Order]]=1,Table1[[#This Row],[Obsolete]]=""),IF(Table1[[#This Row],[In stock]]&lt;Table1[[#This Row],[Min in stock]],1,""),"")</f>
        <v/>
      </c>
      <c r="BC136" s="64"/>
      <c r="BD136" s="66" t="str">
        <f>IF(Table1[[#This Row],[Obsolete]],Table1[[#This Row],[Art. Number]],"")</f>
        <v/>
      </c>
    </row>
    <row r="137" spans="1:56" x14ac:dyDescent="0.25">
      <c r="A137" s="65" t="s">
        <v>8</v>
      </c>
      <c r="B137" s="57" t="s">
        <v>717</v>
      </c>
      <c r="C137" s="57" t="s">
        <v>910</v>
      </c>
      <c r="D137" s="57" t="s">
        <v>911</v>
      </c>
      <c r="E137" s="57" t="s">
        <v>908</v>
      </c>
      <c r="F137" s="58">
        <v>4</v>
      </c>
      <c r="G137" s="58"/>
      <c r="H137" s="58"/>
      <c r="I13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1287598</v>
      </c>
      <c r="J13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0.33100000000000002</v>
      </c>
      <c r="K13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3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(1287598)</v>
      </c>
      <c r="M137" s="57"/>
      <c r="N137" s="59"/>
      <c r="O137" s="61" t="str">
        <f>IF(Table1[[#This Row],[Digikey]]="","", HYPERLINK(Table1[[#This Row],[Destination - Digikey]],_xlfn.CONCAT("Link (",Table1[[#This Row],[Digikey]],")")))</f>
        <v/>
      </c>
      <c r="P137" s="62" t="str">
        <f>_xlfn.CONCAT("https://www.digikey.ch/products/en?keywords=",Table1[[#This Row],[Digikey]])</f>
        <v>https://www.digikey.ch/products/en?keywords=</v>
      </c>
      <c r="Q137" s="57" t="s">
        <v>2410</v>
      </c>
      <c r="R137" s="59">
        <v>0.33100000000000002</v>
      </c>
      <c r="S137" s="61" t="str">
        <f>IF(Table1[[#This Row],[Farnell]]="","", HYPERLINK(Table1[[#This Row],[Destination - Farnell]],_xlfn.CONCAT("Link (",Table1[[#This Row],[Farnell]],")")))</f>
        <v>Link (1287598)</v>
      </c>
      <c r="T137" s="62" t="str">
        <f>_xlfn.CONCAT("https://ch.farnell.com/fr-CH/",Table1[[#This Row],[Farnell]])</f>
        <v>https://ch.farnell.com/fr-CH/1287598</v>
      </c>
      <c r="U137" s="57"/>
      <c r="V137" s="59"/>
      <c r="W137" s="61" t="str">
        <f>IF(Table1[[#This Row],[Distrelec]]="","", HYPERLINK(Table1[[#This Row],[Destination - Distrelec]],_xlfn.CONCAT("Link (",Table1[[#This Row],[Distrelec]],")")))</f>
        <v/>
      </c>
      <c r="X137" s="62" t="str">
        <f>_xlfn.CONCAT("https://www.distrelec.ch/search?q=",Table1[[#This Row],[Distrelec]])</f>
        <v>https://www.distrelec.ch/search?q=</v>
      </c>
      <c r="Y137" s="57"/>
      <c r="Z137" s="59"/>
      <c r="AA137" s="61" t="str">
        <f>IF(Table1[[#This Row],[Conrad]]="","", HYPERLINK(Table1[[#This Row],[Destination - Conrad]],_xlfn.CONCAT("Link (",Table1[[#This Row],[Conrad]],")")))</f>
        <v/>
      </c>
      <c r="AB137" s="62"/>
      <c r="AC137" s="57"/>
      <c r="AD137" s="59"/>
      <c r="AE137" s="61" t="str">
        <f>IF(Table1[[#This Row],[Mouser]]="","", HYPERLINK(Table1[[#This Row],[Destination - Mouser]],_xlfn.CONCAT("Link (",Table1[[#This Row],[Mouser]],")")))</f>
        <v/>
      </c>
      <c r="AF137" s="62" t="str">
        <f>_xlfn.CONCAT("https://www.mouser.ch/ProductDetail/",Table1[[#This Row],[Mouser]])</f>
        <v>https://www.mouser.ch/ProductDetail/</v>
      </c>
      <c r="AG137" s="57"/>
      <c r="AH137" s="59"/>
      <c r="AI137" s="61" t="str">
        <f>IF(Table1[[#This Row],[Bauhaus]]="","", HYPERLINK(Table1[[#This Row],[Destination - Bauhaus]],_xlfn.CONCAT("Link (",Table1[[#This Row],[Bauhaus]],")")))</f>
        <v/>
      </c>
      <c r="AJ137" s="62" t="str">
        <f>_xlfn.CONCAT("https://www.bauhaus.ch/fr/search?query=",Table1[[#This Row],[Bauhaus]])</f>
        <v>https://www.bauhaus.ch/fr/search?query=</v>
      </c>
      <c r="AK137" s="59"/>
      <c r="AL137" s="59"/>
      <c r="AM137" s="61" t="str">
        <f>IF(Table1[[#This Row],[BricoEtLoisirs]]="","", HYPERLINK(Table1[[#This Row],[Destination - BricoEtLoisirs]],_xlfn.CONCAT("Link (",Table1[[#This Row],[BricoEtLoisirs]],")")))</f>
        <v/>
      </c>
      <c r="AN137" s="62" t="str">
        <f>_xlfn.CONCAT("https://bricoetloisirs.ch/p/",Table1[[#This Row],[BricoEtLoisirs]])</f>
        <v>https://bricoetloisirs.ch/p/</v>
      </c>
      <c r="AO137" s="57"/>
      <c r="AP137" s="59"/>
      <c r="AQ137" s="61" t="str">
        <f>IF(Table1[[#This Row],[Aliexpress]]="","", HYPERLINK(Table1[[#This Row],[Destination - Aliexpress]],_xlfn.CONCAT("Link (",Table1[[#This Row],[Aliexpress]],")")))</f>
        <v/>
      </c>
      <c r="AR137" s="62" t="str">
        <f>_xlfn.CONCAT("https://www.aliexpress.com/item/",Table1[[#This Row],[Aliexpress]],".html")</f>
        <v>https://www.aliexpress.com/item/.html</v>
      </c>
      <c r="AS137" s="57"/>
      <c r="AT137" s="59"/>
      <c r="AU137" s="61" t="str">
        <f>IF(Table1[[#This Row],[Banggood]]="","", HYPERLINK(Table1[[#This Row],[Destination - Banggood]],_xlfn.CONCAT("Link (",Table1[[#This Row],[Banggood]],")")))</f>
        <v/>
      </c>
      <c r="AV137" s="62" t="str">
        <f>_xlfn.CONCAT("https://www.banggood.com/search/",Table1[[#This Row],[Banggood]],".html")</f>
        <v>https://www.banggood.com/search/.html</v>
      </c>
      <c r="AW137" s="59" t="str">
        <f>IF(Table1[[#This Row],[Other]]&lt;&gt;"","Other","")</f>
        <v/>
      </c>
      <c r="AX137" s="57"/>
      <c r="AY137" s="59"/>
      <c r="AZ137" s="61" t="str">
        <f>IF(Table1[[#This Row],[Other]]="","",IF(Table1[[#This Row],[Destination - Other]]="","",HYPERLINK(Table1[[#This Row],[Destination - Other]],_xlfn.CONCAT("Link ("&amp;Table1[[#This Row],[Other]]&amp;")"))))</f>
        <v/>
      </c>
      <c r="BA137" s="59"/>
      <c r="BB137" s="58" t="str">
        <f>IF(AND( Table1[[#This Row],[Auto Order]]=1,Table1[[#This Row],[Obsolete]]=""),IF(Table1[[#This Row],[In stock]]&lt;Table1[[#This Row],[Min in stock]],1,""),"")</f>
        <v/>
      </c>
      <c r="BC137" s="64"/>
      <c r="BD137" s="66" t="str">
        <f>IF(Table1[[#This Row],[Obsolete]],Table1[[#This Row],[Art. Number]],"")</f>
        <v/>
      </c>
    </row>
    <row r="138" spans="1:56" x14ac:dyDescent="0.25">
      <c r="A138" s="65" t="s">
        <v>31</v>
      </c>
      <c r="B138" s="57" t="s">
        <v>375</v>
      </c>
      <c r="C138" s="57" t="s">
        <v>811</v>
      </c>
      <c r="D138" s="57" t="s">
        <v>812</v>
      </c>
      <c r="E138" s="57" t="s">
        <v>813</v>
      </c>
      <c r="F138" s="58">
        <v>2</v>
      </c>
      <c r="G138" s="58"/>
      <c r="H138" s="58"/>
      <c r="I13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PIC16LF1827-I/P-ND</v>
      </c>
      <c r="J13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1.57</v>
      </c>
      <c r="K13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(PIC16LF1827-I/P-ND)</v>
      </c>
      <c r="M138" s="57" t="s">
        <v>814</v>
      </c>
      <c r="N138" s="59">
        <v>1.57</v>
      </c>
      <c r="O138" s="61" t="str">
        <f>IF(Table1[[#This Row],[Digikey]]="","", HYPERLINK(Table1[[#This Row],[Destination - Digikey]],_xlfn.CONCAT("Link (",Table1[[#This Row],[Digikey]],")")))</f>
        <v>Link (PIC16LF1827-I/P-ND)</v>
      </c>
      <c r="P138" s="62" t="str">
        <f>_xlfn.CONCAT("https://www.digikey.ch/products/en?keywords=",Table1[[#This Row],[Digikey]])</f>
        <v>https://www.digikey.ch/products/en?keywords=PIC16LF1827-I/P-ND</v>
      </c>
      <c r="Q138" s="57"/>
      <c r="R138" s="59"/>
      <c r="S138" s="61" t="str">
        <f>IF(Table1[[#This Row],[Farnell]]="","", HYPERLINK(Table1[[#This Row],[Destination - Farnell]],_xlfn.CONCAT("Link (",Table1[[#This Row],[Farnell]],")")))</f>
        <v/>
      </c>
      <c r="T138" s="62" t="str">
        <f>_xlfn.CONCAT("https://ch.farnell.com/fr-CH/",Table1[[#This Row],[Farnell]])</f>
        <v>https://ch.farnell.com/fr-CH/</v>
      </c>
      <c r="U138" s="57"/>
      <c r="V138" s="59"/>
      <c r="W138" s="61" t="str">
        <f>IF(Table1[[#This Row],[Distrelec]]="","", HYPERLINK(Table1[[#This Row],[Destination - Distrelec]],_xlfn.CONCAT("Link (",Table1[[#This Row],[Distrelec]],")")))</f>
        <v/>
      </c>
      <c r="X138" s="62" t="str">
        <f>_xlfn.CONCAT("https://www.distrelec.ch/search?q=",Table1[[#This Row],[Distrelec]])</f>
        <v>https://www.distrelec.ch/search?q=</v>
      </c>
      <c r="Y138" s="57"/>
      <c r="Z138" s="59"/>
      <c r="AA138" s="61" t="str">
        <f>IF(Table1[[#This Row],[Conrad]]="","", HYPERLINK(Table1[[#This Row],[Destination - Conrad]],_xlfn.CONCAT("Link (",Table1[[#This Row],[Conrad]],")")))</f>
        <v/>
      </c>
      <c r="AB138" s="62"/>
      <c r="AC138" s="57"/>
      <c r="AD138" s="59"/>
      <c r="AE138" s="61" t="str">
        <f>IF(Table1[[#This Row],[Mouser]]="","", HYPERLINK(Table1[[#This Row],[Destination - Mouser]],_xlfn.CONCAT("Link (",Table1[[#This Row],[Mouser]],")")))</f>
        <v/>
      </c>
      <c r="AF138" s="62" t="str">
        <f>_xlfn.CONCAT("https://www.mouser.ch/ProductDetail/",Table1[[#This Row],[Mouser]])</f>
        <v>https://www.mouser.ch/ProductDetail/</v>
      </c>
      <c r="AG138" s="57"/>
      <c r="AH138" s="59"/>
      <c r="AI138" s="61" t="str">
        <f>IF(Table1[[#This Row],[Bauhaus]]="","", HYPERLINK(Table1[[#This Row],[Destination - Bauhaus]],_xlfn.CONCAT("Link (",Table1[[#This Row],[Bauhaus]],")")))</f>
        <v/>
      </c>
      <c r="AJ138" s="62" t="str">
        <f>_xlfn.CONCAT("https://www.bauhaus.ch/fr/search?query=",Table1[[#This Row],[Bauhaus]])</f>
        <v>https://www.bauhaus.ch/fr/search?query=</v>
      </c>
      <c r="AK138" s="59"/>
      <c r="AL138" s="59"/>
      <c r="AM138" s="61" t="str">
        <f>IF(Table1[[#This Row],[BricoEtLoisirs]]="","", HYPERLINK(Table1[[#This Row],[Destination - BricoEtLoisirs]],_xlfn.CONCAT("Link (",Table1[[#This Row],[BricoEtLoisirs]],")")))</f>
        <v/>
      </c>
      <c r="AN138" s="62" t="str">
        <f>_xlfn.CONCAT("https://bricoetloisirs.ch/p/",Table1[[#This Row],[BricoEtLoisirs]])</f>
        <v>https://bricoetloisirs.ch/p/</v>
      </c>
      <c r="AO138" s="57"/>
      <c r="AP138" s="59"/>
      <c r="AQ138" s="61" t="str">
        <f>IF(Table1[[#This Row],[Aliexpress]]="","", HYPERLINK(Table1[[#This Row],[Destination - Aliexpress]],_xlfn.CONCAT("Link (",Table1[[#This Row],[Aliexpress]],")")))</f>
        <v/>
      </c>
      <c r="AR138" s="62" t="str">
        <f>_xlfn.CONCAT("https://www.aliexpress.com/item/",Table1[[#This Row],[Aliexpress]],".html")</f>
        <v>https://www.aliexpress.com/item/.html</v>
      </c>
      <c r="AS138" s="57"/>
      <c r="AT138" s="59"/>
      <c r="AU138" s="61" t="str">
        <f>IF(Table1[[#This Row],[Banggood]]="","", HYPERLINK(Table1[[#This Row],[Destination - Banggood]],_xlfn.CONCAT("Link (",Table1[[#This Row],[Banggood]],")")))</f>
        <v/>
      </c>
      <c r="AV138" s="62" t="str">
        <f>_xlfn.CONCAT("https://www.banggood.com/search/",Table1[[#This Row],[Banggood]],".html")</f>
        <v>https://www.banggood.com/search/.html</v>
      </c>
      <c r="AW138" s="59" t="str">
        <f>IF(Table1[[#This Row],[Other]]&lt;&gt;"","Other","")</f>
        <v/>
      </c>
      <c r="AX138" s="57"/>
      <c r="AY138" s="59"/>
      <c r="AZ138" s="61" t="str">
        <f>IF(Table1[[#This Row],[Other]]="","",IF(Table1[[#This Row],[Destination - Other]]="","",HYPERLINK(Table1[[#This Row],[Destination - Other]],_xlfn.CONCAT("Link ("&amp;Table1[[#This Row],[Other]]&amp;")"))))</f>
        <v/>
      </c>
      <c r="BA138" s="59"/>
      <c r="BB138" s="58" t="str">
        <f>IF(AND( Table1[[#This Row],[Auto Order]]=1,Table1[[#This Row],[Obsolete]]=""),IF(Table1[[#This Row],[In stock]]&lt;Table1[[#This Row],[Min in stock]],1,""),"")</f>
        <v/>
      </c>
      <c r="BC138" s="64"/>
      <c r="BD138" s="66" t="str">
        <f>IF(Table1[[#This Row],[Obsolete]],Table1[[#This Row],[Art. Number]],"")</f>
        <v/>
      </c>
    </row>
    <row r="139" spans="1:56" x14ac:dyDescent="0.25">
      <c r="A139" s="65" t="s">
        <v>816</v>
      </c>
      <c r="B139" s="57" t="s">
        <v>375</v>
      </c>
      <c r="C139" s="57" t="s">
        <v>817</v>
      </c>
      <c r="D139" s="57" t="s">
        <v>818</v>
      </c>
      <c r="E139" s="57" t="s">
        <v>813</v>
      </c>
      <c r="F139" s="58">
        <v>3</v>
      </c>
      <c r="G139" s="58"/>
      <c r="H139" s="58"/>
      <c r="I13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PIC16F18346-I/P-ND</v>
      </c>
      <c r="J13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1.53</v>
      </c>
      <c r="K13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3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(PIC16F18346-I/P-ND)</v>
      </c>
      <c r="M139" s="57" t="s">
        <v>819</v>
      </c>
      <c r="N139" s="59">
        <v>1.53</v>
      </c>
      <c r="O139" s="61" t="str">
        <f>IF(Table1[[#This Row],[Digikey]]="","", HYPERLINK(Table1[[#This Row],[Destination - Digikey]],_xlfn.CONCAT("Link (",Table1[[#This Row],[Digikey]],")")))</f>
        <v>Link (PIC16F18346-I/P-ND)</v>
      </c>
      <c r="P139" s="62" t="str">
        <f>_xlfn.CONCAT("https://www.digikey.ch/products/en?keywords=",Table1[[#This Row],[Digikey]])</f>
        <v>https://www.digikey.ch/products/en?keywords=PIC16F18346-I/P-ND</v>
      </c>
      <c r="Q139" s="57"/>
      <c r="R139" s="59"/>
      <c r="S139" s="61" t="str">
        <f>IF(Table1[[#This Row],[Farnell]]="","", HYPERLINK(Table1[[#This Row],[Destination - Farnell]],_xlfn.CONCAT("Link (",Table1[[#This Row],[Farnell]],")")))</f>
        <v/>
      </c>
      <c r="T139" s="62" t="str">
        <f>_xlfn.CONCAT("https://ch.farnell.com/fr-CH/",Table1[[#This Row],[Farnell]])</f>
        <v>https://ch.farnell.com/fr-CH/</v>
      </c>
      <c r="U139" s="57"/>
      <c r="V139" s="59"/>
      <c r="W139" s="61" t="str">
        <f>IF(Table1[[#This Row],[Distrelec]]="","", HYPERLINK(Table1[[#This Row],[Destination - Distrelec]],_xlfn.CONCAT("Link (",Table1[[#This Row],[Distrelec]],")")))</f>
        <v/>
      </c>
      <c r="X139" s="62" t="str">
        <f>_xlfn.CONCAT("https://www.distrelec.ch/search?q=",Table1[[#This Row],[Distrelec]])</f>
        <v>https://www.distrelec.ch/search?q=</v>
      </c>
      <c r="Y139" s="57"/>
      <c r="Z139" s="59"/>
      <c r="AA139" s="61" t="str">
        <f>IF(Table1[[#This Row],[Conrad]]="","", HYPERLINK(Table1[[#This Row],[Destination - Conrad]],_xlfn.CONCAT("Link (",Table1[[#This Row],[Conrad]],")")))</f>
        <v/>
      </c>
      <c r="AB139" s="62"/>
      <c r="AC139" s="57"/>
      <c r="AD139" s="59"/>
      <c r="AE139" s="61" t="str">
        <f>IF(Table1[[#This Row],[Mouser]]="","", HYPERLINK(Table1[[#This Row],[Destination - Mouser]],_xlfn.CONCAT("Link (",Table1[[#This Row],[Mouser]],")")))</f>
        <v/>
      </c>
      <c r="AF139" s="62" t="str">
        <f>_xlfn.CONCAT("https://www.mouser.ch/ProductDetail/",Table1[[#This Row],[Mouser]])</f>
        <v>https://www.mouser.ch/ProductDetail/</v>
      </c>
      <c r="AG139" s="57"/>
      <c r="AH139" s="59"/>
      <c r="AI139" s="61" t="str">
        <f>IF(Table1[[#This Row],[Bauhaus]]="","", HYPERLINK(Table1[[#This Row],[Destination - Bauhaus]],_xlfn.CONCAT("Link (",Table1[[#This Row],[Bauhaus]],")")))</f>
        <v/>
      </c>
      <c r="AJ139" s="62" t="str">
        <f>_xlfn.CONCAT("https://www.bauhaus.ch/fr/search?query=",Table1[[#This Row],[Bauhaus]])</f>
        <v>https://www.bauhaus.ch/fr/search?query=</v>
      </c>
      <c r="AK139" s="59"/>
      <c r="AL139" s="59"/>
      <c r="AM139" s="61" t="str">
        <f>IF(Table1[[#This Row],[BricoEtLoisirs]]="","", HYPERLINK(Table1[[#This Row],[Destination - BricoEtLoisirs]],_xlfn.CONCAT("Link (",Table1[[#This Row],[BricoEtLoisirs]],")")))</f>
        <v/>
      </c>
      <c r="AN139" s="62" t="str">
        <f>_xlfn.CONCAT("https://bricoetloisirs.ch/p/",Table1[[#This Row],[BricoEtLoisirs]])</f>
        <v>https://bricoetloisirs.ch/p/</v>
      </c>
      <c r="AO139" s="57"/>
      <c r="AP139" s="59"/>
      <c r="AQ139" s="61" t="str">
        <f>IF(Table1[[#This Row],[Aliexpress]]="","", HYPERLINK(Table1[[#This Row],[Destination - Aliexpress]],_xlfn.CONCAT("Link (",Table1[[#This Row],[Aliexpress]],")")))</f>
        <v/>
      </c>
      <c r="AR139" s="62" t="str">
        <f>_xlfn.CONCAT("https://www.aliexpress.com/item/",Table1[[#This Row],[Aliexpress]],".html")</f>
        <v>https://www.aliexpress.com/item/.html</v>
      </c>
      <c r="AS139" s="57"/>
      <c r="AT139" s="59"/>
      <c r="AU139" s="61" t="str">
        <f>IF(Table1[[#This Row],[Banggood]]="","", HYPERLINK(Table1[[#This Row],[Destination - Banggood]],_xlfn.CONCAT("Link (",Table1[[#This Row],[Banggood]],")")))</f>
        <v/>
      </c>
      <c r="AV139" s="62" t="str">
        <f>_xlfn.CONCAT("https://www.banggood.com/search/",Table1[[#This Row],[Banggood]],".html")</f>
        <v>https://www.banggood.com/search/.html</v>
      </c>
      <c r="AW139" s="59" t="str">
        <f>IF(Table1[[#This Row],[Other]]&lt;&gt;"","Other","")</f>
        <v/>
      </c>
      <c r="AX139" s="57"/>
      <c r="AY139" s="59"/>
      <c r="AZ139" s="61" t="str">
        <f>IF(Table1[[#This Row],[Other]]="","",IF(Table1[[#This Row],[Destination - Other]]="","",HYPERLINK(Table1[[#This Row],[Destination - Other]],_xlfn.CONCAT("Link ("&amp;Table1[[#This Row],[Other]]&amp;")"))))</f>
        <v/>
      </c>
      <c r="BA139" s="59"/>
      <c r="BB139" s="58" t="str">
        <f>IF(AND( Table1[[#This Row],[Auto Order]]=1,Table1[[#This Row],[Obsolete]]=""),IF(Table1[[#This Row],[In stock]]&lt;Table1[[#This Row],[Min in stock]],1,""),"")</f>
        <v/>
      </c>
      <c r="BC139" s="64"/>
      <c r="BD139" s="66" t="str">
        <f>IF(Table1[[#This Row],[Obsolete]],Table1[[#This Row],[Art. Number]],"")</f>
        <v/>
      </c>
    </row>
    <row r="140" spans="1:56" x14ac:dyDescent="0.25">
      <c r="A140" s="65" t="s">
        <v>913</v>
      </c>
      <c r="B140" s="57" t="s">
        <v>375</v>
      </c>
      <c r="C140" s="57" t="s">
        <v>914</v>
      </c>
      <c r="D140" s="57" t="s">
        <v>915</v>
      </c>
      <c r="E140" s="57" t="s">
        <v>813</v>
      </c>
      <c r="F140" s="58">
        <v>1</v>
      </c>
      <c r="G140" s="58"/>
      <c r="H140" s="58"/>
      <c r="I14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PIC16F15323T-I/SLCT-ND</v>
      </c>
      <c r="J14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0.74</v>
      </c>
      <c r="K14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(PIC16F15323T-I/SLCT-ND)</v>
      </c>
      <c r="M140" s="57" t="s">
        <v>916</v>
      </c>
      <c r="N140" s="59">
        <v>0.74</v>
      </c>
      <c r="O140" s="61" t="str">
        <f>IF(Table1[[#This Row],[Digikey]]="","", HYPERLINK(Table1[[#This Row],[Destination - Digikey]],_xlfn.CONCAT("Link (",Table1[[#This Row],[Digikey]],")")))</f>
        <v>Link (PIC16F15323T-I/SLCT-ND)</v>
      </c>
      <c r="P140" s="62" t="str">
        <f>_xlfn.CONCAT("https://www.digikey.ch/products/en?keywords=",Table1[[#This Row],[Digikey]])</f>
        <v>https://www.digikey.ch/products/en?keywords=PIC16F15323T-I/SLCT-ND</v>
      </c>
      <c r="Q140" s="57"/>
      <c r="R140" s="59"/>
      <c r="S140" s="61" t="str">
        <f>IF(Table1[[#This Row],[Farnell]]="","", HYPERLINK(Table1[[#This Row],[Destination - Farnell]],_xlfn.CONCAT("Link (",Table1[[#This Row],[Farnell]],")")))</f>
        <v/>
      </c>
      <c r="T140" s="62" t="str">
        <f>_xlfn.CONCAT("https://ch.farnell.com/fr-CH/",Table1[[#This Row],[Farnell]])</f>
        <v>https://ch.farnell.com/fr-CH/</v>
      </c>
      <c r="U140" s="57"/>
      <c r="V140" s="59"/>
      <c r="W140" s="61" t="str">
        <f>IF(Table1[[#This Row],[Distrelec]]="","", HYPERLINK(Table1[[#This Row],[Destination - Distrelec]],_xlfn.CONCAT("Link (",Table1[[#This Row],[Distrelec]],")")))</f>
        <v/>
      </c>
      <c r="X140" s="62" t="str">
        <f>_xlfn.CONCAT("https://www.distrelec.ch/search?q=",Table1[[#This Row],[Distrelec]])</f>
        <v>https://www.distrelec.ch/search?q=</v>
      </c>
      <c r="Y140" s="57"/>
      <c r="Z140" s="59"/>
      <c r="AA140" s="61" t="str">
        <f>IF(Table1[[#This Row],[Conrad]]="","", HYPERLINK(Table1[[#This Row],[Destination - Conrad]],_xlfn.CONCAT("Link (",Table1[[#This Row],[Conrad]],")")))</f>
        <v/>
      </c>
      <c r="AB140" s="62"/>
      <c r="AC140" s="57"/>
      <c r="AD140" s="59"/>
      <c r="AE140" s="61" t="str">
        <f>IF(Table1[[#This Row],[Mouser]]="","", HYPERLINK(Table1[[#This Row],[Destination - Mouser]],_xlfn.CONCAT("Link (",Table1[[#This Row],[Mouser]],")")))</f>
        <v/>
      </c>
      <c r="AF140" s="62" t="str">
        <f>_xlfn.CONCAT("https://www.mouser.ch/ProductDetail/",Table1[[#This Row],[Mouser]])</f>
        <v>https://www.mouser.ch/ProductDetail/</v>
      </c>
      <c r="AG140" s="57"/>
      <c r="AH140" s="59"/>
      <c r="AI140" s="61" t="str">
        <f>IF(Table1[[#This Row],[Bauhaus]]="","", HYPERLINK(Table1[[#This Row],[Destination - Bauhaus]],_xlfn.CONCAT("Link (",Table1[[#This Row],[Bauhaus]],")")))</f>
        <v/>
      </c>
      <c r="AJ140" s="62" t="str">
        <f>_xlfn.CONCAT("https://www.bauhaus.ch/fr/search?query=",Table1[[#This Row],[Bauhaus]])</f>
        <v>https://www.bauhaus.ch/fr/search?query=</v>
      </c>
      <c r="AK140" s="59"/>
      <c r="AL140" s="59"/>
      <c r="AM140" s="61" t="str">
        <f>IF(Table1[[#This Row],[BricoEtLoisirs]]="","", HYPERLINK(Table1[[#This Row],[Destination - BricoEtLoisirs]],_xlfn.CONCAT("Link (",Table1[[#This Row],[BricoEtLoisirs]],")")))</f>
        <v/>
      </c>
      <c r="AN140" s="62" t="str">
        <f>_xlfn.CONCAT("https://bricoetloisirs.ch/p/",Table1[[#This Row],[BricoEtLoisirs]])</f>
        <v>https://bricoetloisirs.ch/p/</v>
      </c>
      <c r="AO140" s="57"/>
      <c r="AP140" s="59"/>
      <c r="AQ140" s="61" t="str">
        <f>IF(Table1[[#This Row],[Aliexpress]]="","", HYPERLINK(Table1[[#This Row],[Destination - Aliexpress]],_xlfn.CONCAT("Link (",Table1[[#This Row],[Aliexpress]],")")))</f>
        <v/>
      </c>
      <c r="AR140" s="62" t="str">
        <f>_xlfn.CONCAT("https://www.aliexpress.com/item/",Table1[[#This Row],[Aliexpress]],".html")</f>
        <v>https://www.aliexpress.com/item/.html</v>
      </c>
      <c r="AS140" s="57"/>
      <c r="AT140" s="59"/>
      <c r="AU140" s="61" t="str">
        <f>IF(Table1[[#This Row],[Banggood]]="","", HYPERLINK(Table1[[#This Row],[Destination - Banggood]],_xlfn.CONCAT("Link (",Table1[[#This Row],[Banggood]],")")))</f>
        <v/>
      </c>
      <c r="AV140" s="62" t="str">
        <f>_xlfn.CONCAT("https://www.banggood.com/search/",Table1[[#This Row],[Banggood]],".html")</f>
        <v>https://www.banggood.com/search/.html</v>
      </c>
      <c r="AW140" s="59" t="str">
        <f>IF(Table1[[#This Row],[Other]]&lt;&gt;"","Other","")</f>
        <v/>
      </c>
      <c r="AX140" s="57"/>
      <c r="AY140" s="59"/>
      <c r="AZ140" s="61" t="str">
        <f>IF(Table1[[#This Row],[Other]]="","",IF(Table1[[#This Row],[Destination - Other]]="","",HYPERLINK(Table1[[#This Row],[Destination - Other]],_xlfn.CONCAT("Link ("&amp;Table1[[#This Row],[Other]]&amp;")"))))</f>
        <v/>
      </c>
      <c r="BA140" s="59"/>
      <c r="BB140" s="58" t="str">
        <f>IF(AND( Table1[[#This Row],[Auto Order]]=1,Table1[[#This Row],[Obsolete]]=""),IF(Table1[[#This Row],[In stock]]&lt;Table1[[#This Row],[Min in stock]],1,""),"")</f>
        <v/>
      </c>
      <c r="BC140" s="64"/>
      <c r="BD140" s="66" t="str">
        <f>IF(Table1[[#This Row],[Obsolete]],Table1[[#This Row],[Art. Number]],"")</f>
        <v/>
      </c>
    </row>
    <row r="141" spans="1:56" x14ac:dyDescent="0.25">
      <c r="A141" s="65" t="s">
        <v>918</v>
      </c>
      <c r="B141" s="57" t="s">
        <v>375</v>
      </c>
      <c r="C141" s="57" t="s">
        <v>97</v>
      </c>
      <c r="D141" s="57" t="s">
        <v>919</v>
      </c>
      <c r="E141" s="57" t="s">
        <v>813</v>
      </c>
      <c r="F141" s="58">
        <v>0</v>
      </c>
      <c r="G141" s="58"/>
      <c r="H141" s="58"/>
      <c r="I14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PIC16F18325-I/SL-ND</v>
      </c>
      <c r="J14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1.02</v>
      </c>
      <c r="K14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(PIC16F18325-I/SL-ND)</v>
      </c>
      <c r="M141" s="57" t="s">
        <v>920</v>
      </c>
      <c r="N141" s="59">
        <v>1.02</v>
      </c>
      <c r="O141" s="61" t="str">
        <f>IF(Table1[[#This Row],[Digikey]]="","", HYPERLINK(Table1[[#This Row],[Destination - Digikey]],_xlfn.CONCAT("Link (",Table1[[#This Row],[Digikey]],")")))</f>
        <v>Link (PIC16F18325-I/SL-ND)</v>
      </c>
      <c r="P141" s="62" t="str">
        <f>_xlfn.CONCAT("https://www.digikey.ch/products/en?keywords=",Table1[[#This Row],[Digikey]])</f>
        <v>https://www.digikey.ch/products/en?keywords=PIC16F18325-I/SL-ND</v>
      </c>
      <c r="Q141" s="57"/>
      <c r="R141" s="59"/>
      <c r="S141" s="61" t="str">
        <f>IF(Table1[[#This Row],[Farnell]]="","", HYPERLINK(Table1[[#This Row],[Destination - Farnell]],_xlfn.CONCAT("Link (",Table1[[#This Row],[Farnell]],")")))</f>
        <v/>
      </c>
      <c r="T141" s="62" t="str">
        <f>_xlfn.CONCAT("https://ch.farnell.com/fr-CH/",Table1[[#This Row],[Farnell]])</f>
        <v>https://ch.farnell.com/fr-CH/</v>
      </c>
      <c r="U141" s="57"/>
      <c r="V141" s="59"/>
      <c r="W141" s="61" t="str">
        <f>IF(Table1[[#This Row],[Distrelec]]="","", HYPERLINK(Table1[[#This Row],[Destination - Distrelec]],_xlfn.CONCAT("Link (",Table1[[#This Row],[Distrelec]],")")))</f>
        <v/>
      </c>
      <c r="X141" s="62" t="str">
        <f>_xlfn.CONCAT("https://www.distrelec.ch/search?q=",Table1[[#This Row],[Distrelec]])</f>
        <v>https://www.distrelec.ch/search?q=</v>
      </c>
      <c r="Y141" s="57"/>
      <c r="Z141" s="59"/>
      <c r="AA141" s="61" t="str">
        <f>IF(Table1[[#This Row],[Conrad]]="","", HYPERLINK(Table1[[#This Row],[Destination - Conrad]],_xlfn.CONCAT("Link (",Table1[[#This Row],[Conrad]],")")))</f>
        <v/>
      </c>
      <c r="AB141" s="62"/>
      <c r="AC141" s="57"/>
      <c r="AD141" s="59"/>
      <c r="AE141" s="61" t="str">
        <f>IF(Table1[[#This Row],[Mouser]]="","", HYPERLINK(Table1[[#This Row],[Destination - Mouser]],_xlfn.CONCAT("Link (",Table1[[#This Row],[Mouser]],")")))</f>
        <v/>
      </c>
      <c r="AF141" s="62" t="str">
        <f>_xlfn.CONCAT("https://www.mouser.ch/ProductDetail/",Table1[[#This Row],[Mouser]])</f>
        <v>https://www.mouser.ch/ProductDetail/</v>
      </c>
      <c r="AG141" s="57"/>
      <c r="AH141" s="59"/>
      <c r="AI141" s="61" t="str">
        <f>IF(Table1[[#This Row],[Bauhaus]]="","", HYPERLINK(Table1[[#This Row],[Destination - Bauhaus]],_xlfn.CONCAT("Link (",Table1[[#This Row],[Bauhaus]],")")))</f>
        <v/>
      </c>
      <c r="AJ141" s="62" t="str">
        <f>_xlfn.CONCAT("https://www.bauhaus.ch/fr/search?query=",Table1[[#This Row],[Bauhaus]])</f>
        <v>https://www.bauhaus.ch/fr/search?query=</v>
      </c>
      <c r="AK141" s="59"/>
      <c r="AL141" s="59"/>
      <c r="AM141" s="61" t="str">
        <f>IF(Table1[[#This Row],[BricoEtLoisirs]]="","", HYPERLINK(Table1[[#This Row],[Destination - BricoEtLoisirs]],_xlfn.CONCAT("Link (",Table1[[#This Row],[BricoEtLoisirs]],")")))</f>
        <v/>
      </c>
      <c r="AN141" s="62" t="str">
        <f>_xlfn.CONCAT("https://bricoetloisirs.ch/p/",Table1[[#This Row],[BricoEtLoisirs]])</f>
        <v>https://bricoetloisirs.ch/p/</v>
      </c>
      <c r="AO141" s="57"/>
      <c r="AP141" s="59"/>
      <c r="AQ141" s="61" t="str">
        <f>IF(Table1[[#This Row],[Aliexpress]]="","", HYPERLINK(Table1[[#This Row],[Destination - Aliexpress]],_xlfn.CONCAT("Link (",Table1[[#This Row],[Aliexpress]],")")))</f>
        <v/>
      </c>
      <c r="AR141" s="62" t="str">
        <f>_xlfn.CONCAT("https://www.aliexpress.com/item/",Table1[[#This Row],[Aliexpress]],".html")</f>
        <v>https://www.aliexpress.com/item/.html</v>
      </c>
      <c r="AS141" s="57"/>
      <c r="AT141" s="59"/>
      <c r="AU141" s="61" t="str">
        <f>IF(Table1[[#This Row],[Banggood]]="","", HYPERLINK(Table1[[#This Row],[Destination - Banggood]],_xlfn.CONCAT("Link (",Table1[[#This Row],[Banggood]],")")))</f>
        <v/>
      </c>
      <c r="AV141" s="62" t="str">
        <f>_xlfn.CONCAT("https://www.banggood.com/search/",Table1[[#This Row],[Banggood]],".html")</f>
        <v>https://www.banggood.com/search/.html</v>
      </c>
      <c r="AW141" s="59" t="str">
        <f>IF(Table1[[#This Row],[Other]]&lt;&gt;"","Other","")</f>
        <v/>
      </c>
      <c r="AX141" s="57"/>
      <c r="AY141" s="59"/>
      <c r="AZ141" s="61" t="str">
        <f>IF(Table1[[#This Row],[Other]]="","",IF(Table1[[#This Row],[Destination - Other]]="","",HYPERLINK(Table1[[#This Row],[Destination - Other]],_xlfn.CONCAT("Link ("&amp;Table1[[#This Row],[Other]]&amp;")"))))</f>
        <v/>
      </c>
      <c r="BA141" s="59"/>
      <c r="BB141" s="58" t="str">
        <f>IF(AND( Table1[[#This Row],[Auto Order]]=1,Table1[[#This Row],[Obsolete]]=""),IF(Table1[[#This Row],[In stock]]&lt;Table1[[#This Row],[Min in stock]],1,""),"")</f>
        <v/>
      </c>
      <c r="BC141" s="64"/>
      <c r="BD141" s="66" t="str">
        <f>IF(Table1[[#This Row],[Obsolete]],Table1[[#This Row],[Art. Number]],"")</f>
        <v/>
      </c>
    </row>
    <row r="142" spans="1:56" x14ac:dyDescent="0.25">
      <c r="A142" s="65" t="s">
        <v>40</v>
      </c>
      <c r="B142" s="57" t="s">
        <v>375</v>
      </c>
      <c r="C142" s="57" t="s">
        <v>933</v>
      </c>
      <c r="D142" s="57" t="s">
        <v>934</v>
      </c>
      <c r="E142" s="57" t="s">
        <v>813</v>
      </c>
      <c r="F142" s="58">
        <v>7</v>
      </c>
      <c r="G142" s="58">
        <v>5</v>
      </c>
      <c r="H142" s="58">
        <v>1</v>
      </c>
      <c r="I14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PIC16LF1827-I/SS-ND</v>
      </c>
      <c r="J14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1.47</v>
      </c>
      <c r="K14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(PIC16LF1827-I/SS-ND)</v>
      </c>
      <c r="M142" s="57" t="s">
        <v>935</v>
      </c>
      <c r="N142" s="59">
        <v>1.47</v>
      </c>
      <c r="O142" s="61" t="str">
        <f>IF(Table1[[#This Row],[Digikey]]="","", HYPERLINK(Table1[[#This Row],[Destination - Digikey]],_xlfn.CONCAT("Link (",Table1[[#This Row],[Digikey]],")")))</f>
        <v>Link (PIC16LF1827-I/SS-ND)</v>
      </c>
      <c r="P142" s="62" t="str">
        <f>_xlfn.CONCAT("https://www.digikey.ch/products/en?keywords=",Table1[[#This Row],[Digikey]])</f>
        <v>https://www.digikey.ch/products/en?keywords=PIC16LF1827-I/SS-ND</v>
      </c>
      <c r="Q142" s="57"/>
      <c r="R142" s="59"/>
      <c r="S142" s="61" t="str">
        <f>IF(Table1[[#This Row],[Farnell]]="","", HYPERLINK(Table1[[#This Row],[Destination - Farnell]],_xlfn.CONCAT("Link (",Table1[[#This Row],[Farnell]],")")))</f>
        <v/>
      </c>
      <c r="T142" s="62" t="str">
        <f>_xlfn.CONCAT("https://ch.farnell.com/fr-CH/",Table1[[#This Row],[Farnell]])</f>
        <v>https://ch.farnell.com/fr-CH/</v>
      </c>
      <c r="U142" s="57"/>
      <c r="V142" s="59"/>
      <c r="W142" s="61" t="str">
        <f>IF(Table1[[#This Row],[Distrelec]]="","", HYPERLINK(Table1[[#This Row],[Destination - Distrelec]],_xlfn.CONCAT("Link (",Table1[[#This Row],[Distrelec]],")")))</f>
        <v/>
      </c>
      <c r="X142" s="62" t="str">
        <f>_xlfn.CONCAT("https://www.distrelec.ch/search?q=",Table1[[#This Row],[Distrelec]])</f>
        <v>https://www.distrelec.ch/search?q=</v>
      </c>
      <c r="Y142" s="57"/>
      <c r="Z142" s="59"/>
      <c r="AA142" s="61" t="str">
        <f>IF(Table1[[#This Row],[Conrad]]="","", HYPERLINK(Table1[[#This Row],[Destination - Conrad]],_xlfn.CONCAT("Link (",Table1[[#This Row],[Conrad]],")")))</f>
        <v/>
      </c>
      <c r="AB142" s="62"/>
      <c r="AC142" s="57"/>
      <c r="AD142" s="59"/>
      <c r="AE142" s="61" t="str">
        <f>IF(Table1[[#This Row],[Mouser]]="","", HYPERLINK(Table1[[#This Row],[Destination - Mouser]],_xlfn.CONCAT("Link (",Table1[[#This Row],[Mouser]],")")))</f>
        <v/>
      </c>
      <c r="AF142" s="62" t="str">
        <f>_xlfn.CONCAT("https://www.mouser.ch/ProductDetail/",Table1[[#This Row],[Mouser]])</f>
        <v>https://www.mouser.ch/ProductDetail/</v>
      </c>
      <c r="AG142" s="57"/>
      <c r="AH142" s="59"/>
      <c r="AI142" s="61" t="str">
        <f>IF(Table1[[#This Row],[Bauhaus]]="","", HYPERLINK(Table1[[#This Row],[Destination - Bauhaus]],_xlfn.CONCAT("Link (",Table1[[#This Row],[Bauhaus]],")")))</f>
        <v/>
      </c>
      <c r="AJ142" s="62" t="str">
        <f>_xlfn.CONCAT("https://www.bauhaus.ch/fr/search?query=",Table1[[#This Row],[Bauhaus]])</f>
        <v>https://www.bauhaus.ch/fr/search?query=</v>
      </c>
      <c r="AK142" s="59"/>
      <c r="AL142" s="59"/>
      <c r="AM142" s="61" t="str">
        <f>IF(Table1[[#This Row],[BricoEtLoisirs]]="","", HYPERLINK(Table1[[#This Row],[Destination - BricoEtLoisirs]],_xlfn.CONCAT("Link (",Table1[[#This Row],[BricoEtLoisirs]],")")))</f>
        <v/>
      </c>
      <c r="AN142" s="62" t="str">
        <f>_xlfn.CONCAT("https://bricoetloisirs.ch/p/",Table1[[#This Row],[BricoEtLoisirs]])</f>
        <v>https://bricoetloisirs.ch/p/</v>
      </c>
      <c r="AO142" s="57"/>
      <c r="AP142" s="59"/>
      <c r="AQ142" s="61" t="str">
        <f>IF(Table1[[#This Row],[Aliexpress]]="","", HYPERLINK(Table1[[#This Row],[Destination - Aliexpress]],_xlfn.CONCAT("Link (",Table1[[#This Row],[Aliexpress]],")")))</f>
        <v/>
      </c>
      <c r="AR142" s="62" t="str">
        <f>_xlfn.CONCAT("https://www.aliexpress.com/item/",Table1[[#This Row],[Aliexpress]],".html")</f>
        <v>https://www.aliexpress.com/item/.html</v>
      </c>
      <c r="AS142" s="57"/>
      <c r="AT142" s="59"/>
      <c r="AU142" s="61" t="str">
        <f>IF(Table1[[#This Row],[Banggood]]="","", HYPERLINK(Table1[[#This Row],[Destination - Banggood]],_xlfn.CONCAT("Link (",Table1[[#This Row],[Banggood]],")")))</f>
        <v/>
      </c>
      <c r="AV142" s="62" t="str">
        <f>_xlfn.CONCAT("https://www.banggood.com/search/",Table1[[#This Row],[Banggood]],".html")</f>
        <v>https://www.banggood.com/search/.html</v>
      </c>
      <c r="AW142" s="59" t="str">
        <f>IF(Table1[[#This Row],[Other]]&lt;&gt;"","Other","")</f>
        <v/>
      </c>
      <c r="AX142" s="57"/>
      <c r="AY142" s="59"/>
      <c r="AZ142" s="61" t="str">
        <f>IF(Table1[[#This Row],[Other]]="","",IF(Table1[[#This Row],[Destination - Other]]="","",HYPERLINK(Table1[[#This Row],[Destination - Other]],_xlfn.CONCAT("Link ("&amp;Table1[[#This Row],[Other]]&amp;")"))))</f>
        <v/>
      </c>
      <c r="BA142" s="59"/>
      <c r="BB142" s="58" t="str">
        <f>IF(AND( Table1[[#This Row],[Auto Order]]=1,Table1[[#This Row],[Obsolete]]=""),IF(Table1[[#This Row],[In stock]]&lt;Table1[[#This Row],[Min in stock]],1,""),"")</f>
        <v/>
      </c>
      <c r="BC142" s="64"/>
      <c r="BD142" s="66" t="str">
        <f>IF(Table1[[#This Row],[Obsolete]],Table1[[#This Row],[Art. Number]],"")</f>
        <v/>
      </c>
    </row>
    <row r="143" spans="1:56" x14ac:dyDescent="0.25">
      <c r="A143" s="65" t="s">
        <v>937</v>
      </c>
      <c r="B143" s="57" t="s">
        <v>375</v>
      </c>
      <c r="C143" s="57" t="s">
        <v>938</v>
      </c>
      <c r="D143" s="57" t="s">
        <v>939</v>
      </c>
      <c r="E143" s="57" t="s">
        <v>813</v>
      </c>
      <c r="F143" s="58">
        <v>4</v>
      </c>
      <c r="G143" s="58"/>
      <c r="H143" s="58"/>
      <c r="I14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PIC16LF18324-I/SL-ND</v>
      </c>
      <c r="J14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0.92</v>
      </c>
      <c r="K14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(PIC16LF18324-I/SL-ND)</v>
      </c>
      <c r="M143" s="57" t="s">
        <v>940</v>
      </c>
      <c r="N143" s="59">
        <v>0.92</v>
      </c>
      <c r="O143" s="61" t="str">
        <f>IF(Table1[[#This Row],[Digikey]]="","", HYPERLINK(Table1[[#This Row],[Destination - Digikey]],_xlfn.CONCAT("Link (",Table1[[#This Row],[Digikey]],")")))</f>
        <v>Link (PIC16LF18324-I/SL-ND)</v>
      </c>
      <c r="P143" s="62" t="str">
        <f>_xlfn.CONCAT("https://www.digikey.ch/products/en?keywords=",Table1[[#This Row],[Digikey]])</f>
        <v>https://www.digikey.ch/products/en?keywords=PIC16LF18324-I/SL-ND</v>
      </c>
      <c r="Q143" s="57"/>
      <c r="R143" s="59"/>
      <c r="S143" s="61" t="str">
        <f>IF(Table1[[#This Row],[Farnell]]="","", HYPERLINK(Table1[[#This Row],[Destination - Farnell]],_xlfn.CONCAT("Link (",Table1[[#This Row],[Farnell]],")")))</f>
        <v/>
      </c>
      <c r="T143" s="62" t="str">
        <f>_xlfn.CONCAT("https://ch.farnell.com/fr-CH/",Table1[[#This Row],[Farnell]])</f>
        <v>https://ch.farnell.com/fr-CH/</v>
      </c>
      <c r="U143" s="57"/>
      <c r="V143" s="59"/>
      <c r="W143" s="61" t="str">
        <f>IF(Table1[[#This Row],[Distrelec]]="","", HYPERLINK(Table1[[#This Row],[Destination - Distrelec]],_xlfn.CONCAT("Link (",Table1[[#This Row],[Distrelec]],")")))</f>
        <v/>
      </c>
      <c r="X143" s="62" t="str">
        <f>_xlfn.CONCAT("https://www.distrelec.ch/search?q=",Table1[[#This Row],[Distrelec]])</f>
        <v>https://www.distrelec.ch/search?q=</v>
      </c>
      <c r="Y143" s="57"/>
      <c r="Z143" s="59"/>
      <c r="AA143" s="61" t="str">
        <f>IF(Table1[[#This Row],[Conrad]]="","", HYPERLINK(Table1[[#This Row],[Destination - Conrad]],_xlfn.CONCAT("Link (",Table1[[#This Row],[Conrad]],")")))</f>
        <v/>
      </c>
      <c r="AB143" s="62"/>
      <c r="AC143" s="57"/>
      <c r="AD143" s="59"/>
      <c r="AE143" s="61" t="str">
        <f>IF(Table1[[#This Row],[Mouser]]="","", HYPERLINK(Table1[[#This Row],[Destination - Mouser]],_xlfn.CONCAT("Link (",Table1[[#This Row],[Mouser]],")")))</f>
        <v/>
      </c>
      <c r="AF143" s="62" t="str">
        <f>_xlfn.CONCAT("https://www.mouser.ch/ProductDetail/",Table1[[#This Row],[Mouser]])</f>
        <v>https://www.mouser.ch/ProductDetail/</v>
      </c>
      <c r="AG143" s="57"/>
      <c r="AH143" s="59"/>
      <c r="AI143" s="61" t="str">
        <f>IF(Table1[[#This Row],[Bauhaus]]="","", HYPERLINK(Table1[[#This Row],[Destination - Bauhaus]],_xlfn.CONCAT("Link (",Table1[[#This Row],[Bauhaus]],")")))</f>
        <v/>
      </c>
      <c r="AJ143" s="62" t="str">
        <f>_xlfn.CONCAT("https://www.bauhaus.ch/fr/search?query=",Table1[[#This Row],[Bauhaus]])</f>
        <v>https://www.bauhaus.ch/fr/search?query=</v>
      </c>
      <c r="AK143" s="59"/>
      <c r="AL143" s="59"/>
      <c r="AM143" s="61" t="str">
        <f>IF(Table1[[#This Row],[BricoEtLoisirs]]="","", HYPERLINK(Table1[[#This Row],[Destination - BricoEtLoisirs]],_xlfn.CONCAT("Link (",Table1[[#This Row],[BricoEtLoisirs]],")")))</f>
        <v/>
      </c>
      <c r="AN143" s="62" t="str">
        <f>_xlfn.CONCAT("https://bricoetloisirs.ch/p/",Table1[[#This Row],[BricoEtLoisirs]])</f>
        <v>https://bricoetloisirs.ch/p/</v>
      </c>
      <c r="AO143" s="57"/>
      <c r="AP143" s="59"/>
      <c r="AQ143" s="61" t="str">
        <f>IF(Table1[[#This Row],[Aliexpress]]="","", HYPERLINK(Table1[[#This Row],[Destination - Aliexpress]],_xlfn.CONCAT("Link (",Table1[[#This Row],[Aliexpress]],")")))</f>
        <v/>
      </c>
      <c r="AR143" s="62" t="str">
        <f>_xlfn.CONCAT("https://www.aliexpress.com/item/",Table1[[#This Row],[Aliexpress]],".html")</f>
        <v>https://www.aliexpress.com/item/.html</v>
      </c>
      <c r="AS143" s="57"/>
      <c r="AT143" s="59"/>
      <c r="AU143" s="61" t="str">
        <f>IF(Table1[[#This Row],[Banggood]]="","", HYPERLINK(Table1[[#This Row],[Destination - Banggood]],_xlfn.CONCAT("Link (",Table1[[#This Row],[Banggood]],")")))</f>
        <v/>
      </c>
      <c r="AV143" s="62" t="str">
        <f>_xlfn.CONCAT("https://www.banggood.com/search/",Table1[[#This Row],[Banggood]],".html")</f>
        <v>https://www.banggood.com/search/.html</v>
      </c>
      <c r="AW143" s="59" t="str">
        <f>IF(Table1[[#This Row],[Other]]&lt;&gt;"","Other","")</f>
        <v/>
      </c>
      <c r="AX143" s="57"/>
      <c r="AY143" s="59"/>
      <c r="AZ143" s="61" t="str">
        <f>IF(Table1[[#This Row],[Other]]="","",IF(Table1[[#This Row],[Destination - Other]]="","",HYPERLINK(Table1[[#This Row],[Destination - Other]],_xlfn.CONCAT("Link ("&amp;Table1[[#This Row],[Other]]&amp;")"))))</f>
        <v/>
      </c>
      <c r="BA143" s="59"/>
      <c r="BB143" s="58" t="str">
        <f>IF(AND( Table1[[#This Row],[Auto Order]]=1,Table1[[#This Row],[Obsolete]]=""),IF(Table1[[#This Row],[In stock]]&lt;Table1[[#This Row],[Min in stock]],1,""),"")</f>
        <v/>
      </c>
      <c r="BC143" s="64"/>
      <c r="BD143" s="66" t="str">
        <f>IF(Table1[[#This Row],[Obsolete]],Table1[[#This Row],[Art. Number]],"")</f>
        <v/>
      </c>
    </row>
    <row r="144" spans="1:56" x14ac:dyDescent="0.25">
      <c r="A144" s="65" t="s">
        <v>942</v>
      </c>
      <c r="B144" s="57" t="s">
        <v>375</v>
      </c>
      <c r="C144" s="57" t="s">
        <v>943</v>
      </c>
      <c r="D144" s="57" t="s">
        <v>944</v>
      </c>
      <c r="E144" s="57" t="s">
        <v>813</v>
      </c>
      <c r="F144" s="58">
        <v>3</v>
      </c>
      <c r="G144" s="58"/>
      <c r="H144" s="58"/>
      <c r="I14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PIC16LF18346-E/SO-ND</v>
      </c>
      <c r="J14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1.43</v>
      </c>
      <c r="K14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(PIC16LF18346-E/SO-ND)</v>
      </c>
      <c r="M144" s="57" t="s">
        <v>945</v>
      </c>
      <c r="N144" s="59">
        <v>1.43</v>
      </c>
      <c r="O144" s="61" t="str">
        <f>IF(Table1[[#This Row],[Digikey]]="","", HYPERLINK(Table1[[#This Row],[Destination - Digikey]],_xlfn.CONCAT("Link (",Table1[[#This Row],[Digikey]],")")))</f>
        <v>Link (PIC16LF18346-E/SO-ND)</v>
      </c>
      <c r="P144" s="62" t="str">
        <f>_xlfn.CONCAT("https://www.digikey.ch/products/en?keywords=",Table1[[#This Row],[Digikey]])</f>
        <v>https://www.digikey.ch/products/en?keywords=PIC16LF18346-E/SO-ND</v>
      </c>
      <c r="Q144" s="57"/>
      <c r="R144" s="59"/>
      <c r="S144" s="61" t="str">
        <f>IF(Table1[[#This Row],[Farnell]]="","", HYPERLINK(Table1[[#This Row],[Destination - Farnell]],_xlfn.CONCAT("Link (",Table1[[#This Row],[Farnell]],")")))</f>
        <v/>
      </c>
      <c r="T144" s="62" t="str">
        <f>_xlfn.CONCAT("https://ch.farnell.com/fr-CH/",Table1[[#This Row],[Farnell]])</f>
        <v>https://ch.farnell.com/fr-CH/</v>
      </c>
      <c r="U144" s="57"/>
      <c r="V144" s="59"/>
      <c r="W144" s="61" t="str">
        <f>IF(Table1[[#This Row],[Distrelec]]="","", HYPERLINK(Table1[[#This Row],[Destination - Distrelec]],_xlfn.CONCAT("Link (",Table1[[#This Row],[Distrelec]],")")))</f>
        <v/>
      </c>
      <c r="X144" s="62" t="str">
        <f>_xlfn.CONCAT("https://www.distrelec.ch/search?q=",Table1[[#This Row],[Distrelec]])</f>
        <v>https://www.distrelec.ch/search?q=</v>
      </c>
      <c r="Y144" s="57"/>
      <c r="Z144" s="59"/>
      <c r="AA144" s="61" t="str">
        <f>IF(Table1[[#This Row],[Conrad]]="","", HYPERLINK(Table1[[#This Row],[Destination - Conrad]],_xlfn.CONCAT("Link (",Table1[[#This Row],[Conrad]],")")))</f>
        <v/>
      </c>
      <c r="AB144" s="62"/>
      <c r="AC144" s="57"/>
      <c r="AD144" s="59"/>
      <c r="AE144" s="61" t="str">
        <f>IF(Table1[[#This Row],[Mouser]]="","", HYPERLINK(Table1[[#This Row],[Destination - Mouser]],_xlfn.CONCAT("Link (",Table1[[#This Row],[Mouser]],")")))</f>
        <v/>
      </c>
      <c r="AF144" s="62" t="str">
        <f>_xlfn.CONCAT("https://www.mouser.ch/ProductDetail/",Table1[[#This Row],[Mouser]])</f>
        <v>https://www.mouser.ch/ProductDetail/</v>
      </c>
      <c r="AG144" s="57"/>
      <c r="AH144" s="59"/>
      <c r="AI144" s="61" t="str">
        <f>IF(Table1[[#This Row],[Bauhaus]]="","", HYPERLINK(Table1[[#This Row],[Destination - Bauhaus]],_xlfn.CONCAT("Link (",Table1[[#This Row],[Bauhaus]],")")))</f>
        <v/>
      </c>
      <c r="AJ144" s="62" t="str">
        <f>_xlfn.CONCAT("https://www.bauhaus.ch/fr/search?query=",Table1[[#This Row],[Bauhaus]])</f>
        <v>https://www.bauhaus.ch/fr/search?query=</v>
      </c>
      <c r="AK144" s="59"/>
      <c r="AL144" s="59"/>
      <c r="AM144" s="61" t="str">
        <f>IF(Table1[[#This Row],[BricoEtLoisirs]]="","", HYPERLINK(Table1[[#This Row],[Destination - BricoEtLoisirs]],_xlfn.CONCAT("Link (",Table1[[#This Row],[BricoEtLoisirs]],")")))</f>
        <v/>
      </c>
      <c r="AN144" s="62" t="str">
        <f>_xlfn.CONCAT("https://bricoetloisirs.ch/p/",Table1[[#This Row],[BricoEtLoisirs]])</f>
        <v>https://bricoetloisirs.ch/p/</v>
      </c>
      <c r="AO144" s="57"/>
      <c r="AP144" s="59"/>
      <c r="AQ144" s="61" t="str">
        <f>IF(Table1[[#This Row],[Aliexpress]]="","", HYPERLINK(Table1[[#This Row],[Destination - Aliexpress]],_xlfn.CONCAT("Link (",Table1[[#This Row],[Aliexpress]],")")))</f>
        <v/>
      </c>
      <c r="AR144" s="62" t="str">
        <f>_xlfn.CONCAT("https://www.aliexpress.com/item/",Table1[[#This Row],[Aliexpress]],".html")</f>
        <v>https://www.aliexpress.com/item/.html</v>
      </c>
      <c r="AS144" s="57"/>
      <c r="AT144" s="59"/>
      <c r="AU144" s="61" t="str">
        <f>IF(Table1[[#This Row],[Banggood]]="","", HYPERLINK(Table1[[#This Row],[Destination - Banggood]],_xlfn.CONCAT("Link (",Table1[[#This Row],[Banggood]],")")))</f>
        <v/>
      </c>
      <c r="AV144" s="62" t="str">
        <f>_xlfn.CONCAT("https://www.banggood.com/search/",Table1[[#This Row],[Banggood]],".html")</f>
        <v>https://www.banggood.com/search/.html</v>
      </c>
      <c r="AW144" s="59" t="str">
        <f>IF(Table1[[#This Row],[Other]]&lt;&gt;"","Other","")</f>
        <v/>
      </c>
      <c r="AX144" s="57"/>
      <c r="AY144" s="59"/>
      <c r="AZ144" s="61" t="str">
        <f>IF(Table1[[#This Row],[Other]]="","",IF(Table1[[#This Row],[Destination - Other]]="","",HYPERLINK(Table1[[#This Row],[Destination - Other]],_xlfn.CONCAT("Link ("&amp;Table1[[#This Row],[Other]]&amp;")"))))</f>
        <v/>
      </c>
      <c r="BA144" s="59"/>
      <c r="BB144" s="58" t="str">
        <f>IF(AND( Table1[[#This Row],[Auto Order]]=1,Table1[[#This Row],[Obsolete]]=""),IF(Table1[[#This Row],[In stock]]&lt;Table1[[#This Row],[Min in stock]],1,""),"")</f>
        <v/>
      </c>
      <c r="BC144" s="64"/>
      <c r="BD144" s="66" t="str">
        <f>IF(Table1[[#This Row],[Obsolete]],Table1[[#This Row],[Art. Number]],"")</f>
        <v/>
      </c>
    </row>
    <row r="145" spans="1:56" x14ac:dyDescent="0.25">
      <c r="A145" s="65" t="s">
        <v>135</v>
      </c>
      <c r="B145" s="57" t="s">
        <v>375</v>
      </c>
      <c r="C145" s="57" t="s">
        <v>947</v>
      </c>
      <c r="D145" s="57" t="s">
        <v>948</v>
      </c>
      <c r="E145" s="57" t="s">
        <v>813</v>
      </c>
      <c r="F145" s="58">
        <v>1</v>
      </c>
      <c r="G145" s="58">
        <v>1</v>
      </c>
      <c r="H145" s="58">
        <v>1</v>
      </c>
      <c r="I14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PIC18F46K40-I/PT-ND</v>
      </c>
      <c r="J14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1.78</v>
      </c>
      <c r="K14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(PIC18F46K40-I/PT-ND)</v>
      </c>
      <c r="M145" s="57" t="s">
        <v>949</v>
      </c>
      <c r="N145" s="59">
        <v>1.78</v>
      </c>
      <c r="O145" s="61" t="str">
        <f>IF(Table1[[#This Row],[Digikey]]="","", HYPERLINK(Table1[[#This Row],[Destination - Digikey]],_xlfn.CONCAT("Link (",Table1[[#This Row],[Digikey]],")")))</f>
        <v>Link (PIC18F46K40-I/PT-ND)</v>
      </c>
      <c r="P145" s="62" t="str">
        <f>_xlfn.CONCAT("https://www.digikey.ch/products/en?keywords=",Table1[[#This Row],[Digikey]])</f>
        <v>https://www.digikey.ch/products/en?keywords=PIC18F46K40-I/PT-ND</v>
      </c>
      <c r="Q145" s="57"/>
      <c r="R145" s="59"/>
      <c r="S145" s="61" t="str">
        <f>IF(Table1[[#This Row],[Farnell]]="","", HYPERLINK(Table1[[#This Row],[Destination - Farnell]],_xlfn.CONCAT("Link (",Table1[[#This Row],[Farnell]],")")))</f>
        <v/>
      </c>
      <c r="T145" s="62" t="str">
        <f>_xlfn.CONCAT("https://ch.farnell.com/fr-CH/",Table1[[#This Row],[Farnell]])</f>
        <v>https://ch.farnell.com/fr-CH/</v>
      </c>
      <c r="U145" s="57"/>
      <c r="V145" s="59"/>
      <c r="W145" s="61" t="str">
        <f>IF(Table1[[#This Row],[Distrelec]]="","", HYPERLINK(Table1[[#This Row],[Destination - Distrelec]],_xlfn.CONCAT("Link (",Table1[[#This Row],[Distrelec]],")")))</f>
        <v/>
      </c>
      <c r="X145" s="62" t="str">
        <f>_xlfn.CONCAT("https://www.distrelec.ch/search?q=",Table1[[#This Row],[Distrelec]])</f>
        <v>https://www.distrelec.ch/search?q=</v>
      </c>
      <c r="Y145" s="57"/>
      <c r="Z145" s="59"/>
      <c r="AA145" s="61" t="str">
        <f>IF(Table1[[#This Row],[Conrad]]="","", HYPERLINK(Table1[[#This Row],[Destination - Conrad]],_xlfn.CONCAT("Link (",Table1[[#This Row],[Conrad]],")")))</f>
        <v/>
      </c>
      <c r="AB145" s="62"/>
      <c r="AC145" s="57"/>
      <c r="AD145" s="59"/>
      <c r="AE145" s="61" t="str">
        <f>IF(Table1[[#This Row],[Mouser]]="","", HYPERLINK(Table1[[#This Row],[Destination - Mouser]],_xlfn.CONCAT("Link (",Table1[[#This Row],[Mouser]],")")))</f>
        <v/>
      </c>
      <c r="AF145" s="62" t="str">
        <f>_xlfn.CONCAT("https://www.mouser.ch/ProductDetail/",Table1[[#This Row],[Mouser]])</f>
        <v>https://www.mouser.ch/ProductDetail/</v>
      </c>
      <c r="AG145" s="57"/>
      <c r="AH145" s="59"/>
      <c r="AI145" s="61" t="str">
        <f>IF(Table1[[#This Row],[Bauhaus]]="","", HYPERLINK(Table1[[#This Row],[Destination - Bauhaus]],_xlfn.CONCAT("Link (",Table1[[#This Row],[Bauhaus]],")")))</f>
        <v/>
      </c>
      <c r="AJ145" s="62" t="str">
        <f>_xlfn.CONCAT("https://www.bauhaus.ch/fr/search?query=",Table1[[#This Row],[Bauhaus]])</f>
        <v>https://www.bauhaus.ch/fr/search?query=</v>
      </c>
      <c r="AK145" s="59"/>
      <c r="AL145" s="59"/>
      <c r="AM145" s="61" t="str">
        <f>IF(Table1[[#This Row],[BricoEtLoisirs]]="","", HYPERLINK(Table1[[#This Row],[Destination - BricoEtLoisirs]],_xlfn.CONCAT("Link (",Table1[[#This Row],[BricoEtLoisirs]],")")))</f>
        <v/>
      </c>
      <c r="AN145" s="62" t="str">
        <f>_xlfn.CONCAT("https://bricoetloisirs.ch/p/",Table1[[#This Row],[BricoEtLoisirs]])</f>
        <v>https://bricoetloisirs.ch/p/</v>
      </c>
      <c r="AO145" s="57"/>
      <c r="AP145" s="59"/>
      <c r="AQ145" s="61" t="str">
        <f>IF(Table1[[#This Row],[Aliexpress]]="","", HYPERLINK(Table1[[#This Row],[Destination - Aliexpress]],_xlfn.CONCAT("Link (",Table1[[#This Row],[Aliexpress]],")")))</f>
        <v/>
      </c>
      <c r="AR145" s="62" t="str">
        <f>_xlfn.CONCAT("https://www.aliexpress.com/item/",Table1[[#This Row],[Aliexpress]],".html")</f>
        <v>https://www.aliexpress.com/item/.html</v>
      </c>
      <c r="AS145" s="57"/>
      <c r="AT145" s="59"/>
      <c r="AU145" s="61" t="str">
        <f>IF(Table1[[#This Row],[Banggood]]="","", HYPERLINK(Table1[[#This Row],[Destination - Banggood]],_xlfn.CONCAT("Link (",Table1[[#This Row],[Banggood]],")")))</f>
        <v/>
      </c>
      <c r="AV145" s="62" t="str">
        <f>_xlfn.CONCAT("https://www.banggood.com/search/",Table1[[#This Row],[Banggood]],".html")</f>
        <v>https://www.banggood.com/search/.html</v>
      </c>
      <c r="AW145" s="59" t="str">
        <f>IF(Table1[[#This Row],[Other]]&lt;&gt;"","Other","")</f>
        <v/>
      </c>
      <c r="AX145" s="57"/>
      <c r="AY145" s="59"/>
      <c r="AZ145" s="61" t="str">
        <f>IF(Table1[[#This Row],[Other]]="","",IF(Table1[[#This Row],[Destination - Other]]="","",HYPERLINK(Table1[[#This Row],[Destination - Other]],_xlfn.CONCAT("Link ("&amp;Table1[[#This Row],[Other]]&amp;")"))))</f>
        <v/>
      </c>
      <c r="BA145" s="59"/>
      <c r="BB145" s="58" t="str">
        <f>IF(AND( Table1[[#This Row],[Auto Order]]=1,Table1[[#This Row],[Obsolete]]=""),IF(Table1[[#This Row],[In stock]]&lt;Table1[[#This Row],[Min in stock]],1,""),"")</f>
        <v/>
      </c>
      <c r="BC145" s="64"/>
      <c r="BD145" s="66" t="str">
        <f>IF(Table1[[#This Row],[Obsolete]],Table1[[#This Row],[Art. Number]],"")</f>
        <v/>
      </c>
    </row>
    <row r="146" spans="1:56" x14ac:dyDescent="0.25">
      <c r="A146" s="65" t="s">
        <v>261</v>
      </c>
      <c r="B146" s="57" t="s">
        <v>61</v>
      </c>
      <c r="C146" s="57" t="s">
        <v>97</v>
      </c>
      <c r="D146" s="57" t="s">
        <v>948</v>
      </c>
      <c r="E146" s="57" t="s">
        <v>813</v>
      </c>
      <c r="F146" s="58">
        <v>0</v>
      </c>
      <c r="G146" s="58"/>
      <c r="H146" s="58"/>
      <c r="I14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PIC18LF46K40-I/PT-ND</v>
      </c>
      <c r="J14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1.8</v>
      </c>
      <c r="K14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4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(PIC18LF46K40-I/PT-ND)</v>
      </c>
      <c r="M146" s="57" t="s">
        <v>951</v>
      </c>
      <c r="N146" s="59">
        <v>1.8</v>
      </c>
      <c r="O146" s="61" t="str">
        <f>IF(Table1[[#This Row],[Digikey]]="","", HYPERLINK(Table1[[#This Row],[Destination - Digikey]],_xlfn.CONCAT("Link (",Table1[[#This Row],[Digikey]],")")))</f>
        <v>Link (PIC18LF46K40-I/PT-ND)</v>
      </c>
      <c r="P146" s="62" t="str">
        <f>_xlfn.CONCAT("https://www.digikey.ch/products/en?keywords=",Table1[[#This Row],[Digikey]])</f>
        <v>https://www.digikey.ch/products/en?keywords=PIC18LF46K40-I/PT-ND</v>
      </c>
      <c r="Q146" s="57"/>
      <c r="R146" s="59"/>
      <c r="S146" s="61" t="str">
        <f>IF(Table1[[#This Row],[Farnell]]="","", HYPERLINK(Table1[[#This Row],[Destination - Farnell]],_xlfn.CONCAT("Link (",Table1[[#This Row],[Farnell]],")")))</f>
        <v/>
      </c>
      <c r="T146" s="62" t="str">
        <f>_xlfn.CONCAT("https://ch.farnell.com/fr-CH/",Table1[[#This Row],[Farnell]])</f>
        <v>https://ch.farnell.com/fr-CH/</v>
      </c>
      <c r="U146" s="57"/>
      <c r="V146" s="59"/>
      <c r="W146" s="61" t="str">
        <f>IF(Table1[[#This Row],[Distrelec]]="","", HYPERLINK(Table1[[#This Row],[Destination - Distrelec]],_xlfn.CONCAT("Link (",Table1[[#This Row],[Distrelec]],")")))</f>
        <v/>
      </c>
      <c r="X146" s="62" t="str">
        <f>_xlfn.CONCAT("https://www.distrelec.ch/search?q=",Table1[[#This Row],[Distrelec]])</f>
        <v>https://www.distrelec.ch/search?q=</v>
      </c>
      <c r="Y146" s="57"/>
      <c r="Z146" s="59"/>
      <c r="AA146" s="61" t="str">
        <f>IF(Table1[[#This Row],[Conrad]]="","", HYPERLINK(Table1[[#This Row],[Destination - Conrad]],_xlfn.CONCAT("Link (",Table1[[#This Row],[Conrad]],")")))</f>
        <v/>
      </c>
      <c r="AB146" s="62"/>
      <c r="AC146" s="57"/>
      <c r="AD146" s="59"/>
      <c r="AE146" s="61" t="str">
        <f>IF(Table1[[#This Row],[Mouser]]="","", HYPERLINK(Table1[[#This Row],[Destination - Mouser]],_xlfn.CONCAT("Link (",Table1[[#This Row],[Mouser]],")")))</f>
        <v/>
      </c>
      <c r="AF146" s="62" t="str">
        <f>_xlfn.CONCAT("https://www.mouser.ch/ProductDetail/",Table1[[#This Row],[Mouser]])</f>
        <v>https://www.mouser.ch/ProductDetail/</v>
      </c>
      <c r="AG146" s="57"/>
      <c r="AH146" s="59"/>
      <c r="AI146" s="61" t="str">
        <f>IF(Table1[[#This Row],[Bauhaus]]="","", HYPERLINK(Table1[[#This Row],[Destination - Bauhaus]],_xlfn.CONCAT("Link (",Table1[[#This Row],[Bauhaus]],")")))</f>
        <v/>
      </c>
      <c r="AJ146" s="62" t="str">
        <f>_xlfn.CONCAT("https://www.bauhaus.ch/fr/search?query=",Table1[[#This Row],[Bauhaus]])</f>
        <v>https://www.bauhaus.ch/fr/search?query=</v>
      </c>
      <c r="AK146" s="59"/>
      <c r="AL146" s="59"/>
      <c r="AM146" s="61" t="str">
        <f>IF(Table1[[#This Row],[BricoEtLoisirs]]="","", HYPERLINK(Table1[[#This Row],[Destination - BricoEtLoisirs]],_xlfn.CONCAT("Link (",Table1[[#This Row],[BricoEtLoisirs]],")")))</f>
        <v/>
      </c>
      <c r="AN146" s="62" t="str">
        <f>_xlfn.CONCAT("https://bricoetloisirs.ch/p/",Table1[[#This Row],[BricoEtLoisirs]])</f>
        <v>https://bricoetloisirs.ch/p/</v>
      </c>
      <c r="AO146" s="57"/>
      <c r="AP146" s="59"/>
      <c r="AQ146" s="61" t="str">
        <f>IF(Table1[[#This Row],[Aliexpress]]="","", HYPERLINK(Table1[[#This Row],[Destination - Aliexpress]],_xlfn.CONCAT("Link (",Table1[[#This Row],[Aliexpress]],")")))</f>
        <v/>
      </c>
      <c r="AR146" s="62" t="str">
        <f>_xlfn.CONCAT("https://www.aliexpress.com/item/",Table1[[#This Row],[Aliexpress]],".html")</f>
        <v>https://www.aliexpress.com/item/.html</v>
      </c>
      <c r="AS146" s="57"/>
      <c r="AT146" s="59"/>
      <c r="AU146" s="61" t="str">
        <f>IF(Table1[[#This Row],[Banggood]]="","", HYPERLINK(Table1[[#This Row],[Destination - Banggood]],_xlfn.CONCAT("Link (",Table1[[#This Row],[Banggood]],")")))</f>
        <v/>
      </c>
      <c r="AV146" s="62" t="str">
        <f>_xlfn.CONCAT("https://www.banggood.com/search/",Table1[[#This Row],[Banggood]],".html")</f>
        <v>https://www.banggood.com/search/.html</v>
      </c>
      <c r="AW146" s="59" t="str">
        <f>IF(Table1[[#This Row],[Other]]&lt;&gt;"","Other","")</f>
        <v/>
      </c>
      <c r="AX146" s="57"/>
      <c r="AY146" s="59"/>
      <c r="AZ146" s="61" t="str">
        <f>IF(Table1[[#This Row],[Other]]="","",IF(Table1[[#This Row],[Destination - Other]]="","",HYPERLINK(Table1[[#This Row],[Destination - Other]],_xlfn.CONCAT("Link ("&amp;Table1[[#This Row],[Other]]&amp;")"))))</f>
        <v/>
      </c>
      <c r="BA146" s="59"/>
      <c r="BB146" s="58" t="str">
        <f>IF(AND( Table1[[#This Row],[Auto Order]]=1,Table1[[#This Row],[Obsolete]]=""),IF(Table1[[#This Row],[In stock]]&lt;Table1[[#This Row],[Min in stock]],1,""),"")</f>
        <v/>
      </c>
      <c r="BC146" s="64"/>
      <c r="BD146" s="66" t="str">
        <f>IF(Table1[[#This Row],[Obsolete]],Table1[[#This Row],[Art. Number]],"")</f>
        <v/>
      </c>
    </row>
    <row r="147" spans="1:56" x14ac:dyDescent="0.25">
      <c r="A147" s="65" t="s">
        <v>2411</v>
      </c>
      <c r="B147" s="57" t="s">
        <v>29</v>
      </c>
      <c r="C147" s="57" t="s">
        <v>97</v>
      </c>
      <c r="D147" s="57" t="s">
        <v>953</v>
      </c>
      <c r="E147" s="57" t="s">
        <v>954</v>
      </c>
      <c r="F147" s="58">
        <v>0</v>
      </c>
      <c r="G147" s="58"/>
      <c r="H147" s="58"/>
      <c r="I14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912951</v>
      </c>
      <c r="J14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3.43</v>
      </c>
      <c r="K14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Banggood</v>
      </c>
      <c r="L14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(912951)</v>
      </c>
      <c r="M147" s="57"/>
      <c r="N147" s="59"/>
      <c r="O147" s="61" t="str">
        <f>IF(Table1[[#This Row],[Digikey]]="","", HYPERLINK(Table1[[#This Row],[Destination - Digikey]],_xlfn.CONCAT("Link (",Table1[[#This Row],[Digikey]],")")))</f>
        <v/>
      </c>
      <c r="P147" s="62" t="str">
        <f>_xlfn.CONCAT("https://www.digikey.ch/products/en?keywords=",Table1[[#This Row],[Digikey]])</f>
        <v>https://www.digikey.ch/products/en?keywords=</v>
      </c>
      <c r="Q147" s="57"/>
      <c r="R147" s="59"/>
      <c r="S147" s="61" t="str">
        <f>IF(Table1[[#This Row],[Farnell]]="","", HYPERLINK(Table1[[#This Row],[Destination - Farnell]],_xlfn.CONCAT("Link (",Table1[[#This Row],[Farnell]],")")))</f>
        <v/>
      </c>
      <c r="T147" s="62" t="str">
        <f>_xlfn.CONCAT("https://ch.farnell.com/fr-CH/",Table1[[#This Row],[Farnell]])</f>
        <v>https://ch.farnell.com/fr-CH/</v>
      </c>
      <c r="U147" s="57"/>
      <c r="V147" s="59"/>
      <c r="W147" s="61" t="str">
        <f>IF(Table1[[#This Row],[Distrelec]]="","", HYPERLINK(Table1[[#This Row],[Destination - Distrelec]],_xlfn.CONCAT("Link (",Table1[[#This Row],[Distrelec]],")")))</f>
        <v/>
      </c>
      <c r="X147" s="62" t="str">
        <f>_xlfn.CONCAT("https://www.distrelec.ch/search?q=",Table1[[#This Row],[Distrelec]])</f>
        <v>https://www.distrelec.ch/search?q=</v>
      </c>
      <c r="Y147" s="57"/>
      <c r="Z147" s="59"/>
      <c r="AA147" s="61" t="str">
        <f>IF(Table1[[#This Row],[Conrad]]="","", HYPERLINK(Table1[[#This Row],[Destination - Conrad]],_xlfn.CONCAT("Link (",Table1[[#This Row],[Conrad]],")")))</f>
        <v/>
      </c>
      <c r="AB147" s="62"/>
      <c r="AC147" s="57"/>
      <c r="AD147" s="59"/>
      <c r="AE147" s="61" t="str">
        <f>IF(Table1[[#This Row],[Mouser]]="","", HYPERLINK(Table1[[#This Row],[Destination - Mouser]],_xlfn.CONCAT("Link (",Table1[[#This Row],[Mouser]],")")))</f>
        <v/>
      </c>
      <c r="AF147" s="62" t="str">
        <f>_xlfn.CONCAT("https://www.mouser.ch/ProductDetail/",Table1[[#This Row],[Mouser]])</f>
        <v>https://www.mouser.ch/ProductDetail/</v>
      </c>
      <c r="AG147" s="57"/>
      <c r="AH147" s="59"/>
      <c r="AI147" s="61" t="str">
        <f>IF(Table1[[#This Row],[Bauhaus]]="","", HYPERLINK(Table1[[#This Row],[Destination - Bauhaus]],_xlfn.CONCAT("Link (",Table1[[#This Row],[Bauhaus]],")")))</f>
        <v/>
      </c>
      <c r="AJ147" s="62" t="str">
        <f>_xlfn.CONCAT("https://www.bauhaus.ch/fr/search?query=",Table1[[#This Row],[Bauhaus]])</f>
        <v>https://www.bauhaus.ch/fr/search?query=</v>
      </c>
      <c r="AK147" s="59"/>
      <c r="AL147" s="59"/>
      <c r="AM147" s="61" t="str">
        <f>IF(Table1[[#This Row],[BricoEtLoisirs]]="","", HYPERLINK(Table1[[#This Row],[Destination - BricoEtLoisirs]],_xlfn.CONCAT("Link (",Table1[[#This Row],[BricoEtLoisirs]],")")))</f>
        <v/>
      </c>
      <c r="AN147" s="62" t="str">
        <f>_xlfn.CONCAT("https://bricoetloisirs.ch/p/",Table1[[#This Row],[BricoEtLoisirs]])</f>
        <v>https://bricoetloisirs.ch/p/</v>
      </c>
      <c r="AO147" s="57"/>
      <c r="AP147" s="59"/>
      <c r="AQ147" s="61" t="str">
        <f>IF(Table1[[#This Row],[Aliexpress]]="","", HYPERLINK(Table1[[#This Row],[Destination - Aliexpress]],_xlfn.CONCAT("Link (",Table1[[#This Row],[Aliexpress]],")")))</f>
        <v/>
      </c>
      <c r="AR147" s="62" t="str">
        <f>_xlfn.CONCAT("https://www.aliexpress.com/item/",Table1[[#This Row],[Aliexpress]],".html")</f>
        <v>https://www.aliexpress.com/item/.html</v>
      </c>
      <c r="AS147" s="57" t="s">
        <v>2411</v>
      </c>
      <c r="AT147" s="59">
        <v>3.43</v>
      </c>
      <c r="AU147" s="61" t="str">
        <f>IF(Table1[[#This Row],[Banggood]]="","", HYPERLINK(Table1[[#This Row],[Destination - Banggood]],_xlfn.CONCAT("Link (",Table1[[#This Row],[Banggood]],")")))</f>
        <v>Link (912951)</v>
      </c>
      <c r="AV147" s="62" t="str">
        <f>_xlfn.CONCAT("https://www.banggood.com/search/",Table1[[#This Row],[Banggood]],".html")</f>
        <v>https://www.banggood.com/search/912951.html</v>
      </c>
      <c r="AW147" s="59" t="str">
        <f>IF(Table1[[#This Row],[Other]]&lt;&gt;"","Other","")</f>
        <v/>
      </c>
      <c r="AX147" s="57"/>
      <c r="AY147" s="59"/>
      <c r="AZ147" s="61" t="str">
        <f>IF(Table1[[#This Row],[Other]]="","",IF(Table1[[#This Row],[Destination - Other]]="","",HYPERLINK(Table1[[#This Row],[Destination - Other]],_xlfn.CONCAT("Link ("&amp;Table1[[#This Row],[Other]]&amp;")"))))</f>
        <v/>
      </c>
      <c r="BA147" s="59"/>
      <c r="BB147" s="58" t="str">
        <f>IF(AND( Table1[[#This Row],[Auto Order]]=1,Table1[[#This Row],[Obsolete]]=""),IF(Table1[[#This Row],[In stock]]&lt;Table1[[#This Row],[Min in stock]],1,""),"")</f>
        <v/>
      </c>
      <c r="BC147" s="64"/>
      <c r="BD147" s="66" t="str">
        <f>IF(Table1[[#This Row],[Obsolete]],Table1[[#This Row],[Art. Number]],"")</f>
        <v/>
      </c>
    </row>
    <row r="148" spans="1:56" x14ac:dyDescent="0.25">
      <c r="A148" s="65" t="s">
        <v>2412</v>
      </c>
      <c r="B148" s="57" t="s">
        <v>29</v>
      </c>
      <c r="C148" s="57" t="s">
        <v>97</v>
      </c>
      <c r="D148" s="57" t="s">
        <v>956</v>
      </c>
      <c r="E148" s="57" t="s">
        <v>954</v>
      </c>
      <c r="F148" s="58">
        <v>9</v>
      </c>
      <c r="G148" s="58"/>
      <c r="H148" s="58"/>
      <c r="I14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1181876</v>
      </c>
      <c r="J14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3.79</v>
      </c>
      <c r="K14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Banggood</v>
      </c>
      <c r="L14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(1181876)</v>
      </c>
      <c r="M148" s="57"/>
      <c r="N148" s="59"/>
      <c r="O148" s="61" t="str">
        <f>IF(Table1[[#This Row],[Digikey]]="","", HYPERLINK(Table1[[#This Row],[Destination - Digikey]],_xlfn.CONCAT("Link (",Table1[[#This Row],[Digikey]],")")))</f>
        <v/>
      </c>
      <c r="P148" s="62" t="str">
        <f>_xlfn.CONCAT("https://www.digikey.ch/products/en?keywords=",Table1[[#This Row],[Digikey]])</f>
        <v>https://www.digikey.ch/products/en?keywords=</v>
      </c>
      <c r="Q148" s="57"/>
      <c r="R148" s="59"/>
      <c r="S148" s="61" t="str">
        <f>IF(Table1[[#This Row],[Farnell]]="","", HYPERLINK(Table1[[#This Row],[Destination - Farnell]],_xlfn.CONCAT("Link (",Table1[[#This Row],[Farnell]],")")))</f>
        <v/>
      </c>
      <c r="T148" s="62" t="str">
        <f>_xlfn.CONCAT("https://ch.farnell.com/fr-CH/",Table1[[#This Row],[Farnell]])</f>
        <v>https://ch.farnell.com/fr-CH/</v>
      </c>
      <c r="U148" s="57"/>
      <c r="V148" s="59"/>
      <c r="W148" s="61" t="str">
        <f>IF(Table1[[#This Row],[Distrelec]]="","", HYPERLINK(Table1[[#This Row],[Destination - Distrelec]],_xlfn.CONCAT("Link (",Table1[[#This Row],[Distrelec]],")")))</f>
        <v/>
      </c>
      <c r="X148" s="62" t="str">
        <f>_xlfn.CONCAT("https://www.distrelec.ch/search?q=",Table1[[#This Row],[Distrelec]])</f>
        <v>https://www.distrelec.ch/search?q=</v>
      </c>
      <c r="Y148" s="57"/>
      <c r="Z148" s="59"/>
      <c r="AA148" s="61" t="str">
        <f>IF(Table1[[#This Row],[Conrad]]="","", HYPERLINK(Table1[[#This Row],[Destination - Conrad]],_xlfn.CONCAT("Link (",Table1[[#This Row],[Conrad]],")")))</f>
        <v/>
      </c>
      <c r="AB148" s="62"/>
      <c r="AC148" s="57"/>
      <c r="AD148" s="59"/>
      <c r="AE148" s="61" t="str">
        <f>IF(Table1[[#This Row],[Mouser]]="","", HYPERLINK(Table1[[#This Row],[Destination - Mouser]],_xlfn.CONCAT("Link (",Table1[[#This Row],[Mouser]],")")))</f>
        <v/>
      </c>
      <c r="AF148" s="62" t="str">
        <f>_xlfn.CONCAT("https://www.mouser.ch/ProductDetail/",Table1[[#This Row],[Mouser]])</f>
        <v>https://www.mouser.ch/ProductDetail/</v>
      </c>
      <c r="AG148" s="57"/>
      <c r="AH148" s="59"/>
      <c r="AI148" s="61" t="str">
        <f>IF(Table1[[#This Row],[Bauhaus]]="","", HYPERLINK(Table1[[#This Row],[Destination - Bauhaus]],_xlfn.CONCAT("Link (",Table1[[#This Row],[Bauhaus]],")")))</f>
        <v/>
      </c>
      <c r="AJ148" s="62" t="str">
        <f>_xlfn.CONCAT("https://www.bauhaus.ch/fr/search?query=",Table1[[#This Row],[Bauhaus]])</f>
        <v>https://www.bauhaus.ch/fr/search?query=</v>
      </c>
      <c r="AK148" s="59"/>
      <c r="AL148" s="59"/>
      <c r="AM148" s="61" t="str">
        <f>IF(Table1[[#This Row],[BricoEtLoisirs]]="","", HYPERLINK(Table1[[#This Row],[Destination - BricoEtLoisirs]],_xlfn.CONCAT("Link (",Table1[[#This Row],[BricoEtLoisirs]],")")))</f>
        <v/>
      </c>
      <c r="AN148" s="62" t="str">
        <f>_xlfn.CONCAT("https://bricoetloisirs.ch/p/",Table1[[#This Row],[BricoEtLoisirs]])</f>
        <v>https://bricoetloisirs.ch/p/</v>
      </c>
      <c r="AO148" s="57"/>
      <c r="AP148" s="59"/>
      <c r="AQ148" s="61" t="str">
        <f>IF(Table1[[#This Row],[Aliexpress]]="","", HYPERLINK(Table1[[#This Row],[Destination - Aliexpress]],_xlfn.CONCAT("Link (",Table1[[#This Row],[Aliexpress]],")")))</f>
        <v/>
      </c>
      <c r="AR148" s="62" t="str">
        <f>_xlfn.CONCAT("https://www.aliexpress.com/item/",Table1[[#This Row],[Aliexpress]],".html")</f>
        <v>https://www.aliexpress.com/item/.html</v>
      </c>
      <c r="AS148" s="57" t="s">
        <v>2412</v>
      </c>
      <c r="AT148" s="59">
        <v>3.79</v>
      </c>
      <c r="AU148" s="61" t="str">
        <f>IF(Table1[[#This Row],[Banggood]]="","", HYPERLINK(Table1[[#This Row],[Destination - Banggood]],_xlfn.CONCAT("Link (",Table1[[#This Row],[Banggood]],")")))</f>
        <v>Link (1181876)</v>
      </c>
      <c r="AV148" s="62" t="str">
        <f>_xlfn.CONCAT("https://www.banggood.com/search/",Table1[[#This Row],[Banggood]],".html")</f>
        <v>https://www.banggood.com/search/1181876.html</v>
      </c>
      <c r="AW148" s="59" t="str">
        <f>IF(Table1[[#This Row],[Other]]&lt;&gt;"","Other","")</f>
        <v/>
      </c>
      <c r="AX148" s="57"/>
      <c r="AY148" s="59"/>
      <c r="AZ148" s="61" t="str">
        <f>IF(Table1[[#This Row],[Other]]="","",IF(Table1[[#This Row],[Destination - Other]]="","",HYPERLINK(Table1[[#This Row],[Destination - Other]],_xlfn.CONCAT("Link ("&amp;Table1[[#This Row],[Other]]&amp;")"))))</f>
        <v/>
      </c>
      <c r="BA148" s="59"/>
      <c r="BB148" s="58" t="str">
        <f>IF(AND( Table1[[#This Row],[Auto Order]]=1,Table1[[#This Row],[Obsolete]]=""),IF(Table1[[#This Row],[In stock]]&lt;Table1[[#This Row],[Min in stock]],1,""),"")</f>
        <v/>
      </c>
      <c r="BC148" s="64"/>
      <c r="BD148" s="66" t="str">
        <f>IF(Table1[[#This Row],[Obsolete]],Table1[[#This Row],[Art. Number]],"")</f>
        <v/>
      </c>
    </row>
    <row r="149" spans="1:56" x14ac:dyDescent="0.25">
      <c r="A149" s="65" t="s">
        <v>2413</v>
      </c>
      <c r="B149" s="57" t="s">
        <v>308</v>
      </c>
      <c r="C149" s="57" t="s">
        <v>97</v>
      </c>
      <c r="D149" s="57" t="s">
        <v>958</v>
      </c>
      <c r="E149" s="57" t="s">
        <v>954</v>
      </c>
      <c r="F149" s="58">
        <v>1</v>
      </c>
      <c r="G149" s="58"/>
      <c r="H149" s="58"/>
      <c r="I14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32710723814</v>
      </c>
      <c r="J14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4.5999999999999996</v>
      </c>
      <c r="K14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14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(32710723814)</v>
      </c>
      <c r="M149" s="57"/>
      <c r="N149" s="59"/>
      <c r="O149" s="61" t="str">
        <f>IF(Table1[[#This Row],[Digikey]]="","", HYPERLINK(Table1[[#This Row],[Destination - Digikey]],_xlfn.CONCAT("Link (",Table1[[#This Row],[Digikey]],")")))</f>
        <v/>
      </c>
      <c r="P149" s="62" t="str">
        <f>_xlfn.CONCAT("https://www.digikey.ch/products/en?keywords=",Table1[[#This Row],[Digikey]])</f>
        <v>https://www.digikey.ch/products/en?keywords=</v>
      </c>
      <c r="Q149" s="57"/>
      <c r="R149" s="59"/>
      <c r="S149" s="61" t="str">
        <f>IF(Table1[[#This Row],[Farnell]]="","", HYPERLINK(Table1[[#This Row],[Destination - Farnell]],_xlfn.CONCAT("Link (",Table1[[#This Row],[Farnell]],")")))</f>
        <v/>
      </c>
      <c r="T149" s="62" t="str">
        <f>_xlfn.CONCAT("https://ch.farnell.com/fr-CH/",Table1[[#This Row],[Farnell]])</f>
        <v>https://ch.farnell.com/fr-CH/</v>
      </c>
      <c r="U149" s="57"/>
      <c r="V149" s="59"/>
      <c r="W149" s="61" t="str">
        <f>IF(Table1[[#This Row],[Distrelec]]="","", HYPERLINK(Table1[[#This Row],[Destination - Distrelec]],_xlfn.CONCAT("Link (",Table1[[#This Row],[Distrelec]],")")))</f>
        <v/>
      </c>
      <c r="X149" s="62" t="str">
        <f>_xlfn.CONCAT("https://www.distrelec.ch/search?q=",Table1[[#This Row],[Distrelec]])</f>
        <v>https://www.distrelec.ch/search?q=</v>
      </c>
      <c r="Y149" s="57"/>
      <c r="Z149" s="59"/>
      <c r="AA149" s="61" t="str">
        <f>IF(Table1[[#This Row],[Conrad]]="","", HYPERLINK(Table1[[#This Row],[Destination - Conrad]],_xlfn.CONCAT("Link (",Table1[[#This Row],[Conrad]],")")))</f>
        <v/>
      </c>
      <c r="AB149" s="62"/>
      <c r="AC149" s="57"/>
      <c r="AD149" s="59"/>
      <c r="AE149" s="61" t="str">
        <f>IF(Table1[[#This Row],[Mouser]]="","", HYPERLINK(Table1[[#This Row],[Destination - Mouser]],_xlfn.CONCAT("Link (",Table1[[#This Row],[Mouser]],")")))</f>
        <v/>
      </c>
      <c r="AF149" s="62" t="str">
        <f>_xlfn.CONCAT("https://www.mouser.ch/ProductDetail/",Table1[[#This Row],[Mouser]])</f>
        <v>https://www.mouser.ch/ProductDetail/</v>
      </c>
      <c r="AG149" s="57"/>
      <c r="AH149" s="59"/>
      <c r="AI149" s="61" t="str">
        <f>IF(Table1[[#This Row],[Bauhaus]]="","", HYPERLINK(Table1[[#This Row],[Destination - Bauhaus]],_xlfn.CONCAT("Link (",Table1[[#This Row],[Bauhaus]],")")))</f>
        <v/>
      </c>
      <c r="AJ149" s="62" t="str">
        <f>_xlfn.CONCAT("https://www.bauhaus.ch/fr/search?query=",Table1[[#This Row],[Bauhaus]])</f>
        <v>https://www.bauhaus.ch/fr/search?query=</v>
      </c>
      <c r="AK149" s="59"/>
      <c r="AL149" s="59"/>
      <c r="AM149" s="61" t="str">
        <f>IF(Table1[[#This Row],[BricoEtLoisirs]]="","", HYPERLINK(Table1[[#This Row],[Destination - BricoEtLoisirs]],_xlfn.CONCAT("Link (",Table1[[#This Row],[BricoEtLoisirs]],")")))</f>
        <v/>
      </c>
      <c r="AN149" s="62" t="str">
        <f>_xlfn.CONCAT("https://bricoetloisirs.ch/p/",Table1[[#This Row],[BricoEtLoisirs]])</f>
        <v>https://bricoetloisirs.ch/p/</v>
      </c>
      <c r="AO149" s="57" t="s">
        <v>2413</v>
      </c>
      <c r="AP149" s="59">
        <v>4.5999999999999996</v>
      </c>
      <c r="AQ149" s="61" t="str">
        <f>IF(Table1[[#This Row],[Aliexpress]]="","", HYPERLINK(Table1[[#This Row],[Destination - Aliexpress]],_xlfn.CONCAT("Link (",Table1[[#This Row],[Aliexpress]],")")))</f>
        <v>Link (32710723814)</v>
      </c>
      <c r="AR149" s="62" t="str">
        <f>_xlfn.CONCAT("https://www.aliexpress.com/item/",Table1[[#This Row],[Aliexpress]],".html")</f>
        <v>https://www.aliexpress.com/item/32710723814.html</v>
      </c>
      <c r="AS149" s="57"/>
      <c r="AT149" s="59"/>
      <c r="AU149" s="61" t="str">
        <f>IF(Table1[[#This Row],[Banggood]]="","", HYPERLINK(Table1[[#This Row],[Destination - Banggood]],_xlfn.CONCAT("Link (",Table1[[#This Row],[Banggood]],")")))</f>
        <v/>
      </c>
      <c r="AV149" s="62" t="str">
        <f>_xlfn.CONCAT("https://www.banggood.com/search/",Table1[[#This Row],[Banggood]],".html")</f>
        <v>https://www.banggood.com/search/.html</v>
      </c>
      <c r="AW149" s="59" t="str">
        <f>IF(Table1[[#This Row],[Other]]&lt;&gt;"","Other","")</f>
        <v/>
      </c>
      <c r="AX149" s="57"/>
      <c r="AY149" s="59"/>
      <c r="AZ149" s="61" t="str">
        <f>IF(Table1[[#This Row],[Other]]="","",IF(Table1[[#This Row],[Destination - Other]]="","",HYPERLINK(Table1[[#This Row],[Destination - Other]],_xlfn.CONCAT("Link ("&amp;Table1[[#This Row],[Other]]&amp;")"))))</f>
        <v/>
      </c>
      <c r="BA149" s="59"/>
      <c r="BB149" s="58" t="str">
        <f>IF(AND( Table1[[#This Row],[Auto Order]]=1,Table1[[#This Row],[Obsolete]]=""),IF(Table1[[#This Row],[In stock]]&lt;Table1[[#This Row],[Min in stock]],1,""),"")</f>
        <v/>
      </c>
      <c r="BC149" s="64"/>
      <c r="BD149" s="66" t="str">
        <f>IF(Table1[[#This Row],[Obsolete]],Table1[[#This Row],[Art. Number]],"")</f>
        <v/>
      </c>
    </row>
    <row r="150" spans="1:56" x14ac:dyDescent="0.25">
      <c r="A150" s="65" t="s">
        <v>2414</v>
      </c>
      <c r="B150" s="57" t="s">
        <v>308</v>
      </c>
      <c r="C150" s="57" t="s">
        <v>97</v>
      </c>
      <c r="D150" s="57" t="s">
        <v>960</v>
      </c>
      <c r="E150" s="57" t="s">
        <v>954</v>
      </c>
      <c r="F150" s="58">
        <v>5</v>
      </c>
      <c r="G150" s="58"/>
      <c r="H150" s="58"/>
      <c r="I15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32845056564</v>
      </c>
      <c r="J15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1.1619999999999999</v>
      </c>
      <c r="K15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15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(32845056564)</v>
      </c>
      <c r="M150" s="57"/>
      <c r="N150" s="59"/>
      <c r="O150" s="61" t="str">
        <f>IF(Table1[[#This Row],[Digikey]]="","", HYPERLINK(Table1[[#This Row],[Destination - Digikey]],_xlfn.CONCAT("Link (",Table1[[#This Row],[Digikey]],")")))</f>
        <v/>
      </c>
      <c r="P150" s="62" t="str">
        <f>_xlfn.CONCAT("https://www.digikey.ch/products/en?keywords=",Table1[[#This Row],[Digikey]])</f>
        <v>https://www.digikey.ch/products/en?keywords=</v>
      </c>
      <c r="Q150" s="57"/>
      <c r="R150" s="59"/>
      <c r="S150" s="61" t="str">
        <f>IF(Table1[[#This Row],[Farnell]]="","", HYPERLINK(Table1[[#This Row],[Destination - Farnell]],_xlfn.CONCAT("Link (",Table1[[#This Row],[Farnell]],")")))</f>
        <v/>
      </c>
      <c r="T150" s="62" t="str">
        <f>_xlfn.CONCAT("https://ch.farnell.com/fr-CH/",Table1[[#This Row],[Farnell]])</f>
        <v>https://ch.farnell.com/fr-CH/</v>
      </c>
      <c r="U150" s="57"/>
      <c r="V150" s="59"/>
      <c r="W150" s="61" t="str">
        <f>IF(Table1[[#This Row],[Distrelec]]="","", HYPERLINK(Table1[[#This Row],[Destination - Distrelec]],_xlfn.CONCAT("Link (",Table1[[#This Row],[Distrelec]],")")))</f>
        <v/>
      </c>
      <c r="X150" s="62" t="str">
        <f>_xlfn.CONCAT("https://www.distrelec.ch/search?q=",Table1[[#This Row],[Distrelec]])</f>
        <v>https://www.distrelec.ch/search?q=</v>
      </c>
      <c r="Y150" s="57"/>
      <c r="Z150" s="59"/>
      <c r="AA150" s="61" t="str">
        <f>IF(Table1[[#This Row],[Conrad]]="","", HYPERLINK(Table1[[#This Row],[Destination - Conrad]],_xlfn.CONCAT("Link (",Table1[[#This Row],[Conrad]],")")))</f>
        <v/>
      </c>
      <c r="AB150" s="62"/>
      <c r="AC150" s="57"/>
      <c r="AD150" s="59"/>
      <c r="AE150" s="61" t="str">
        <f>IF(Table1[[#This Row],[Mouser]]="","", HYPERLINK(Table1[[#This Row],[Destination - Mouser]],_xlfn.CONCAT("Link (",Table1[[#This Row],[Mouser]],")")))</f>
        <v/>
      </c>
      <c r="AF150" s="62" t="str">
        <f>_xlfn.CONCAT("https://www.mouser.ch/ProductDetail/",Table1[[#This Row],[Mouser]])</f>
        <v>https://www.mouser.ch/ProductDetail/</v>
      </c>
      <c r="AG150" s="57"/>
      <c r="AH150" s="59"/>
      <c r="AI150" s="61" t="str">
        <f>IF(Table1[[#This Row],[Bauhaus]]="","", HYPERLINK(Table1[[#This Row],[Destination - Bauhaus]],_xlfn.CONCAT("Link (",Table1[[#This Row],[Bauhaus]],")")))</f>
        <v/>
      </c>
      <c r="AJ150" s="62" t="str">
        <f>_xlfn.CONCAT("https://www.bauhaus.ch/fr/search?query=",Table1[[#This Row],[Bauhaus]])</f>
        <v>https://www.bauhaus.ch/fr/search?query=</v>
      </c>
      <c r="AK150" s="59"/>
      <c r="AL150" s="59"/>
      <c r="AM150" s="61" t="str">
        <f>IF(Table1[[#This Row],[BricoEtLoisirs]]="","", HYPERLINK(Table1[[#This Row],[Destination - BricoEtLoisirs]],_xlfn.CONCAT("Link (",Table1[[#This Row],[BricoEtLoisirs]],")")))</f>
        <v/>
      </c>
      <c r="AN150" s="62" t="str">
        <f>_xlfn.CONCAT("https://bricoetloisirs.ch/p/",Table1[[#This Row],[BricoEtLoisirs]])</f>
        <v>https://bricoetloisirs.ch/p/</v>
      </c>
      <c r="AO150" s="57" t="s">
        <v>2414</v>
      </c>
      <c r="AP150" s="59">
        <v>1.1619999999999999</v>
      </c>
      <c r="AQ150" s="61" t="str">
        <f>IF(Table1[[#This Row],[Aliexpress]]="","", HYPERLINK(Table1[[#This Row],[Destination - Aliexpress]],_xlfn.CONCAT("Link (",Table1[[#This Row],[Aliexpress]],")")))</f>
        <v>Link (32845056564)</v>
      </c>
      <c r="AR150" s="62" t="str">
        <f>_xlfn.CONCAT("https://www.aliexpress.com/item/",Table1[[#This Row],[Aliexpress]],".html")</f>
        <v>https://www.aliexpress.com/item/32845056564.html</v>
      </c>
      <c r="AS150" s="57"/>
      <c r="AT150" s="59"/>
      <c r="AU150" s="61" t="str">
        <f>IF(Table1[[#This Row],[Banggood]]="","", HYPERLINK(Table1[[#This Row],[Destination - Banggood]],_xlfn.CONCAT("Link (",Table1[[#This Row],[Banggood]],")")))</f>
        <v/>
      </c>
      <c r="AV150" s="62" t="str">
        <f>_xlfn.CONCAT("https://www.banggood.com/search/",Table1[[#This Row],[Banggood]],".html")</f>
        <v>https://www.banggood.com/search/.html</v>
      </c>
      <c r="AW150" s="59" t="str">
        <f>IF(Table1[[#This Row],[Other]]&lt;&gt;"","Other","")</f>
        <v/>
      </c>
      <c r="AX150" s="57"/>
      <c r="AY150" s="59"/>
      <c r="AZ150" s="61" t="str">
        <f>IF(Table1[[#This Row],[Other]]="","",IF(Table1[[#This Row],[Destination - Other]]="","",HYPERLINK(Table1[[#This Row],[Destination - Other]],_xlfn.CONCAT("Link ("&amp;Table1[[#This Row],[Other]]&amp;")"))))</f>
        <v/>
      </c>
      <c r="BA150" s="59"/>
      <c r="BB150" s="58" t="str">
        <f>IF(AND( Table1[[#This Row],[Auto Order]]=1,Table1[[#This Row],[Obsolete]]=""),IF(Table1[[#This Row],[In stock]]&lt;Table1[[#This Row],[Min in stock]],1,""),"")</f>
        <v/>
      </c>
      <c r="BC150" s="64"/>
      <c r="BD150" s="66" t="str">
        <f>IF(Table1[[#This Row],[Obsolete]],Table1[[#This Row],[Art. Number]],"")</f>
        <v/>
      </c>
    </row>
    <row r="151" spans="1:56" x14ac:dyDescent="0.25">
      <c r="A151" s="65" t="s">
        <v>2415</v>
      </c>
      <c r="B151" s="57" t="s">
        <v>962</v>
      </c>
      <c r="C151" s="57" t="s">
        <v>97</v>
      </c>
      <c r="D151" s="57" t="s">
        <v>963</v>
      </c>
      <c r="E151" s="57" t="s">
        <v>954</v>
      </c>
      <c r="F151" s="58">
        <v>1</v>
      </c>
      <c r="G151" s="58"/>
      <c r="H151" s="58"/>
      <c r="I15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32867696371</v>
      </c>
      <c r="J15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7.46</v>
      </c>
      <c r="K15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Aliexpress</v>
      </c>
      <c r="L15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(32867696371)</v>
      </c>
      <c r="M151" s="57"/>
      <c r="N151" s="59"/>
      <c r="O151" s="61" t="str">
        <f>IF(Table1[[#This Row],[Digikey]]="","", HYPERLINK(Table1[[#This Row],[Destination - Digikey]],_xlfn.CONCAT("Link (",Table1[[#This Row],[Digikey]],")")))</f>
        <v/>
      </c>
      <c r="P151" s="62" t="str">
        <f>_xlfn.CONCAT("https://www.digikey.ch/products/en?keywords=",Table1[[#This Row],[Digikey]])</f>
        <v>https://www.digikey.ch/products/en?keywords=</v>
      </c>
      <c r="Q151" s="57"/>
      <c r="R151" s="59"/>
      <c r="S151" s="61" t="str">
        <f>IF(Table1[[#This Row],[Farnell]]="","", HYPERLINK(Table1[[#This Row],[Destination - Farnell]],_xlfn.CONCAT("Link (",Table1[[#This Row],[Farnell]],")")))</f>
        <v/>
      </c>
      <c r="T151" s="62" t="str">
        <f>_xlfn.CONCAT("https://ch.farnell.com/fr-CH/",Table1[[#This Row],[Farnell]])</f>
        <v>https://ch.farnell.com/fr-CH/</v>
      </c>
      <c r="U151" s="57"/>
      <c r="V151" s="59"/>
      <c r="W151" s="61" t="str">
        <f>IF(Table1[[#This Row],[Distrelec]]="","", HYPERLINK(Table1[[#This Row],[Destination - Distrelec]],_xlfn.CONCAT("Link (",Table1[[#This Row],[Distrelec]],")")))</f>
        <v/>
      </c>
      <c r="X151" s="62" t="str">
        <f>_xlfn.CONCAT("https://www.distrelec.ch/search?q=",Table1[[#This Row],[Distrelec]])</f>
        <v>https://www.distrelec.ch/search?q=</v>
      </c>
      <c r="Y151" s="57"/>
      <c r="Z151" s="59"/>
      <c r="AA151" s="61" t="str">
        <f>IF(Table1[[#This Row],[Conrad]]="","", HYPERLINK(Table1[[#This Row],[Destination - Conrad]],_xlfn.CONCAT("Link (",Table1[[#This Row],[Conrad]],")")))</f>
        <v/>
      </c>
      <c r="AB151" s="62"/>
      <c r="AC151" s="57"/>
      <c r="AD151" s="59"/>
      <c r="AE151" s="61" t="str">
        <f>IF(Table1[[#This Row],[Mouser]]="","", HYPERLINK(Table1[[#This Row],[Destination - Mouser]],_xlfn.CONCAT("Link (",Table1[[#This Row],[Mouser]],")")))</f>
        <v/>
      </c>
      <c r="AF151" s="62" t="str">
        <f>_xlfn.CONCAT("https://www.mouser.ch/ProductDetail/",Table1[[#This Row],[Mouser]])</f>
        <v>https://www.mouser.ch/ProductDetail/</v>
      </c>
      <c r="AG151" s="57"/>
      <c r="AH151" s="59"/>
      <c r="AI151" s="61" t="str">
        <f>IF(Table1[[#This Row],[Bauhaus]]="","", HYPERLINK(Table1[[#This Row],[Destination - Bauhaus]],_xlfn.CONCAT("Link (",Table1[[#This Row],[Bauhaus]],")")))</f>
        <v/>
      </c>
      <c r="AJ151" s="62" t="str">
        <f>_xlfn.CONCAT("https://www.bauhaus.ch/fr/search?query=",Table1[[#This Row],[Bauhaus]])</f>
        <v>https://www.bauhaus.ch/fr/search?query=</v>
      </c>
      <c r="AK151" s="59"/>
      <c r="AL151" s="59"/>
      <c r="AM151" s="61" t="str">
        <f>IF(Table1[[#This Row],[BricoEtLoisirs]]="","", HYPERLINK(Table1[[#This Row],[Destination - BricoEtLoisirs]],_xlfn.CONCAT("Link (",Table1[[#This Row],[BricoEtLoisirs]],")")))</f>
        <v/>
      </c>
      <c r="AN151" s="62" t="str">
        <f>_xlfn.CONCAT("https://bricoetloisirs.ch/p/",Table1[[#This Row],[BricoEtLoisirs]])</f>
        <v>https://bricoetloisirs.ch/p/</v>
      </c>
      <c r="AO151" s="57" t="s">
        <v>2415</v>
      </c>
      <c r="AP151" s="59">
        <v>7.46</v>
      </c>
      <c r="AQ151" s="61" t="str">
        <f>IF(Table1[[#This Row],[Aliexpress]]="","", HYPERLINK(Table1[[#This Row],[Destination - Aliexpress]],_xlfn.CONCAT("Link (",Table1[[#This Row],[Aliexpress]],")")))</f>
        <v>Link (32867696371)</v>
      </c>
      <c r="AR151" s="62" t="str">
        <f>_xlfn.CONCAT("https://www.aliexpress.com/item/",Table1[[#This Row],[Aliexpress]],".html")</f>
        <v>https://www.aliexpress.com/item/32867696371.html</v>
      </c>
      <c r="AS151" s="57"/>
      <c r="AT151" s="59"/>
      <c r="AU151" s="61" t="str">
        <f>IF(Table1[[#This Row],[Banggood]]="","", HYPERLINK(Table1[[#This Row],[Destination - Banggood]],_xlfn.CONCAT("Link (",Table1[[#This Row],[Banggood]],")")))</f>
        <v/>
      </c>
      <c r="AV151" s="62" t="str">
        <f>_xlfn.CONCAT("https://www.banggood.com/search/",Table1[[#This Row],[Banggood]],".html")</f>
        <v>https://www.banggood.com/search/.html</v>
      </c>
      <c r="AW151" s="59" t="str">
        <f>IF(Table1[[#This Row],[Other]]&lt;&gt;"","Other","")</f>
        <v/>
      </c>
      <c r="AX151" s="57"/>
      <c r="AY151" s="59"/>
      <c r="AZ151" s="61" t="str">
        <f>IF(Table1[[#This Row],[Other]]="","",IF(Table1[[#This Row],[Destination - Other]]="","",HYPERLINK(Table1[[#This Row],[Destination - Other]],_xlfn.CONCAT("Link ("&amp;Table1[[#This Row],[Other]]&amp;")"))))</f>
        <v/>
      </c>
      <c r="BA151" s="59"/>
      <c r="BB151" s="58" t="str">
        <f>IF(AND( Table1[[#This Row],[Auto Order]]=1,Table1[[#This Row],[Obsolete]]=""),IF(Table1[[#This Row],[In stock]]&lt;Table1[[#This Row],[Min in stock]],1,""),"")</f>
        <v/>
      </c>
      <c r="BC151" s="64"/>
      <c r="BD151" s="66" t="str">
        <f>IF(Table1[[#This Row],[Obsolete]],Table1[[#This Row],[Art. Number]],"")</f>
        <v/>
      </c>
    </row>
    <row r="152" spans="1:56" x14ac:dyDescent="0.25">
      <c r="A152" s="65" t="s">
        <v>134</v>
      </c>
      <c r="B152" s="57" t="s">
        <v>375</v>
      </c>
      <c r="C152" s="57" t="s">
        <v>965</v>
      </c>
      <c r="D152" s="57" t="s">
        <v>966</v>
      </c>
      <c r="E152" s="57" t="s">
        <v>954</v>
      </c>
      <c r="F152" s="58">
        <v>2</v>
      </c>
      <c r="G152" s="58"/>
      <c r="H152" s="58"/>
      <c r="I15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MRF89XAM8A-I/RM-ND</v>
      </c>
      <c r="J15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7.31</v>
      </c>
      <c r="K15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5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(MRF89XAM8A-I/RM-ND)</v>
      </c>
      <c r="M152" s="57" t="s">
        <v>967</v>
      </c>
      <c r="N152" s="59">
        <v>7.31</v>
      </c>
      <c r="O152" s="61" t="str">
        <f>IF(Table1[[#This Row],[Digikey]]="","", HYPERLINK(Table1[[#This Row],[Destination - Digikey]],_xlfn.CONCAT("Link (",Table1[[#This Row],[Digikey]],")")))</f>
        <v>Link (MRF89XAM8A-I/RM-ND)</v>
      </c>
      <c r="P152" s="62" t="str">
        <f>_xlfn.CONCAT("https://www.digikey.ch/products/en?keywords=",Table1[[#This Row],[Digikey]])</f>
        <v>https://www.digikey.ch/products/en?keywords=MRF89XAM8A-I/RM-ND</v>
      </c>
      <c r="Q152" s="57"/>
      <c r="R152" s="59"/>
      <c r="S152" s="61" t="str">
        <f>IF(Table1[[#This Row],[Farnell]]="","", HYPERLINK(Table1[[#This Row],[Destination - Farnell]],_xlfn.CONCAT("Link (",Table1[[#This Row],[Farnell]],")")))</f>
        <v/>
      </c>
      <c r="T152" s="62" t="str">
        <f>_xlfn.CONCAT("https://ch.farnell.com/fr-CH/",Table1[[#This Row],[Farnell]])</f>
        <v>https://ch.farnell.com/fr-CH/</v>
      </c>
      <c r="U152" s="57"/>
      <c r="V152" s="59"/>
      <c r="W152" s="61" t="str">
        <f>IF(Table1[[#This Row],[Distrelec]]="","", HYPERLINK(Table1[[#This Row],[Destination - Distrelec]],_xlfn.CONCAT("Link (",Table1[[#This Row],[Distrelec]],")")))</f>
        <v/>
      </c>
      <c r="X152" s="62" t="str">
        <f>_xlfn.CONCAT("https://www.distrelec.ch/search?q=",Table1[[#This Row],[Distrelec]])</f>
        <v>https://www.distrelec.ch/search?q=</v>
      </c>
      <c r="Y152" s="57"/>
      <c r="Z152" s="59"/>
      <c r="AA152" s="61" t="str">
        <f>IF(Table1[[#This Row],[Conrad]]="","", HYPERLINK(Table1[[#This Row],[Destination - Conrad]],_xlfn.CONCAT("Link (",Table1[[#This Row],[Conrad]],")")))</f>
        <v/>
      </c>
      <c r="AB152" s="62"/>
      <c r="AC152" s="57"/>
      <c r="AD152" s="59"/>
      <c r="AE152" s="61" t="str">
        <f>IF(Table1[[#This Row],[Mouser]]="","", HYPERLINK(Table1[[#This Row],[Destination - Mouser]],_xlfn.CONCAT("Link (",Table1[[#This Row],[Mouser]],")")))</f>
        <v/>
      </c>
      <c r="AF152" s="62" t="str">
        <f>_xlfn.CONCAT("https://www.mouser.ch/ProductDetail/",Table1[[#This Row],[Mouser]])</f>
        <v>https://www.mouser.ch/ProductDetail/</v>
      </c>
      <c r="AG152" s="57"/>
      <c r="AH152" s="59"/>
      <c r="AI152" s="61" t="str">
        <f>IF(Table1[[#This Row],[Bauhaus]]="","", HYPERLINK(Table1[[#This Row],[Destination - Bauhaus]],_xlfn.CONCAT("Link (",Table1[[#This Row],[Bauhaus]],")")))</f>
        <v/>
      </c>
      <c r="AJ152" s="62" t="str">
        <f>_xlfn.CONCAT("https://www.bauhaus.ch/fr/search?query=",Table1[[#This Row],[Bauhaus]])</f>
        <v>https://www.bauhaus.ch/fr/search?query=</v>
      </c>
      <c r="AK152" s="59"/>
      <c r="AL152" s="59"/>
      <c r="AM152" s="61" t="str">
        <f>IF(Table1[[#This Row],[BricoEtLoisirs]]="","", HYPERLINK(Table1[[#This Row],[Destination - BricoEtLoisirs]],_xlfn.CONCAT("Link (",Table1[[#This Row],[BricoEtLoisirs]],")")))</f>
        <v/>
      </c>
      <c r="AN152" s="62" t="str">
        <f>_xlfn.CONCAT("https://bricoetloisirs.ch/p/",Table1[[#This Row],[BricoEtLoisirs]])</f>
        <v>https://bricoetloisirs.ch/p/</v>
      </c>
      <c r="AO152" s="57"/>
      <c r="AP152" s="59"/>
      <c r="AQ152" s="61" t="str">
        <f>IF(Table1[[#This Row],[Aliexpress]]="","", HYPERLINK(Table1[[#This Row],[Destination - Aliexpress]],_xlfn.CONCAT("Link (",Table1[[#This Row],[Aliexpress]],")")))</f>
        <v/>
      </c>
      <c r="AR152" s="62" t="str">
        <f>_xlfn.CONCAT("https://www.aliexpress.com/item/",Table1[[#This Row],[Aliexpress]],".html")</f>
        <v>https://www.aliexpress.com/item/.html</v>
      </c>
      <c r="AS152" s="57"/>
      <c r="AT152" s="59"/>
      <c r="AU152" s="61" t="str">
        <f>IF(Table1[[#This Row],[Banggood]]="","", HYPERLINK(Table1[[#This Row],[Destination - Banggood]],_xlfn.CONCAT("Link (",Table1[[#This Row],[Banggood]],")")))</f>
        <v/>
      </c>
      <c r="AV152" s="62" t="str">
        <f>_xlfn.CONCAT("https://www.banggood.com/search/",Table1[[#This Row],[Banggood]],".html")</f>
        <v>https://www.banggood.com/search/.html</v>
      </c>
      <c r="AW152" s="59" t="str">
        <f>IF(Table1[[#This Row],[Other]]&lt;&gt;"","Other","")</f>
        <v/>
      </c>
      <c r="AX152" s="57"/>
      <c r="AY152" s="59"/>
      <c r="AZ152" s="61" t="str">
        <f>IF(Table1[[#This Row],[Other]]="","",IF(Table1[[#This Row],[Destination - Other]]="","",HYPERLINK(Table1[[#This Row],[Destination - Other]],_xlfn.CONCAT("Link ("&amp;Table1[[#This Row],[Other]]&amp;")"))))</f>
        <v/>
      </c>
      <c r="BA152" s="59"/>
      <c r="BB152" s="58" t="str">
        <f>IF(AND( Table1[[#This Row],[Auto Order]]=1,Table1[[#This Row],[Obsolete]]=""),IF(Table1[[#This Row],[In stock]]&lt;Table1[[#This Row],[Min in stock]],1,""),"")</f>
        <v/>
      </c>
      <c r="BC152" s="64"/>
      <c r="BD152" s="66" t="str">
        <f>IF(Table1[[#This Row],[Obsolete]],Table1[[#This Row],[Art. Number]],"")</f>
        <v/>
      </c>
    </row>
    <row r="153" spans="1:56" x14ac:dyDescent="0.25">
      <c r="A153" s="65" t="s">
        <v>969</v>
      </c>
      <c r="B153" s="57" t="s">
        <v>375</v>
      </c>
      <c r="C153" s="57" t="s">
        <v>97</v>
      </c>
      <c r="D153" s="57" t="s">
        <v>970</v>
      </c>
      <c r="E153" s="57" t="s">
        <v>954</v>
      </c>
      <c r="F153" s="58">
        <v>0</v>
      </c>
      <c r="G153" s="58"/>
      <c r="H153" s="58"/>
      <c r="I15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RN4871-I/RM130-ND</v>
      </c>
      <c r="J15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7.17</v>
      </c>
      <c r="K15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5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(RN4871-I/RM130-ND)</v>
      </c>
      <c r="M153" s="57" t="s">
        <v>971</v>
      </c>
      <c r="N153" s="59">
        <v>7.17</v>
      </c>
      <c r="O153" s="61" t="str">
        <f>IF(Table1[[#This Row],[Digikey]]="","", HYPERLINK(Table1[[#This Row],[Destination - Digikey]],_xlfn.CONCAT("Link (",Table1[[#This Row],[Digikey]],")")))</f>
        <v>Link (RN4871-I/RM130-ND)</v>
      </c>
      <c r="P153" s="62" t="str">
        <f>_xlfn.CONCAT("https://www.digikey.ch/products/en?keywords=",Table1[[#This Row],[Digikey]])</f>
        <v>https://www.digikey.ch/products/en?keywords=RN4871-I/RM130-ND</v>
      </c>
      <c r="Q153" s="57"/>
      <c r="R153" s="59"/>
      <c r="S153" s="61" t="str">
        <f>IF(Table1[[#This Row],[Farnell]]="","", HYPERLINK(Table1[[#This Row],[Destination - Farnell]],_xlfn.CONCAT("Link (",Table1[[#This Row],[Farnell]],")")))</f>
        <v/>
      </c>
      <c r="T153" s="62" t="str">
        <f>_xlfn.CONCAT("https://ch.farnell.com/fr-CH/",Table1[[#This Row],[Farnell]])</f>
        <v>https://ch.farnell.com/fr-CH/</v>
      </c>
      <c r="U153" s="57"/>
      <c r="V153" s="59"/>
      <c r="W153" s="61" t="str">
        <f>IF(Table1[[#This Row],[Distrelec]]="","", HYPERLINK(Table1[[#This Row],[Destination - Distrelec]],_xlfn.CONCAT("Link (",Table1[[#This Row],[Distrelec]],")")))</f>
        <v/>
      </c>
      <c r="X153" s="62" t="str">
        <f>_xlfn.CONCAT("https://www.distrelec.ch/search?q=",Table1[[#This Row],[Distrelec]])</f>
        <v>https://www.distrelec.ch/search?q=</v>
      </c>
      <c r="Y153" s="57"/>
      <c r="Z153" s="59"/>
      <c r="AA153" s="61" t="str">
        <f>IF(Table1[[#This Row],[Conrad]]="","", HYPERLINK(Table1[[#This Row],[Destination - Conrad]],_xlfn.CONCAT("Link (",Table1[[#This Row],[Conrad]],")")))</f>
        <v/>
      </c>
      <c r="AB153" s="62"/>
      <c r="AC153" s="57"/>
      <c r="AD153" s="59"/>
      <c r="AE153" s="61" t="str">
        <f>IF(Table1[[#This Row],[Mouser]]="","", HYPERLINK(Table1[[#This Row],[Destination - Mouser]],_xlfn.CONCAT("Link (",Table1[[#This Row],[Mouser]],")")))</f>
        <v/>
      </c>
      <c r="AF153" s="62" t="str">
        <f>_xlfn.CONCAT("https://www.mouser.ch/ProductDetail/",Table1[[#This Row],[Mouser]])</f>
        <v>https://www.mouser.ch/ProductDetail/</v>
      </c>
      <c r="AG153" s="57"/>
      <c r="AH153" s="59"/>
      <c r="AI153" s="61" t="str">
        <f>IF(Table1[[#This Row],[Bauhaus]]="","", HYPERLINK(Table1[[#This Row],[Destination - Bauhaus]],_xlfn.CONCAT("Link (",Table1[[#This Row],[Bauhaus]],")")))</f>
        <v/>
      </c>
      <c r="AJ153" s="62" t="str">
        <f>_xlfn.CONCAT("https://www.bauhaus.ch/fr/search?query=",Table1[[#This Row],[Bauhaus]])</f>
        <v>https://www.bauhaus.ch/fr/search?query=</v>
      </c>
      <c r="AK153" s="59"/>
      <c r="AL153" s="59"/>
      <c r="AM153" s="61" t="str">
        <f>IF(Table1[[#This Row],[BricoEtLoisirs]]="","", HYPERLINK(Table1[[#This Row],[Destination - BricoEtLoisirs]],_xlfn.CONCAT("Link (",Table1[[#This Row],[BricoEtLoisirs]],")")))</f>
        <v/>
      </c>
      <c r="AN153" s="62" t="str">
        <f>_xlfn.CONCAT("https://bricoetloisirs.ch/p/",Table1[[#This Row],[BricoEtLoisirs]])</f>
        <v>https://bricoetloisirs.ch/p/</v>
      </c>
      <c r="AO153" s="57"/>
      <c r="AP153" s="59"/>
      <c r="AQ153" s="61" t="str">
        <f>IF(Table1[[#This Row],[Aliexpress]]="","", HYPERLINK(Table1[[#This Row],[Destination - Aliexpress]],_xlfn.CONCAT("Link (",Table1[[#This Row],[Aliexpress]],")")))</f>
        <v/>
      </c>
      <c r="AR153" s="62" t="str">
        <f>_xlfn.CONCAT("https://www.aliexpress.com/item/",Table1[[#This Row],[Aliexpress]],".html")</f>
        <v>https://www.aliexpress.com/item/.html</v>
      </c>
      <c r="AS153" s="57"/>
      <c r="AT153" s="59"/>
      <c r="AU153" s="61" t="str">
        <f>IF(Table1[[#This Row],[Banggood]]="","", HYPERLINK(Table1[[#This Row],[Destination - Banggood]],_xlfn.CONCAT("Link (",Table1[[#This Row],[Banggood]],")")))</f>
        <v/>
      </c>
      <c r="AV153" s="62" t="str">
        <f>_xlfn.CONCAT("https://www.banggood.com/search/",Table1[[#This Row],[Banggood]],".html")</f>
        <v>https://www.banggood.com/search/.html</v>
      </c>
      <c r="AW153" s="59" t="str">
        <f>IF(Table1[[#This Row],[Other]]&lt;&gt;"","Other","")</f>
        <v/>
      </c>
      <c r="AX153" s="57"/>
      <c r="AY153" s="59"/>
      <c r="AZ153" s="61" t="str">
        <f>IF(Table1[[#This Row],[Other]]="","",IF(Table1[[#This Row],[Destination - Other]]="","",HYPERLINK(Table1[[#This Row],[Destination - Other]],_xlfn.CONCAT("Link ("&amp;Table1[[#This Row],[Other]]&amp;")"))))</f>
        <v/>
      </c>
      <c r="BA153" s="59"/>
      <c r="BB153" s="58" t="str">
        <f>IF(AND( Table1[[#This Row],[Auto Order]]=1,Table1[[#This Row],[Obsolete]]=""),IF(Table1[[#This Row],[In stock]]&lt;Table1[[#This Row],[Min in stock]],1,""),"")</f>
        <v/>
      </c>
      <c r="BC153" s="64"/>
      <c r="BD153" s="66" t="str">
        <f>IF(Table1[[#This Row],[Obsolete]],Table1[[#This Row],[Art. Number]],"")</f>
        <v/>
      </c>
    </row>
    <row r="154" spans="1:56" x14ac:dyDescent="0.25">
      <c r="A154" s="65" t="s">
        <v>233</v>
      </c>
      <c r="B154" s="57" t="s">
        <v>449</v>
      </c>
      <c r="C154" s="57" t="s">
        <v>450</v>
      </c>
      <c r="D154" s="57" t="s">
        <v>2451</v>
      </c>
      <c r="E154" s="57" t="s">
        <v>451</v>
      </c>
      <c r="F154" s="58">
        <v>6</v>
      </c>
      <c r="G154" s="58"/>
      <c r="H154" s="58"/>
      <c r="I15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36-4689-ND</v>
      </c>
      <c r="J15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0.15</v>
      </c>
      <c r="K15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5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(36-4689-ND)</v>
      </c>
      <c r="M154" s="57" t="s">
        <v>452</v>
      </c>
      <c r="N154" s="59">
        <v>0.15</v>
      </c>
      <c r="O154" s="61" t="str">
        <f>IF(Table1[[#This Row],[Digikey]]="","", HYPERLINK(Table1[[#This Row],[Destination - Digikey]],_xlfn.CONCAT("Link (",Table1[[#This Row],[Digikey]],")")))</f>
        <v>Link (36-4689-ND)</v>
      </c>
      <c r="P154" s="62" t="str">
        <f>_xlfn.CONCAT("https://www.digikey.ch/products/en?keywords=",Table1[[#This Row],[Digikey]])</f>
        <v>https://www.digikey.ch/products/en?keywords=36-4689-ND</v>
      </c>
      <c r="Q154" s="57"/>
      <c r="R154" s="59"/>
      <c r="S154" s="61" t="str">
        <f>IF(Table1[[#This Row],[Farnell]]="","", HYPERLINK(Table1[[#This Row],[Destination - Farnell]],_xlfn.CONCAT("Link (",Table1[[#This Row],[Farnell]],")")))</f>
        <v/>
      </c>
      <c r="T154" s="62" t="str">
        <f>_xlfn.CONCAT("https://ch.farnell.com/fr-CH/",Table1[[#This Row],[Farnell]])</f>
        <v>https://ch.farnell.com/fr-CH/</v>
      </c>
      <c r="U154" s="57"/>
      <c r="V154" s="59"/>
      <c r="W154" s="61" t="str">
        <f>IF(Table1[[#This Row],[Distrelec]]="","", HYPERLINK(Table1[[#This Row],[Destination - Distrelec]],_xlfn.CONCAT("Link (",Table1[[#This Row],[Distrelec]],")")))</f>
        <v/>
      </c>
      <c r="X154" s="62" t="str">
        <f>_xlfn.CONCAT("https://www.distrelec.ch/search?q=",Table1[[#This Row],[Distrelec]])</f>
        <v>https://www.distrelec.ch/search?q=</v>
      </c>
      <c r="Y154" s="57"/>
      <c r="Z154" s="59"/>
      <c r="AA154" s="61" t="str">
        <f>IF(Table1[[#This Row],[Conrad]]="","", HYPERLINK(Table1[[#This Row],[Destination - Conrad]],_xlfn.CONCAT("Link (",Table1[[#This Row],[Conrad]],")")))</f>
        <v/>
      </c>
      <c r="AB154" s="62"/>
      <c r="AC154" s="57"/>
      <c r="AD154" s="59"/>
      <c r="AE154" s="61" t="str">
        <f>IF(Table1[[#This Row],[Mouser]]="","", HYPERLINK(Table1[[#This Row],[Destination - Mouser]],_xlfn.CONCAT("Link (",Table1[[#This Row],[Mouser]],")")))</f>
        <v/>
      </c>
      <c r="AF154" s="62" t="str">
        <f>_xlfn.CONCAT("https://www.mouser.ch/ProductDetail/",Table1[[#This Row],[Mouser]])</f>
        <v>https://www.mouser.ch/ProductDetail/</v>
      </c>
      <c r="AG154" s="57"/>
      <c r="AH154" s="59"/>
      <c r="AI154" s="61" t="str">
        <f>IF(Table1[[#This Row],[Bauhaus]]="","", HYPERLINK(Table1[[#This Row],[Destination - Bauhaus]],_xlfn.CONCAT("Link (",Table1[[#This Row],[Bauhaus]],")")))</f>
        <v/>
      </c>
      <c r="AJ154" s="62" t="str">
        <f>_xlfn.CONCAT("https://www.bauhaus.ch/fr/search?query=",Table1[[#This Row],[Bauhaus]])</f>
        <v>https://www.bauhaus.ch/fr/search?query=</v>
      </c>
      <c r="AK154" s="59"/>
      <c r="AL154" s="59"/>
      <c r="AM154" s="61" t="str">
        <f>IF(Table1[[#This Row],[BricoEtLoisirs]]="","", HYPERLINK(Table1[[#This Row],[Destination - BricoEtLoisirs]],_xlfn.CONCAT("Link (",Table1[[#This Row],[BricoEtLoisirs]],")")))</f>
        <v/>
      </c>
      <c r="AN154" s="62" t="str">
        <f>_xlfn.CONCAT("https://bricoetloisirs.ch/p/",Table1[[#This Row],[BricoEtLoisirs]])</f>
        <v>https://bricoetloisirs.ch/p/</v>
      </c>
      <c r="AO154" s="57"/>
      <c r="AP154" s="59"/>
      <c r="AQ154" s="61" t="str">
        <f>IF(Table1[[#This Row],[Aliexpress]]="","", HYPERLINK(Table1[[#This Row],[Destination - Aliexpress]],_xlfn.CONCAT("Link (",Table1[[#This Row],[Aliexpress]],")")))</f>
        <v/>
      </c>
      <c r="AR154" s="62" t="str">
        <f>_xlfn.CONCAT("https://www.aliexpress.com/item/",Table1[[#This Row],[Aliexpress]],".html")</f>
        <v>https://www.aliexpress.com/item/.html</v>
      </c>
      <c r="AS154" s="57"/>
      <c r="AT154" s="59"/>
      <c r="AU154" s="61" t="str">
        <f>IF(Table1[[#This Row],[Banggood]]="","", HYPERLINK(Table1[[#This Row],[Destination - Banggood]],_xlfn.CONCAT("Link (",Table1[[#This Row],[Banggood]],")")))</f>
        <v/>
      </c>
      <c r="AV154" s="62" t="str">
        <f>_xlfn.CONCAT("https://www.banggood.com/search/",Table1[[#This Row],[Banggood]],".html")</f>
        <v>https://www.banggood.com/search/.html</v>
      </c>
      <c r="AW154" s="59" t="str">
        <f>IF(Table1[[#This Row],[Other]]&lt;&gt;"","Other","")</f>
        <v/>
      </c>
      <c r="AX154" s="57"/>
      <c r="AY154" s="59"/>
      <c r="AZ154" s="61" t="str">
        <f>IF(Table1[[#This Row],[Other]]="","",IF(Table1[[#This Row],[Destination - Other]]="","",HYPERLINK(Table1[[#This Row],[Destination - Other]],_xlfn.CONCAT("Link ("&amp;Table1[[#This Row],[Other]]&amp;")"))))</f>
        <v/>
      </c>
      <c r="BA154" s="59"/>
      <c r="BB154" s="58" t="str">
        <f>IF(AND( Table1[[#This Row],[Auto Order]]=1,Table1[[#This Row],[Obsolete]]=""),IF(Table1[[#This Row],[In stock]]&lt;Table1[[#This Row],[Min in stock]],1,""),"")</f>
        <v/>
      </c>
      <c r="BC154" s="64"/>
      <c r="BD154" s="66" t="str">
        <f>IF(Table1[[#This Row],[Obsolete]],Table1[[#This Row],[Art. Number]],"")</f>
        <v/>
      </c>
    </row>
    <row r="155" spans="1:56" x14ac:dyDescent="0.25">
      <c r="A155" s="65" t="s">
        <v>133</v>
      </c>
      <c r="B155" s="57" t="s">
        <v>375</v>
      </c>
      <c r="C155" s="57" t="s">
        <v>981</v>
      </c>
      <c r="D155" s="57" t="s">
        <v>982</v>
      </c>
      <c r="E155" s="57" t="s">
        <v>983</v>
      </c>
      <c r="F155" s="58">
        <v>3</v>
      </c>
      <c r="G155" s="58"/>
      <c r="H155" s="58"/>
      <c r="I15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DSC6003JI2A-012.0000TCT-ND</v>
      </c>
      <c r="J15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0.93</v>
      </c>
      <c r="K15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5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(DSC6003JI2A-012.0000TCT-ND)</v>
      </c>
      <c r="M155" s="57" t="s">
        <v>984</v>
      </c>
      <c r="N155" s="59">
        <v>0.93</v>
      </c>
      <c r="O155" s="61" t="str">
        <f>IF(Table1[[#This Row],[Digikey]]="","", HYPERLINK(Table1[[#This Row],[Destination - Digikey]],_xlfn.CONCAT("Link (",Table1[[#This Row],[Digikey]],")")))</f>
        <v>Link (DSC6003JI2A-012.0000TCT-ND)</v>
      </c>
      <c r="P155" s="62" t="str">
        <f>_xlfn.CONCAT("https://www.digikey.ch/products/en?keywords=",Table1[[#This Row],[Digikey]])</f>
        <v>https://www.digikey.ch/products/en?keywords=DSC6003JI2A-012.0000TCT-ND</v>
      </c>
      <c r="Q155" s="57"/>
      <c r="R155" s="59"/>
      <c r="S155" s="61" t="str">
        <f>IF(Table1[[#This Row],[Farnell]]="","", HYPERLINK(Table1[[#This Row],[Destination - Farnell]],_xlfn.CONCAT("Link (",Table1[[#This Row],[Farnell]],")")))</f>
        <v/>
      </c>
      <c r="T155" s="62" t="str">
        <f>_xlfn.CONCAT("https://ch.farnell.com/fr-CH/",Table1[[#This Row],[Farnell]])</f>
        <v>https://ch.farnell.com/fr-CH/</v>
      </c>
      <c r="U155" s="57"/>
      <c r="V155" s="59"/>
      <c r="W155" s="61" t="str">
        <f>IF(Table1[[#This Row],[Distrelec]]="","", HYPERLINK(Table1[[#This Row],[Destination - Distrelec]],_xlfn.CONCAT("Link (",Table1[[#This Row],[Distrelec]],")")))</f>
        <v/>
      </c>
      <c r="X155" s="62" t="str">
        <f>_xlfn.CONCAT("https://www.distrelec.ch/search?q=",Table1[[#This Row],[Distrelec]])</f>
        <v>https://www.distrelec.ch/search?q=</v>
      </c>
      <c r="Y155" s="57"/>
      <c r="Z155" s="59"/>
      <c r="AA155" s="61" t="str">
        <f>IF(Table1[[#This Row],[Conrad]]="","", HYPERLINK(Table1[[#This Row],[Destination - Conrad]],_xlfn.CONCAT("Link (",Table1[[#This Row],[Conrad]],")")))</f>
        <v/>
      </c>
      <c r="AB155" s="62"/>
      <c r="AC155" s="57"/>
      <c r="AD155" s="59"/>
      <c r="AE155" s="61" t="str">
        <f>IF(Table1[[#This Row],[Mouser]]="","", HYPERLINK(Table1[[#This Row],[Destination - Mouser]],_xlfn.CONCAT("Link (",Table1[[#This Row],[Mouser]],")")))</f>
        <v/>
      </c>
      <c r="AF155" s="62" t="str">
        <f>_xlfn.CONCAT("https://www.mouser.ch/ProductDetail/",Table1[[#This Row],[Mouser]])</f>
        <v>https://www.mouser.ch/ProductDetail/</v>
      </c>
      <c r="AG155" s="57"/>
      <c r="AH155" s="59"/>
      <c r="AI155" s="61" t="str">
        <f>IF(Table1[[#This Row],[Bauhaus]]="","", HYPERLINK(Table1[[#This Row],[Destination - Bauhaus]],_xlfn.CONCAT("Link (",Table1[[#This Row],[Bauhaus]],")")))</f>
        <v/>
      </c>
      <c r="AJ155" s="62" t="str">
        <f>_xlfn.CONCAT("https://www.bauhaus.ch/fr/search?query=",Table1[[#This Row],[Bauhaus]])</f>
        <v>https://www.bauhaus.ch/fr/search?query=</v>
      </c>
      <c r="AK155" s="59"/>
      <c r="AL155" s="59"/>
      <c r="AM155" s="61" t="str">
        <f>IF(Table1[[#This Row],[BricoEtLoisirs]]="","", HYPERLINK(Table1[[#This Row],[Destination - BricoEtLoisirs]],_xlfn.CONCAT("Link (",Table1[[#This Row],[BricoEtLoisirs]],")")))</f>
        <v/>
      </c>
      <c r="AN155" s="62" t="str">
        <f>_xlfn.CONCAT("https://bricoetloisirs.ch/p/",Table1[[#This Row],[BricoEtLoisirs]])</f>
        <v>https://bricoetloisirs.ch/p/</v>
      </c>
      <c r="AO155" s="57"/>
      <c r="AP155" s="59"/>
      <c r="AQ155" s="61" t="str">
        <f>IF(Table1[[#This Row],[Aliexpress]]="","", HYPERLINK(Table1[[#This Row],[Destination - Aliexpress]],_xlfn.CONCAT("Link (",Table1[[#This Row],[Aliexpress]],")")))</f>
        <v/>
      </c>
      <c r="AR155" s="62" t="str">
        <f>_xlfn.CONCAT("https://www.aliexpress.com/item/",Table1[[#This Row],[Aliexpress]],".html")</f>
        <v>https://www.aliexpress.com/item/.html</v>
      </c>
      <c r="AS155" s="57"/>
      <c r="AT155" s="59"/>
      <c r="AU155" s="61" t="str">
        <f>IF(Table1[[#This Row],[Banggood]]="","", HYPERLINK(Table1[[#This Row],[Destination - Banggood]],_xlfn.CONCAT("Link (",Table1[[#This Row],[Banggood]],")")))</f>
        <v/>
      </c>
      <c r="AV155" s="62" t="str">
        <f>_xlfn.CONCAT("https://www.banggood.com/search/",Table1[[#This Row],[Banggood]],".html")</f>
        <v>https://www.banggood.com/search/.html</v>
      </c>
      <c r="AW155" s="59" t="str">
        <f>IF(Table1[[#This Row],[Other]]&lt;&gt;"","Other","")</f>
        <v/>
      </c>
      <c r="AX155" s="57"/>
      <c r="AY155" s="59"/>
      <c r="AZ155" s="61" t="str">
        <f>IF(Table1[[#This Row],[Other]]="","",IF(Table1[[#This Row],[Destination - Other]]="","",HYPERLINK(Table1[[#This Row],[Destination - Other]],_xlfn.CONCAT("Link ("&amp;Table1[[#This Row],[Other]]&amp;")"))))</f>
        <v/>
      </c>
      <c r="BA155" s="59"/>
      <c r="BB155" s="58" t="str">
        <f>IF(AND( Table1[[#This Row],[Auto Order]]=1,Table1[[#This Row],[Obsolete]]=""),IF(Table1[[#This Row],[In stock]]&lt;Table1[[#This Row],[Min in stock]],1,""),"")</f>
        <v/>
      </c>
      <c r="BC155" s="64"/>
      <c r="BD155" s="66" t="str">
        <f>IF(Table1[[#This Row],[Obsolete]],Table1[[#This Row],[Art. Number]],"")</f>
        <v/>
      </c>
    </row>
    <row r="156" spans="1:56" x14ac:dyDescent="0.25">
      <c r="A156" s="65" t="s">
        <v>986</v>
      </c>
      <c r="B156" s="57" t="s">
        <v>987</v>
      </c>
      <c r="C156" s="57" t="s">
        <v>97</v>
      </c>
      <c r="D156" s="57" t="s">
        <v>988</v>
      </c>
      <c r="E156" s="57" t="s">
        <v>989</v>
      </c>
      <c r="F156" s="58">
        <v>9</v>
      </c>
      <c r="G156" s="58"/>
      <c r="H156" s="58"/>
      <c r="I15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E-PCB-000-000</v>
      </c>
      <c r="J15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5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5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56" s="57"/>
      <c r="N156" s="59"/>
      <c r="O156" s="61" t="str">
        <f>IF(Table1[[#This Row],[Digikey]]="","", HYPERLINK(Table1[[#This Row],[Destination - Digikey]],_xlfn.CONCAT("Link (",Table1[[#This Row],[Digikey]],")")))</f>
        <v/>
      </c>
      <c r="P156" s="62" t="str">
        <f>_xlfn.CONCAT("https://www.digikey.ch/products/en?keywords=",Table1[[#This Row],[Digikey]])</f>
        <v>https://www.digikey.ch/products/en?keywords=</v>
      </c>
      <c r="Q156" s="57"/>
      <c r="R156" s="59"/>
      <c r="S156" s="61" t="str">
        <f>IF(Table1[[#This Row],[Farnell]]="","", HYPERLINK(Table1[[#This Row],[Destination - Farnell]],_xlfn.CONCAT("Link (",Table1[[#This Row],[Farnell]],")")))</f>
        <v/>
      </c>
      <c r="T156" s="62" t="str">
        <f>_xlfn.CONCAT("https://ch.farnell.com/fr-CH/",Table1[[#This Row],[Farnell]])</f>
        <v>https://ch.farnell.com/fr-CH/</v>
      </c>
      <c r="U156" s="57"/>
      <c r="V156" s="59"/>
      <c r="W156" s="61" t="str">
        <f>IF(Table1[[#This Row],[Distrelec]]="","", HYPERLINK(Table1[[#This Row],[Destination - Distrelec]],_xlfn.CONCAT("Link (",Table1[[#This Row],[Distrelec]],")")))</f>
        <v/>
      </c>
      <c r="X156" s="62" t="str">
        <f>_xlfn.CONCAT("https://www.distrelec.ch/search?q=",Table1[[#This Row],[Distrelec]])</f>
        <v>https://www.distrelec.ch/search?q=</v>
      </c>
      <c r="Y156" s="57"/>
      <c r="Z156" s="59"/>
      <c r="AA156" s="61" t="str">
        <f>IF(Table1[[#This Row],[Conrad]]="","", HYPERLINK(Table1[[#This Row],[Destination - Conrad]],_xlfn.CONCAT("Link (",Table1[[#This Row],[Conrad]],")")))</f>
        <v/>
      </c>
      <c r="AB156" s="62"/>
      <c r="AC156" s="57"/>
      <c r="AD156" s="59"/>
      <c r="AE156" s="61" t="str">
        <f>IF(Table1[[#This Row],[Mouser]]="","", HYPERLINK(Table1[[#This Row],[Destination - Mouser]],_xlfn.CONCAT("Link (",Table1[[#This Row],[Mouser]],")")))</f>
        <v/>
      </c>
      <c r="AF156" s="62" t="str">
        <f>_xlfn.CONCAT("https://www.mouser.ch/ProductDetail/",Table1[[#This Row],[Mouser]])</f>
        <v>https://www.mouser.ch/ProductDetail/</v>
      </c>
      <c r="AG156" s="57"/>
      <c r="AH156" s="59"/>
      <c r="AI156" s="61" t="str">
        <f>IF(Table1[[#This Row],[Bauhaus]]="","", HYPERLINK(Table1[[#This Row],[Destination - Bauhaus]],_xlfn.CONCAT("Link (",Table1[[#This Row],[Bauhaus]],")")))</f>
        <v/>
      </c>
      <c r="AJ156" s="62" t="str">
        <f>_xlfn.CONCAT("https://www.bauhaus.ch/fr/search?query=",Table1[[#This Row],[Bauhaus]])</f>
        <v>https://www.bauhaus.ch/fr/search?query=</v>
      </c>
      <c r="AK156" s="59"/>
      <c r="AL156" s="59"/>
      <c r="AM156" s="61" t="str">
        <f>IF(Table1[[#This Row],[BricoEtLoisirs]]="","", HYPERLINK(Table1[[#This Row],[Destination - BricoEtLoisirs]],_xlfn.CONCAT("Link (",Table1[[#This Row],[BricoEtLoisirs]],")")))</f>
        <v/>
      </c>
      <c r="AN156" s="62" t="str">
        <f>_xlfn.CONCAT("https://bricoetloisirs.ch/p/",Table1[[#This Row],[BricoEtLoisirs]])</f>
        <v>https://bricoetloisirs.ch/p/</v>
      </c>
      <c r="AO156" s="57"/>
      <c r="AP156" s="59"/>
      <c r="AQ156" s="61" t="str">
        <f>IF(Table1[[#This Row],[Aliexpress]]="","", HYPERLINK(Table1[[#This Row],[Destination - Aliexpress]],_xlfn.CONCAT("Link (",Table1[[#This Row],[Aliexpress]],")")))</f>
        <v/>
      </c>
      <c r="AR156" s="62" t="str">
        <f>_xlfn.CONCAT("https://www.aliexpress.com/item/",Table1[[#This Row],[Aliexpress]],".html")</f>
        <v>https://www.aliexpress.com/item/.html</v>
      </c>
      <c r="AS156" s="57"/>
      <c r="AT156" s="59"/>
      <c r="AU156" s="61" t="str">
        <f>IF(Table1[[#This Row],[Banggood]]="","", HYPERLINK(Table1[[#This Row],[Destination - Banggood]],_xlfn.CONCAT("Link (",Table1[[#This Row],[Banggood]],")")))</f>
        <v/>
      </c>
      <c r="AV156" s="62" t="str">
        <f>_xlfn.CONCAT("https://www.banggood.com/search/",Table1[[#This Row],[Banggood]],".html")</f>
        <v>https://www.banggood.com/search/.html</v>
      </c>
      <c r="AW156" s="59" t="str">
        <f>IF(Table1[[#This Row],[Other]]&lt;&gt;"","Other","")</f>
        <v>Other</v>
      </c>
      <c r="AX156" s="57" t="s">
        <v>986</v>
      </c>
      <c r="AY156" s="59">
        <v>0</v>
      </c>
      <c r="AZ156" s="61" t="str">
        <f>IF(Table1[[#This Row],[Other]]="","",IF(Table1[[#This Row],[Destination - Other]]="","",HYPERLINK(Table1[[#This Row],[Destination - Other]],_xlfn.CONCAT("Link ("&amp;Table1[[#This Row],[Other]]&amp;")"))))</f>
        <v/>
      </c>
      <c r="BA156" s="59"/>
      <c r="BB156" s="58" t="str">
        <f>IF(AND( Table1[[#This Row],[Auto Order]]=1,Table1[[#This Row],[Obsolete]]=""),IF(Table1[[#This Row],[In stock]]&lt;Table1[[#This Row],[Min in stock]],1,""),"")</f>
        <v/>
      </c>
      <c r="BC156" s="64"/>
      <c r="BD156" s="66" t="str">
        <f>IF(Table1[[#This Row],[Obsolete]],Table1[[#This Row],[Art. Number]],"")</f>
        <v/>
      </c>
    </row>
    <row r="157" spans="1:56" x14ac:dyDescent="0.25">
      <c r="A157" s="65" t="s">
        <v>990</v>
      </c>
      <c r="B157" s="57" t="s">
        <v>987</v>
      </c>
      <c r="C157" s="57" t="s">
        <v>97</v>
      </c>
      <c r="D157" s="57" t="s">
        <v>991</v>
      </c>
      <c r="E157" s="57" t="s">
        <v>989</v>
      </c>
      <c r="F157" s="58">
        <v>10</v>
      </c>
      <c r="G157" s="58"/>
      <c r="H157" s="58"/>
      <c r="I15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E-PCB-000-001</v>
      </c>
      <c r="J15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5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5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57" s="57"/>
      <c r="N157" s="59"/>
      <c r="O157" s="61" t="str">
        <f>IF(Table1[[#This Row],[Digikey]]="","", HYPERLINK(Table1[[#This Row],[Destination - Digikey]],_xlfn.CONCAT("Link (",Table1[[#This Row],[Digikey]],")")))</f>
        <v/>
      </c>
      <c r="P157" s="62" t="str">
        <f>_xlfn.CONCAT("https://www.digikey.ch/products/en?keywords=",Table1[[#This Row],[Digikey]])</f>
        <v>https://www.digikey.ch/products/en?keywords=</v>
      </c>
      <c r="Q157" s="57"/>
      <c r="R157" s="59"/>
      <c r="S157" s="61" t="str">
        <f>IF(Table1[[#This Row],[Farnell]]="","", HYPERLINK(Table1[[#This Row],[Destination - Farnell]],_xlfn.CONCAT("Link (",Table1[[#This Row],[Farnell]],")")))</f>
        <v/>
      </c>
      <c r="T157" s="62" t="str">
        <f>_xlfn.CONCAT("https://ch.farnell.com/fr-CH/",Table1[[#This Row],[Farnell]])</f>
        <v>https://ch.farnell.com/fr-CH/</v>
      </c>
      <c r="U157" s="57"/>
      <c r="V157" s="59"/>
      <c r="W157" s="61" t="str">
        <f>IF(Table1[[#This Row],[Distrelec]]="","", HYPERLINK(Table1[[#This Row],[Destination - Distrelec]],_xlfn.CONCAT("Link (",Table1[[#This Row],[Distrelec]],")")))</f>
        <v/>
      </c>
      <c r="X157" s="62" t="str">
        <f>_xlfn.CONCAT("https://www.distrelec.ch/search?q=",Table1[[#This Row],[Distrelec]])</f>
        <v>https://www.distrelec.ch/search?q=</v>
      </c>
      <c r="Y157" s="57"/>
      <c r="Z157" s="59"/>
      <c r="AA157" s="61" t="str">
        <f>IF(Table1[[#This Row],[Conrad]]="","", HYPERLINK(Table1[[#This Row],[Destination - Conrad]],_xlfn.CONCAT("Link (",Table1[[#This Row],[Conrad]],")")))</f>
        <v/>
      </c>
      <c r="AB157" s="62"/>
      <c r="AC157" s="57"/>
      <c r="AD157" s="59"/>
      <c r="AE157" s="61" t="str">
        <f>IF(Table1[[#This Row],[Mouser]]="","", HYPERLINK(Table1[[#This Row],[Destination - Mouser]],_xlfn.CONCAT("Link (",Table1[[#This Row],[Mouser]],")")))</f>
        <v/>
      </c>
      <c r="AF157" s="62" t="str">
        <f>_xlfn.CONCAT("https://www.mouser.ch/ProductDetail/",Table1[[#This Row],[Mouser]])</f>
        <v>https://www.mouser.ch/ProductDetail/</v>
      </c>
      <c r="AG157" s="57"/>
      <c r="AH157" s="59"/>
      <c r="AI157" s="61" t="str">
        <f>IF(Table1[[#This Row],[Bauhaus]]="","", HYPERLINK(Table1[[#This Row],[Destination - Bauhaus]],_xlfn.CONCAT("Link (",Table1[[#This Row],[Bauhaus]],")")))</f>
        <v/>
      </c>
      <c r="AJ157" s="62" t="str">
        <f>_xlfn.CONCAT("https://www.bauhaus.ch/fr/search?query=",Table1[[#This Row],[Bauhaus]])</f>
        <v>https://www.bauhaus.ch/fr/search?query=</v>
      </c>
      <c r="AK157" s="59"/>
      <c r="AL157" s="59"/>
      <c r="AM157" s="61" t="str">
        <f>IF(Table1[[#This Row],[BricoEtLoisirs]]="","", HYPERLINK(Table1[[#This Row],[Destination - BricoEtLoisirs]],_xlfn.CONCAT("Link (",Table1[[#This Row],[BricoEtLoisirs]],")")))</f>
        <v/>
      </c>
      <c r="AN157" s="62" t="str">
        <f>_xlfn.CONCAT("https://bricoetloisirs.ch/p/",Table1[[#This Row],[BricoEtLoisirs]])</f>
        <v>https://bricoetloisirs.ch/p/</v>
      </c>
      <c r="AO157" s="57"/>
      <c r="AP157" s="59"/>
      <c r="AQ157" s="61" t="str">
        <f>IF(Table1[[#This Row],[Aliexpress]]="","", HYPERLINK(Table1[[#This Row],[Destination - Aliexpress]],_xlfn.CONCAT("Link (",Table1[[#This Row],[Aliexpress]],")")))</f>
        <v/>
      </c>
      <c r="AR157" s="62" t="str">
        <f>_xlfn.CONCAT("https://www.aliexpress.com/item/",Table1[[#This Row],[Aliexpress]],".html")</f>
        <v>https://www.aliexpress.com/item/.html</v>
      </c>
      <c r="AS157" s="57"/>
      <c r="AT157" s="59"/>
      <c r="AU157" s="61" t="str">
        <f>IF(Table1[[#This Row],[Banggood]]="","", HYPERLINK(Table1[[#This Row],[Destination - Banggood]],_xlfn.CONCAT("Link (",Table1[[#This Row],[Banggood]],")")))</f>
        <v/>
      </c>
      <c r="AV157" s="62" t="str">
        <f>_xlfn.CONCAT("https://www.banggood.com/search/",Table1[[#This Row],[Banggood]],".html")</f>
        <v>https://www.banggood.com/search/.html</v>
      </c>
      <c r="AW157" s="59" t="str">
        <f>IF(Table1[[#This Row],[Other]]&lt;&gt;"","Other","")</f>
        <v>Other</v>
      </c>
      <c r="AX157" s="57" t="s">
        <v>990</v>
      </c>
      <c r="AY157" s="59">
        <v>0</v>
      </c>
      <c r="AZ157" s="61" t="str">
        <f>IF(Table1[[#This Row],[Other]]="","",IF(Table1[[#This Row],[Destination - Other]]="","",HYPERLINK(Table1[[#This Row],[Destination - Other]],_xlfn.CONCAT("Link ("&amp;Table1[[#This Row],[Other]]&amp;")"))))</f>
        <v/>
      </c>
      <c r="BA157" s="59"/>
      <c r="BB157" s="58" t="str">
        <f>IF(AND( Table1[[#This Row],[Auto Order]]=1,Table1[[#This Row],[Obsolete]]=""),IF(Table1[[#This Row],[In stock]]&lt;Table1[[#This Row],[Min in stock]],1,""),"")</f>
        <v/>
      </c>
      <c r="BC157" s="64"/>
      <c r="BD157" s="66" t="str">
        <f>IF(Table1[[#This Row],[Obsolete]],Table1[[#This Row],[Art. Number]],"")</f>
        <v/>
      </c>
    </row>
    <row r="158" spans="1:56" x14ac:dyDescent="0.25">
      <c r="A158" s="65" t="s">
        <v>94</v>
      </c>
      <c r="B158" s="57" t="s">
        <v>987</v>
      </c>
      <c r="C158" s="57" t="s">
        <v>97</v>
      </c>
      <c r="D158" s="57" t="s">
        <v>992</v>
      </c>
      <c r="E158" s="57" t="s">
        <v>989</v>
      </c>
      <c r="F158" s="58">
        <v>10</v>
      </c>
      <c r="G158" s="58"/>
      <c r="H158" s="58"/>
      <c r="I15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E-PCB-000-002</v>
      </c>
      <c r="J15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5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5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58" s="57"/>
      <c r="N158" s="59"/>
      <c r="O158" s="61" t="str">
        <f>IF(Table1[[#This Row],[Digikey]]="","", HYPERLINK(Table1[[#This Row],[Destination - Digikey]],_xlfn.CONCAT("Link (",Table1[[#This Row],[Digikey]],")")))</f>
        <v/>
      </c>
      <c r="P158" s="62" t="str">
        <f>_xlfn.CONCAT("https://www.digikey.ch/products/en?keywords=",Table1[[#This Row],[Digikey]])</f>
        <v>https://www.digikey.ch/products/en?keywords=</v>
      </c>
      <c r="Q158" s="57"/>
      <c r="R158" s="59"/>
      <c r="S158" s="61" t="str">
        <f>IF(Table1[[#This Row],[Farnell]]="","", HYPERLINK(Table1[[#This Row],[Destination - Farnell]],_xlfn.CONCAT("Link (",Table1[[#This Row],[Farnell]],")")))</f>
        <v/>
      </c>
      <c r="T158" s="62" t="str">
        <f>_xlfn.CONCAT("https://ch.farnell.com/fr-CH/",Table1[[#This Row],[Farnell]])</f>
        <v>https://ch.farnell.com/fr-CH/</v>
      </c>
      <c r="U158" s="57"/>
      <c r="V158" s="59"/>
      <c r="W158" s="61" t="str">
        <f>IF(Table1[[#This Row],[Distrelec]]="","", HYPERLINK(Table1[[#This Row],[Destination - Distrelec]],_xlfn.CONCAT("Link (",Table1[[#This Row],[Distrelec]],")")))</f>
        <v/>
      </c>
      <c r="X158" s="62" t="str">
        <f>_xlfn.CONCAT("https://www.distrelec.ch/search?q=",Table1[[#This Row],[Distrelec]])</f>
        <v>https://www.distrelec.ch/search?q=</v>
      </c>
      <c r="Y158" s="57"/>
      <c r="Z158" s="59"/>
      <c r="AA158" s="61" t="str">
        <f>IF(Table1[[#This Row],[Conrad]]="","", HYPERLINK(Table1[[#This Row],[Destination - Conrad]],_xlfn.CONCAT("Link (",Table1[[#This Row],[Conrad]],")")))</f>
        <v/>
      </c>
      <c r="AB158" s="62"/>
      <c r="AC158" s="57"/>
      <c r="AD158" s="59"/>
      <c r="AE158" s="61" t="str">
        <f>IF(Table1[[#This Row],[Mouser]]="","", HYPERLINK(Table1[[#This Row],[Destination - Mouser]],_xlfn.CONCAT("Link (",Table1[[#This Row],[Mouser]],")")))</f>
        <v/>
      </c>
      <c r="AF158" s="62" t="str">
        <f>_xlfn.CONCAT("https://www.mouser.ch/ProductDetail/",Table1[[#This Row],[Mouser]])</f>
        <v>https://www.mouser.ch/ProductDetail/</v>
      </c>
      <c r="AG158" s="57"/>
      <c r="AH158" s="59"/>
      <c r="AI158" s="61" t="str">
        <f>IF(Table1[[#This Row],[Bauhaus]]="","", HYPERLINK(Table1[[#This Row],[Destination - Bauhaus]],_xlfn.CONCAT("Link (",Table1[[#This Row],[Bauhaus]],")")))</f>
        <v/>
      </c>
      <c r="AJ158" s="62" t="str">
        <f>_xlfn.CONCAT("https://www.bauhaus.ch/fr/search?query=",Table1[[#This Row],[Bauhaus]])</f>
        <v>https://www.bauhaus.ch/fr/search?query=</v>
      </c>
      <c r="AK158" s="59"/>
      <c r="AL158" s="59"/>
      <c r="AM158" s="61" t="str">
        <f>IF(Table1[[#This Row],[BricoEtLoisirs]]="","", HYPERLINK(Table1[[#This Row],[Destination - BricoEtLoisirs]],_xlfn.CONCAT("Link (",Table1[[#This Row],[BricoEtLoisirs]],")")))</f>
        <v/>
      </c>
      <c r="AN158" s="62" t="str">
        <f>_xlfn.CONCAT("https://bricoetloisirs.ch/p/",Table1[[#This Row],[BricoEtLoisirs]])</f>
        <v>https://bricoetloisirs.ch/p/</v>
      </c>
      <c r="AO158" s="57"/>
      <c r="AP158" s="59"/>
      <c r="AQ158" s="61" t="str">
        <f>IF(Table1[[#This Row],[Aliexpress]]="","", HYPERLINK(Table1[[#This Row],[Destination - Aliexpress]],_xlfn.CONCAT("Link (",Table1[[#This Row],[Aliexpress]],")")))</f>
        <v/>
      </c>
      <c r="AR158" s="62" t="str">
        <f>_xlfn.CONCAT("https://www.aliexpress.com/item/",Table1[[#This Row],[Aliexpress]],".html")</f>
        <v>https://www.aliexpress.com/item/.html</v>
      </c>
      <c r="AS158" s="57"/>
      <c r="AT158" s="59"/>
      <c r="AU158" s="61" t="str">
        <f>IF(Table1[[#This Row],[Banggood]]="","", HYPERLINK(Table1[[#This Row],[Destination - Banggood]],_xlfn.CONCAT("Link (",Table1[[#This Row],[Banggood]],")")))</f>
        <v/>
      </c>
      <c r="AV158" s="62" t="str">
        <f>_xlfn.CONCAT("https://www.banggood.com/search/",Table1[[#This Row],[Banggood]],".html")</f>
        <v>https://www.banggood.com/search/.html</v>
      </c>
      <c r="AW158" s="59" t="str">
        <f>IF(Table1[[#This Row],[Other]]&lt;&gt;"","Other","")</f>
        <v>Other</v>
      </c>
      <c r="AX158" s="57" t="s">
        <v>94</v>
      </c>
      <c r="AY158" s="59">
        <v>0</v>
      </c>
      <c r="AZ158" s="61" t="str">
        <f>IF(Table1[[#This Row],[Other]]="","",IF(Table1[[#This Row],[Destination - Other]]="","",HYPERLINK(Table1[[#This Row],[Destination - Other]],_xlfn.CONCAT("Link ("&amp;Table1[[#This Row],[Other]]&amp;")"))))</f>
        <v/>
      </c>
      <c r="BA158" s="59"/>
      <c r="BB158" s="58" t="str">
        <f>IF(AND( Table1[[#This Row],[Auto Order]]=1,Table1[[#This Row],[Obsolete]]=""),IF(Table1[[#This Row],[In stock]]&lt;Table1[[#This Row],[Min in stock]],1,""),"")</f>
        <v/>
      </c>
      <c r="BC158" s="64"/>
      <c r="BD158" s="66" t="str">
        <f>IF(Table1[[#This Row],[Obsolete]],Table1[[#This Row],[Art. Number]],"")</f>
        <v/>
      </c>
    </row>
    <row r="159" spans="1:56" x14ac:dyDescent="0.25">
      <c r="A159" s="65" t="s">
        <v>227</v>
      </c>
      <c r="B159" s="57" t="s">
        <v>987</v>
      </c>
      <c r="C159" s="57" t="s">
        <v>97</v>
      </c>
      <c r="D159" s="57" t="s">
        <v>993</v>
      </c>
      <c r="E159" s="57" t="s">
        <v>989</v>
      </c>
      <c r="F159" s="58">
        <v>5</v>
      </c>
      <c r="G159" s="58"/>
      <c r="H159" s="58"/>
      <c r="I15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E-PCB-000-003</v>
      </c>
      <c r="J15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5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5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59" s="57"/>
      <c r="N159" s="59"/>
      <c r="O159" s="61" t="str">
        <f>IF(Table1[[#This Row],[Digikey]]="","", HYPERLINK(Table1[[#This Row],[Destination - Digikey]],_xlfn.CONCAT("Link (",Table1[[#This Row],[Digikey]],")")))</f>
        <v/>
      </c>
      <c r="P159" s="62" t="str">
        <f>_xlfn.CONCAT("https://www.digikey.ch/products/en?keywords=",Table1[[#This Row],[Digikey]])</f>
        <v>https://www.digikey.ch/products/en?keywords=</v>
      </c>
      <c r="Q159" s="57"/>
      <c r="R159" s="59"/>
      <c r="S159" s="61" t="str">
        <f>IF(Table1[[#This Row],[Farnell]]="","", HYPERLINK(Table1[[#This Row],[Destination - Farnell]],_xlfn.CONCAT("Link (",Table1[[#This Row],[Farnell]],")")))</f>
        <v/>
      </c>
      <c r="T159" s="62" t="str">
        <f>_xlfn.CONCAT("https://ch.farnell.com/fr-CH/",Table1[[#This Row],[Farnell]])</f>
        <v>https://ch.farnell.com/fr-CH/</v>
      </c>
      <c r="U159" s="57"/>
      <c r="V159" s="59"/>
      <c r="W159" s="61" t="str">
        <f>IF(Table1[[#This Row],[Distrelec]]="","", HYPERLINK(Table1[[#This Row],[Destination - Distrelec]],_xlfn.CONCAT("Link (",Table1[[#This Row],[Distrelec]],")")))</f>
        <v/>
      </c>
      <c r="X159" s="62" t="str">
        <f>_xlfn.CONCAT("https://www.distrelec.ch/search?q=",Table1[[#This Row],[Distrelec]])</f>
        <v>https://www.distrelec.ch/search?q=</v>
      </c>
      <c r="Y159" s="57"/>
      <c r="Z159" s="59"/>
      <c r="AA159" s="61" t="str">
        <f>IF(Table1[[#This Row],[Conrad]]="","", HYPERLINK(Table1[[#This Row],[Destination - Conrad]],_xlfn.CONCAT("Link (",Table1[[#This Row],[Conrad]],")")))</f>
        <v/>
      </c>
      <c r="AB159" s="62"/>
      <c r="AC159" s="57"/>
      <c r="AD159" s="59"/>
      <c r="AE159" s="61" t="str">
        <f>IF(Table1[[#This Row],[Mouser]]="","", HYPERLINK(Table1[[#This Row],[Destination - Mouser]],_xlfn.CONCAT("Link (",Table1[[#This Row],[Mouser]],")")))</f>
        <v/>
      </c>
      <c r="AF159" s="62" t="str">
        <f>_xlfn.CONCAT("https://www.mouser.ch/ProductDetail/",Table1[[#This Row],[Mouser]])</f>
        <v>https://www.mouser.ch/ProductDetail/</v>
      </c>
      <c r="AG159" s="57"/>
      <c r="AH159" s="59"/>
      <c r="AI159" s="61" t="str">
        <f>IF(Table1[[#This Row],[Bauhaus]]="","", HYPERLINK(Table1[[#This Row],[Destination - Bauhaus]],_xlfn.CONCAT("Link (",Table1[[#This Row],[Bauhaus]],")")))</f>
        <v/>
      </c>
      <c r="AJ159" s="62" t="str">
        <f>_xlfn.CONCAT("https://www.bauhaus.ch/fr/search?query=",Table1[[#This Row],[Bauhaus]])</f>
        <v>https://www.bauhaus.ch/fr/search?query=</v>
      </c>
      <c r="AK159" s="59"/>
      <c r="AL159" s="59"/>
      <c r="AM159" s="61" t="str">
        <f>IF(Table1[[#This Row],[BricoEtLoisirs]]="","", HYPERLINK(Table1[[#This Row],[Destination - BricoEtLoisirs]],_xlfn.CONCAT("Link (",Table1[[#This Row],[BricoEtLoisirs]],")")))</f>
        <v/>
      </c>
      <c r="AN159" s="62" t="str">
        <f>_xlfn.CONCAT("https://bricoetloisirs.ch/p/",Table1[[#This Row],[BricoEtLoisirs]])</f>
        <v>https://bricoetloisirs.ch/p/</v>
      </c>
      <c r="AO159" s="57"/>
      <c r="AP159" s="59"/>
      <c r="AQ159" s="61" t="str">
        <f>IF(Table1[[#This Row],[Aliexpress]]="","", HYPERLINK(Table1[[#This Row],[Destination - Aliexpress]],_xlfn.CONCAT("Link (",Table1[[#This Row],[Aliexpress]],")")))</f>
        <v/>
      </c>
      <c r="AR159" s="62" t="str">
        <f>_xlfn.CONCAT("https://www.aliexpress.com/item/",Table1[[#This Row],[Aliexpress]],".html")</f>
        <v>https://www.aliexpress.com/item/.html</v>
      </c>
      <c r="AS159" s="57"/>
      <c r="AT159" s="59"/>
      <c r="AU159" s="61" t="str">
        <f>IF(Table1[[#This Row],[Banggood]]="","", HYPERLINK(Table1[[#This Row],[Destination - Banggood]],_xlfn.CONCAT("Link (",Table1[[#This Row],[Banggood]],")")))</f>
        <v/>
      </c>
      <c r="AV159" s="62" t="str">
        <f>_xlfn.CONCAT("https://www.banggood.com/search/",Table1[[#This Row],[Banggood]],".html")</f>
        <v>https://www.banggood.com/search/.html</v>
      </c>
      <c r="AW159" s="59" t="str">
        <f>IF(Table1[[#This Row],[Other]]&lt;&gt;"","Other","")</f>
        <v>Other</v>
      </c>
      <c r="AX159" s="57" t="s">
        <v>227</v>
      </c>
      <c r="AY159" s="59">
        <v>0</v>
      </c>
      <c r="AZ159" s="61" t="str">
        <f>IF(Table1[[#This Row],[Other]]="","",IF(Table1[[#This Row],[Destination - Other]]="","",HYPERLINK(Table1[[#This Row],[Destination - Other]],_xlfn.CONCAT("Link ("&amp;Table1[[#This Row],[Other]]&amp;")"))))</f>
        <v/>
      </c>
      <c r="BA159" s="59"/>
      <c r="BB159" s="58" t="str">
        <f>IF(AND( Table1[[#This Row],[Auto Order]]=1,Table1[[#This Row],[Obsolete]]=""),IF(Table1[[#This Row],[In stock]]&lt;Table1[[#This Row],[Min in stock]],1,""),"")</f>
        <v/>
      </c>
      <c r="BC159" s="64"/>
      <c r="BD159" s="66" t="str">
        <f>IF(Table1[[#This Row],[Obsolete]],Table1[[#This Row],[Art. Number]],"")</f>
        <v/>
      </c>
    </row>
    <row r="160" spans="1:56" x14ac:dyDescent="0.25">
      <c r="A160" s="65" t="s">
        <v>994</v>
      </c>
      <c r="B160" s="57" t="s">
        <v>987</v>
      </c>
      <c r="C160" s="57" t="s">
        <v>97</v>
      </c>
      <c r="D160" s="57" t="s">
        <v>995</v>
      </c>
      <c r="E160" s="57" t="s">
        <v>989</v>
      </c>
      <c r="F160" s="58">
        <v>5</v>
      </c>
      <c r="G160" s="58"/>
      <c r="H160" s="58"/>
      <c r="I16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E-PCB-000-004</v>
      </c>
      <c r="J16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0" s="57"/>
      <c r="N160" s="59"/>
      <c r="O160" s="61" t="str">
        <f>IF(Table1[[#This Row],[Digikey]]="","", HYPERLINK(Table1[[#This Row],[Destination - Digikey]],_xlfn.CONCAT("Link (",Table1[[#This Row],[Digikey]],")")))</f>
        <v/>
      </c>
      <c r="P160" s="62" t="str">
        <f>_xlfn.CONCAT("https://www.digikey.ch/products/en?keywords=",Table1[[#This Row],[Digikey]])</f>
        <v>https://www.digikey.ch/products/en?keywords=</v>
      </c>
      <c r="Q160" s="57"/>
      <c r="R160" s="59"/>
      <c r="S160" s="61" t="str">
        <f>IF(Table1[[#This Row],[Farnell]]="","", HYPERLINK(Table1[[#This Row],[Destination - Farnell]],_xlfn.CONCAT("Link (",Table1[[#This Row],[Farnell]],")")))</f>
        <v/>
      </c>
      <c r="T160" s="62" t="str">
        <f>_xlfn.CONCAT("https://ch.farnell.com/fr-CH/",Table1[[#This Row],[Farnell]])</f>
        <v>https://ch.farnell.com/fr-CH/</v>
      </c>
      <c r="U160" s="57"/>
      <c r="V160" s="59"/>
      <c r="W160" s="61" t="str">
        <f>IF(Table1[[#This Row],[Distrelec]]="","", HYPERLINK(Table1[[#This Row],[Destination - Distrelec]],_xlfn.CONCAT("Link (",Table1[[#This Row],[Distrelec]],")")))</f>
        <v/>
      </c>
      <c r="X160" s="62" t="str">
        <f>_xlfn.CONCAT("https://www.distrelec.ch/search?q=",Table1[[#This Row],[Distrelec]])</f>
        <v>https://www.distrelec.ch/search?q=</v>
      </c>
      <c r="Y160" s="57"/>
      <c r="Z160" s="59"/>
      <c r="AA160" s="61" t="str">
        <f>IF(Table1[[#This Row],[Conrad]]="","", HYPERLINK(Table1[[#This Row],[Destination - Conrad]],_xlfn.CONCAT("Link (",Table1[[#This Row],[Conrad]],")")))</f>
        <v/>
      </c>
      <c r="AB160" s="62"/>
      <c r="AC160" s="57"/>
      <c r="AD160" s="59"/>
      <c r="AE160" s="61" t="str">
        <f>IF(Table1[[#This Row],[Mouser]]="","", HYPERLINK(Table1[[#This Row],[Destination - Mouser]],_xlfn.CONCAT("Link (",Table1[[#This Row],[Mouser]],")")))</f>
        <v/>
      </c>
      <c r="AF160" s="62" t="str">
        <f>_xlfn.CONCAT("https://www.mouser.ch/ProductDetail/",Table1[[#This Row],[Mouser]])</f>
        <v>https://www.mouser.ch/ProductDetail/</v>
      </c>
      <c r="AG160" s="57"/>
      <c r="AH160" s="59"/>
      <c r="AI160" s="61" t="str">
        <f>IF(Table1[[#This Row],[Bauhaus]]="","", HYPERLINK(Table1[[#This Row],[Destination - Bauhaus]],_xlfn.CONCAT("Link (",Table1[[#This Row],[Bauhaus]],")")))</f>
        <v/>
      </c>
      <c r="AJ160" s="62" t="str">
        <f>_xlfn.CONCAT("https://www.bauhaus.ch/fr/search?query=",Table1[[#This Row],[Bauhaus]])</f>
        <v>https://www.bauhaus.ch/fr/search?query=</v>
      </c>
      <c r="AK160" s="59"/>
      <c r="AL160" s="59"/>
      <c r="AM160" s="61" t="str">
        <f>IF(Table1[[#This Row],[BricoEtLoisirs]]="","", HYPERLINK(Table1[[#This Row],[Destination - BricoEtLoisirs]],_xlfn.CONCAT("Link (",Table1[[#This Row],[BricoEtLoisirs]],")")))</f>
        <v/>
      </c>
      <c r="AN160" s="62" t="str">
        <f>_xlfn.CONCAT("https://bricoetloisirs.ch/p/",Table1[[#This Row],[BricoEtLoisirs]])</f>
        <v>https://bricoetloisirs.ch/p/</v>
      </c>
      <c r="AO160" s="57"/>
      <c r="AP160" s="59"/>
      <c r="AQ160" s="61" t="str">
        <f>IF(Table1[[#This Row],[Aliexpress]]="","", HYPERLINK(Table1[[#This Row],[Destination - Aliexpress]],_xlfn.CONCAT("Link (",Table1[[#This Row],[Aliexpress]],")")))</f>
        <v/>
      </c>
      <c r="AR160" s="62" t="str">
        <f>_xlfn.CONCAT("https://www.aliexpress.com/item/",Table1[[#This Row],[Aliexpress]],".html")</f>
        <v>https://www.aliexpress.com/item/.html</v>
      </c>
      <c r="AS160" s="57"/>
      <c r="AT160" s="59"/>
      <c r="AU160" s="61" t="str">
        <f>IF(Table1[[#This Row],[Banggood]]="","", HYPERLINK(Table1[[#This Row],[Destination - Banggood]],_xlfn.CONCAT("Link (",Table1[[#This Row],[Banggood]],")")))</f>
        <v/>
      </c>
      <c r="AV160" s="62" t="str">
        <f>_xlfn.CONCAT("https://www.banggood.com/search/",Table1[[#This Row],[Banggood]],".html")</f>
        <v>https://www.banggood.com/search/.html</v>
      </c>
      <c r="AW160" s="59" t="str">
        <f>IF(Table1[[#This Row],[Other]]&lt;&gt;"","Other","")</f>
        <v>Other</v>
      </c>
      <c r="AX160" s="57" t="s">
        <v>994</v>
      </c>
      <c r="AY160" s="59">
        <v>0</v>
      </c>
      <c r="AZ160" s="61" t="str">
        <f>IF(Table1[[#This Row],[Other]]="","",IF(Table1[[#This Row],[Destination - Other]]="","",HYPERLINK(Table1[[#This Row],[Destination - Other]],_xlfn.CONCAT("Link ("&amp;Table1[[#This Row],[Other]]&amp;")"))))</f>
        <v/>
      </c>
      <c r="BA160" s="59"/>
      <c r="BB160" s="58" t="str">
        <f>IF(AND( Table1[[#This Row],[Auto Order]]=1,Table1[[#This Row],[Obsolete]]=""),IF(Table1[[#This Row],[In stock]]&lt;Table1[[#This Row],[Min in stock]],1,""),"")</f>
        <v/>
      </c>
      <c r="BC160" s="64"/>
      <c r="BD160" s="66" t="str">
        <f>IF(Table1[[#This Row],[Obsolete]],Table1[[#This Row],[Art. Number]],"")</f>
        <v/>
      </c>
    </row>
    <row r="161" spans="1:56" x14ac:dyDescent="0.25">
      <c r="A161" s="65" t="s">
        <v>263</v>
      </c>
      <c r="B161" s="57" t="s">
        <v>987</v>
      </c>
      <c r="C161" s="57" t="s">
        <v>97</v>
      </c>
      <c r="D161" s="57" t="s">
        <v>996</v>
      </c>
      <c r="E161" s="57" t="s">
        <v>989</v>
      </c>
      <c r="F161" s="58">
        <v>4</v>
      </c>
      <c r="G161" s="58"/>
      <c r="H161" s="58"/>
      <c r="I16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E-PCB-000-005</v>
      </c>
      <c r="J16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1" s="57"/>
      <c r="N161" s="59"/>
      <c r="O161" s="61" t="str">
        <f>IF(Table1[[#This Row],[Digikey]]="","", HYPERLINK(Table1[[#This Row],[Destination - Digikey]],_xlfn.CONCAT("Link (",Table1[[#This Row],[Digikey]],")")))</f>
        <v/>
      </c>
      <c r="P161" s="62" t="str">
        <f>_xlfn.CONCAT("https://www.digikey.ch/products/en?keywords=",Table1[[#This Row],[Digikey]])</f>
        <v>https://www.digikey.ch/products/en?keywords=</v>
      </c>
      <c r="Q161" s="57"/>
      <c r="R161" s="59"/>
      <c r="S161" s="61" t="str">
        <f>IF(Table1[[#This Row],[Farnell]]="","", HYPERLINK(Table1[[#This Row],[Destination - Farnell]],_xlfn.CONCAT("Link (",Table1[[#This Row],[Farnell]],")")))</f>
        <v/>
      </c>
      <c r="T161" s="62" t="str">
        <f>_xlfn.CONCAT("https://ch.farnell.com/fr-CH/",Table1[[#This Row],[Farnell]])</f>
        <v>https://ch.farnell.com/fr-CH/</v>
      </c>
      <c r="U161" s="57"/>
      <c r="V161" s="59"/>
      <c r="W161" s="61" t="str">
        <f>IF(Table1[[#This Row],[Distrelec]]="","", HYPERLINK(Table1[[#This Row],[Destination - Distrelec]],_xlfn.CONCAT("Link (",Table1[[#This Row],[Distrelec]],")")))</f>
        <v/>
      </c>
      <c r="X161" s="62" t="str">
        <f>_xlfn.CONCAT("https://www.distrelec.ch/search?q=",Table1[[#This Row],[Distrelec]])</f>
        <v>https://www.distrelec.ch/search?q=</v>
      </c>
      <c r="Y161" s="57"/>
      <c r="Z161" s="59"/>
      <c r="AA161" s="61" t="str">
        <f>IF(Table1[[#This Row],[Conrad]]="","", HYPERLINK(Table1[[#This Row],[Destination - Conrad]],_xlfn.CONCAT("Link (",Table1[[#This Row],[Conrad]],")")))</f>
        <v/>
      </c>
      <c r="AB161" s="62"/>
      <c r="AC161" s="57"/>
      <c r="AD161" s="59"/>
      <c r="AE161" s="61" t="str">
        <f>IF(Table1[[#This Row],[Mouser]]="","", HYPERLINK(Table1[[#This Row],[Destination - Mouser]],_xlfn.CONCAT("Link (",Table1[[#This Row],[Mouser]],")")))</f>
        <v/>
      </c>
      <c r="AF161" s="62" t="str">
        <f>_xlfn.CONCAT("https://www.mouser.ch/ProductDetail/",Table1[[#This Row],[Mouser]])</f>
        <v>https://www.mouser.ch/ProductDetail/</v>
      </c>
      <c r="AG161" s="57"/>
      <c r="AH161" s="59"/>
      <c r="AI161" s="61" t="str">
        <f>IF(Table1[[#This Row],[Bauhaus]]="","", HYPERLINK(Table1[[#This Row],[Destination - Bauhaus]],_xlfn.CONCAT("Link (",Table1[[#This Row],[Bauhaus]],")")))</f>
        <v/>
      </c>
      <c r="AJ161" s="62" t="str">
        <f>_xlfn.CONCAT("https://www.bauhaus.ch/fr/search?query=",Table1[[#This Row],[Bauhaus]])</f>
        <v>https://www.bauhaus.ch/fr/search?query=</v>
      </c>
      <c r="AK161" s="59"/>
      <c r="AL161" s="59"/>
      <c r="AM161" s="61" t="str">
        <f>IF(Table1[[#This Row],[BricoEtLoisirs]]="","", HYPERLINK(Table1[[#This Row],[Destination - BricoEtLoisirs]],_xlfn.CONCAT("Link (",Table1[[#This Row],[BricoEtLoisirs]],")")))</f>
        <v/>
      </c>
      <c r="AN161" s="62" t="str">
        <f>_xlfn.CONCAT("https://bricoetloisirs.ch/p/",Table1[[#This Row],[BricoEtLoisirs]])</f>
        <v>https://bricoetloisirs.ch/p/</v>
      </c>
      <c r="AO161" s="57"/>
      <c r="AP161" s="59"/>
      <c r="AQ161" s="61" t="str">
        <f>IF(Table1[[#This Row],[Aliexpress]]="","", HYPERLINK(Table1[[#This Row],[Destination - Aliexpress]],_xlfn.CONCAT("Link (",Table1[[#This Row],[Aliexpress]],")")))</f>
        <v/>
      </c>
      <c r="AR161" s="62" t="str">
        <f>_xlfn.CONCAT("https://www.aliexpress.com/item/",Table1[[#This Row],[Aliexpress]],".html")</f>
        <v>https://www.aliexpress.com/item/.html</v>
      </c>
      <c r="AS161" s="57"/>
      <c r="AT161" s="59"/>
      <c r="AU161" s="61" t="str">
        <f>IF(Table1[[#This Row],[Banggood]]="","", HYPERLINK(Table1[[#This Row],[Destination - Banggood]],_xlfn.CONCAT("Link (",Table1[[#This Row],[Banggood]],")")))</f>
        <v/>
      </c>
      <c r="AV161" s="62" t="str">
        <f>_xlfn.CONCAT("https://www.banggood.com/search/",Table1[[#This Row],[Banggood]],".html")</f>
        <v>https://www.banggood.com/search/.html</v>
      </c>
      <c r="AW161" s="59" t="str">
        <f>IF(Table1[[#This Row],[Other]]&lt;&gt;"","Other","")</f>
        <v>Other</v>
      </c>
      <c r="AX161" s="57" t="s">
        <v>263</v>
      </c>
      <c r="AY161" s="59">
        <v>0</v>
      </c>
      <c r="AZ161" s="61" t="str">
        <f>IF(Table1[[#This Row],[Other]]="","",IF(Table1[[#This Row],[Destination - Other]]="","",HYPERLINK(Table1[[#This Row],[Destination - Other]],_xlfn.CONCAT("Link ("&amp;Table1[[#This Row],[Other]]&amp;")"))))</f>
        <v/>
      </c>
      <c r="BA161" s="59"/>
      <c r="BB161" s="58" t="str">
        <f>IF(AND( Table1[[#This Row],[Auto Order]]=1,Table1[[#This Row],[Obsolete]]=""),IF(Table1[[#This Row],[In stock]]&lt;Table1[[#This Row],[Min in stock]],1,""),"")</f>
        <v/>
      </c>
      <c r="BC161" s="64"/>
      <c r="BD161" s="66" t="str">
        <f>IF(Table1[[#This Row],[Obsolete]],Table1[[#This Row],[Art. Number]],"")</f>
        <v/>
      </c>
    </row>
    <row r="162" spans="1:56" x14ac:dyDescent="0.25">
      <c r="A162" s="65" t="s">
        <v>997</v>
      </c>
      <c r="B162" s="57" t="s">
        <v>987</v>
      </c>
      <c r="C162" s="57" t="s">
        <v>97</v>
      </c>
      <c r="D162" s="57" t="s">
        <v>998</v>
      </c>
      <c r="E162" s="57" t="s">
        <v>989</v>
      </c>
      <c r="F162" s="58">
        <v>3</v>
      </c>
      <c r="G162" s="58"/>
      <c r="H162" s="58"/>
      <c r="I16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E-PCB-000-006</v>
      </c>
      <c r="J16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2" s="57"/>
      <c r="N162" s="59"/>
      <c r="O162" s="61" t="str">
        <f>IF(Table1[[#This Row],[Digikey]]="","", HYPERLINK(Table1[[#This Row],[Destination - Digikey]],_xlfn.CONCAT("Link (",Table1[[#This Row],[Digikey]],")")))</f>
        <v/>
      </c>
      <c r="P162" s="62" t="str">
        <f>_xlfn.CONCAT("https://www.digikey.ch/products/en?keywords=",Table1[[#This Row],[Digikey]])</f>
        <v>https://www.digikey.ch/products/en?keywords=</v>
      </c>
      <c r="Q162" s="57"/>
      <c r="R162" s="59"/>
      <c r="S162" s="61" t="str">
        <f>IF(Table1[[#This Row],[Farnell]]="","", HYPERLINK(Table1[[#This Row],[Destination - Farnell]],_xlfn.CONCAT("Link (",Table1[[#This Row],[Farnell]],")")))</f>
        <v/>
      </c>
      <c r="T162" s="62" t="str">
        <f>_xlfn.CONCAT("https://ch.farnell.com/fr-CH/",Table1[[#This Row],[Farnell]])</f>
        <v>https://ch.farnell.com/fr-CH/</v>
      </c>
      <c r="U162" s="57"/>
      <c r="V162" s="59"/>
      <c r="W162" s="61" t="str">
        <f>IF(Table1[[#This Row],[Distrelec]]="","", HYPERLINK(Table1[[#This Row],[Destination - Distrelec]],_xlfn.CONCAT("Link (",Table1[[#This Row],[Distrelec]],")")))</f>
        <v/>
      </c>
      <c r="X162" s="62" t="str">
        <f>_xlfn.CONCAT("https://www.distrelec.ch/search?q=",Table1[[#This Row],[Distrelec]])</f>
        <v>https://www.distrelec.ch/search?q=</v>
      </c>
      <c r="Y162" s="57"/>
      <c r="Z162" s="59"/>
      <c r="AA162" s="61" t="str">
        <f>IF(Table1[[#This Row],[Conrad]]="","", HYPERLINK(Table1[[#This Row],[Destination - Conrad]],_xlfn.CONCAT("Link (",Table1[[#This Row],[Conrad]],")")))</f>
        <v/>
      </c>
      <c r="AB162" s="62"/>
      <c r="AC162" s="57"/>
      <c r="AD162" s="59"/>
      <c r="AE162" s="61" t="str">
        <f>IF(Table1[[#This Row],[Mouser]]="","", HYPERLINK(Table1[[#This Row],[Destination - Mouser]],_xlfn.CONCAT("Link (",Table1[[#This Row],[Mouser]],")")))</f>
        <v/>
      </c>
      <c r="AF162" s="62" t="str">
        <f>_xlfn.CONCAT("https://www.mouser.ch/ProductDetail/",Table1[[#This Row],[Mouser]])</f>
        <v>https://www.mouser.ch/ProductDetail/</v>
      </c>
      <c r="AG162" s="57"/>
      <c r="AH162" s="59"/>
      <c r="AI162" s="61" t="str">
        <f>IF(Table1[[#This Row],[Bauhaus]]="","", HYPERLINK(Table1[[#This Row],[Destination - Bauhaus]],_xlfn.CONCAT("Link (",Table1[[#This Row],[Bauhaus]],")")))</f>
        <v/>
      </c>
      <c r="AJ162" s="62" t="str">
        <f>_xlfn.CONCAT("https://www.bauhaus.ch/fr/search?query=",Table1[[#This Row],[Bauhaus]])</f>
        <v>https://www.bauhaus.ch/fr/search?query=</v>
      </c>
      <c r="AK162" s="59"/>
      <c r="AL162" s="59"/>
      <c r="AM162" s="61" t="str">
        <f>IF(Table1[[#This Row],[BricoEtLoisirs]]="","", HYPERLINK(Table1[[#This Row],[Destination - BricoEtLoisirs]],_xlfn.CONCAT("Link (",Table1[[#This Row],[BricoEtLoisirs]],")")))</f>
        <v/>
      </c>
      <c r="AN162" s="62" t="str">
        <f>_xlfn.CONCAT("https://bricoetloisirs.ch/p/",Table1[[#This Row],[BricoEtLoisirs]])</f>
        <v>https://bricoetloisirs.ch/p/</v>
      </c>
      <c r="AO162" s="57"/>
      <c r="AP162" s="59"/>
      <c r="AQ162" s="61" t="str">
        <f>IF(Table1[[#This Row],[Aliexpress]]="","", HYPERLINK(Table1[[#This Row],[Destination - Aliexpress]],_xlfn.CONCAT("Link (",Table1[[#This Row],[Aliexpress]],")")))</f>
        <v/>
      </c>
      <c r="AR162" s="62" t="str">
        <f>_xlfn.CONCAT("https://www.aliexpress.com/item/",Table1[[#This Row],[Aliexpress]],".html")</f>
        <v>https://www.aliexpress.com/item/.html</v>
      </c>
      <c r="AS162" s="57"/>
      <c r="AT162" s="59"/>
      <c r="AU162" s="61" t="str">
        <f>IF(Table1[[#This Row],[Banggood]]="","", HYPERLINK(Table1[[#This Row],[Destination - Banggood]],_xlfn.CONCAT("Link (",Table1[[#This Row],[Banggood]],")")))</f>
        <v/>
      </c>
      <c r="AV162" s="62" t="str">
        <f>_xlfn.CONCAT("https://www.banggood.com/search/",Table1[[#This Row],[Banggood]],".html")</f>
        <v>https://www.banggood.com/search/.html</v>
      </c>
      <c r="AW162" s="59" t="str">
        <f>IF(Table1[[#This Row],[Other]]&lt;&gt;"","Other","")</f>
        <v>Other</v>
      </c>
      <c r="AX162" s="57" t="s">
        <v>997</v>
      </c>
      <c r="AY162" s="59">
        <v>0</v>
      </c>
      <c r="AZ162" s="61" t="str">
        <f>IF(Table1[[#This Row],[Other]]="","",IF(Table1[[#This Row],[Destination - Other]]="","",HYPERLINK(Table1[[#This Row],[Destination - Other]],_xlfn.CONCAT("Link ("&amp;Table1[[#This Row],[Other]]&amp;")"))))</f>
        <v/>
      </c>
      <c r="BA162" s="59"/>
      <c r="BB162" s="58" t="str">
        <f>IF(AND( Table1[[#This Row],[Auto Order]]=1,Table1[[#This Row],[Obsolete]]=""),IF(Table1[[#This Row],[In stock]]&lt;Table1[[#This Row],[Min in stock]],1,""),"")</f>
        <v/>
      </c>
      <c r="BC162" s="64"/>
      <c r="BD162" s="66" t="str">
        <f>IF(Table1[[#This Row],[Obsolete]],Table1[[#This Row],[Art. Number]],"")</f>
        <v/>
      </c>
    </row>
    <row r="163" spans="1:56" x14ac:dyDescent="0.25">
      <c r="A163" s="65" t="s">
        <v>93</v>
      </c>
      <c r="B163" s="57" t="s">
        <v>987</v>
      </c>
      <c r="C163" s="57" t="s">
        <v>97</v>
      </c>
      <c r="D163" s="57" t="s">
        <v>999</v>
      </c>
      <c r="E163" s="57" t="s">
        <v>989</v>
      </c>
      <c r="F163" s="58">
        <v>4</v>
      </c>
      <c r="G163" s="58"/>
      <c r="H163" s="58"/>
      <c r="I16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E-PCB-001-000</v>
      </c>
      <c r="J16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3" s="57"/>
      <c r="N163" s="59"/>
      <c r="O163" s="61" t="str">
        <f>IF(Table1[[#This Row],[Digikey]]="","", HYPERLINK(Table1[[#This Row],[Destination - Digikey]],_xlfn.CONCAT("Link (",Table1[[#This Row],[Digikey]],")")))</f>
        <v/>
      </c>
      <c r="P163" s="62" t="str">
        <f>_xlfn.CONCAT("https://www.digikey.ch/products/en?keywords=",Table1[[#This Row],[Digikey]])</f>
        <v>https://www.digikey.ch/products/en?keywords=</v>
      </c>
      <c r="Q163" s="57"/>
      <c r="R163" s="59"/>
      <c r="S163" s="61" t="str">
        <f>IF(Table1[[#This Row],[Farnell]]="","", HYPERLINK(Table1[[#This Row],[Destination - Farnell]],_xlfn.CONCAT("Link (",Table1[[#This Row],[Farnell]],")")))</f>
        <v/>
      </c>
      <c r="T163" s="62" t="str">
        <f>_xlfn.CONCAT("https://ch.farnell.com/fr-CH/",Table1[[#This Row],[Farnell]])</f>
        <v>https://ch.farnell.com/fr-CH/</v>
      </c>
      <c r="U163" s="57"/>
      <c r="V163" s="59"/>
      <c r="W163" s="61" t="str">
        <f>IF(Table1[[#This Row],[Distrelec]]="","", HYPERLINK(Table1[[#This Row],[Destination - Distrelec]],_xlfn.CONCAT("Link (",Table1[[#This Row],[Distrelec]],")")))</f>
        <v/>
      </c>
      <c r="X163" s="62" t="str">
        <f>_xlfn.CONCAT("https://www.distrelec.ch/search?q=",Table1[[#This Row],[Distrelec]])</f>
        <v>https://www.distrelec.ch/search?q=</v>
      </c>
      <c r="Y163" s="57"/>
      <c r="Z163" s="59"/>
      <c r="AA163" s="61" t="str">
        <f>IF(Table1[[#This Row],[Conrad]]="","", HYPERLINK(Table1[[#This Row],[Destination - Conrad]],_xlfn.CONCAT("Link (",Table1[[#This Row],[Conrad]],")")))</f>
        <v/>
      </c>
      <c r="AB163" s="62"/>
      <c r="AC163" s="57"/>
      <c r="AD163" s="59"/>
      <c r="AE163" s="61" t="str">
        <f>IF(Table1[[#This Row],[Mouser]]="","", HYPERLINK(Table1[[#This Row],[Destination - Mouser]],_xlfn.CONCAT("Link (",Table1[[#This Row],[Mouser]],")")))</f>
        <v/>
      </c>
      <c r="AF163" s="62" t="str">
        <f>_xlfn.CONCAT("https://www.mouser.ch/ProductDetail/",Table1[[#This Row],[Mouser]])</f>
        <v>https://www.mouser.ch/ProductDetail/</v>
      </c>
      <c r="AG163" s="57"/>
      <c r="AH163" s="59"/>
      <c r="AI163" s="61" t="str">
        <f>IF(Table1[[#This Row],[Bauhaus]]="","", HYPERLINK(Table1[[#This Row],[Destination - Bauhaus]],_xlfn.CONCAT("Link (",Table1[[#This Row],[Bauhaus]],")")))</f>
        <v/>
      </c>
      <c r="AJ163" s="62" t="str">
        <f>_xlfn.CONCAT("https://www.bauhaus.ch/fr/search?query=",Table1[[#This Row],[Bauhaus]])</f>
        <v>https://www.bauhaus.ch/fr/search?query=</v>
      </c>
      <c r="AK163" s="59"/>
      <c r="AL163" s="59"/>
      <c r="AM163" s="61" t="str">
        <f>IF(Table1[[#This Row],[BricoEtLoisirs]]="","", HYPERLINK(Table1[[#This Row],[Destination - BricoEtLoisirs]],_xlfn.CONCAT("Link (",Table1[[#This Row],[BricoEtLoisirs]],")")))</f>
        <v/>
      </c>
      <c r="AN163" s="62" t="str">
        <f>_xlfn.CONCAT("https://bricoetloisirs.ch/p/",Table1[[#This Row],[BricoEtLoisirs]])</f>
        <v>https://bricoetloisirs.ch/p/</v>
      </c>
      <c r="AO163" s="57"/>
      <c r="AP163" s="59"/>
      <c r="AQ163" s="61" t="str">
        <f>IF(Table1[[#This Row],[Aliexpress]]="","", HYPERLINK(Table1[[#This Row],[Destination - Aliexpress]],_xlfn.CONCAT("Link (",Table1[[#This Row],[Aliexpress]],")")))</f>
        <v/>
      </c>
      <c r="AR163" s="62" t="str">
        <f>_xlfn.CONCAT("https://www.aliexpress.com/item/",Table1[[#This Row],[Aliexpress]],".html")</f>
        <v>https://www.aliexpress.com/item/.html</v>
      </c>
      <c r="AS163" s="57"/>
      <c r="AT163" s="59"/>
      <c r="AU163" s="61" t="str">
        <f>IF(Table1[[#This Row],[Banggood]]="","", HYPERLINK(Table1[[#This Row],[Destination - Banggood]],_xlfn.CONCAT("Link (",Table1[[#This Row],[Banggood]],")")))</f>
        <v/>
      </c>
      <c r="AV163" s="62" t="str">
        <f>_xlfn.CONCAT("https://www.banggood.com/search/",Table1[[#This Row],[Banggood]],".html")</f>
        <v>https://www.banggood.com/search/.html</v>
      </c>
      <c r="AW163" s="59" t="str">
        <f>IF(Table1[[#This Row],[Other]]&lt;&gt;"","Other","")</f>
        <v>Other</v>
      </c>
      <c r="AX163" s="57" t="s">
        <v>93</v>
      </c>
      <c r="AY163" s="59">
        <v>0</v>
      </c>
      <c r="AZ163" s="61" t="str">
        <f>IF(Table1[[#This Row],[Other]]="","",IF(Table1[[#This Row],[Destination - Other]]="","",HYPERLINK(Table1[[#This Row],[Destination - Other]],_xlfn.CONCAT("Link ("&amp;Table1[[#This Row],[Other]]&amp;")"))))</f>
        <v/>
      </c>
      <c r="BA163" s="59"/>
      <c r="BB163" s="58" t="str">
        <f>IF(AND( Table1[[#This Row],[Auto Order]]=1,Table1[[#This Row],[Obsolete]]=""),IF(Table1[[#This Row],[In stock]]&lt;Table1[[#This Row],[Min in stock]],1,""),"")</f>
        <v/>
      </c>
      <c r="BC163" s="64"/>
      <c r="BD163" s="66" t="str">
        <f>IF(Table1[[#This Row],[Obsolete]],Table1[[#This Row],[Art. Number]],"")</f>
        <v/>
      </c>
    </row>
    <row r="164" spans="1:56" x14ac:dyDescent="0.25">
      <c r="A164" s="65" t="s">
        <v>1000</v>
      </c>
      <c r="B164" s="57" t="s">
        <v>987</v>
      </c>
      <c r="C164" s="57" t="s">
        <v>97</v>
      </c>
      <c r="D164" s="57" t="s">
        <v>1001</v>
      </c>
      <c r="E164" s="57" t="s">
        <v>989</v>
      </c>
      <c r="F164" s="58">
        <v>5</v>
      </c>
      <c r="G164" s="58"/>
      <c r="H164" s="58"/>
      <c r="I16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E-PCB-001-001</v>
      </c>
      <c r="J16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4" s="57"/>
      <c r="N164" s="59"/>
      <c r="O164" s="61" t="str">
        <f>IF(Table1[[#This Row],[Digikey]]="","", HYPERLINK(Table1[[#This Row],[Destination - Digikey]],_xlfn.CONCAT("Link (",Table1[[#This Row],[Digikey]],")")))</f>
        <v/>
      </c>
      <c r="P164" s="62" t="str">
        <f>_xlfn.CONCAT("https://www.digikey.ch/products/en?keywords=",Table1[[#This Row],[Digikey]])</f>
        <v>https://www.digikey.ch/products/en?keywords=</v>
      </c>
      <c r="Q164" s="57"/>
      <c r="R164" s="59"/>
      <c r="S164" s="61" t="str">
        <f>IF(Table1[[#This Row],[Farnell]]="","", HYPERLINK(Table1[[#This Row],[Destination - Farnell]],_xlfn.CONCAT("Link (",Table1[[#This Row],[Farnell]],")")))</f>
        <v/>
      </c>
      <c r="T164" s="62" t="str">
        <f>_xlfn.CONCAT("https://ch.farnell.com/fr-CH/",Table1[[#This Row],[Farnell]])</f>
        <v>https://ch.farnell.com/fr-CH/</v>
      </c>
      <c r="U164" s="57"/>
      <c r="V164" s="59"/>
      <c r="W164" s="61" t="str">
        <f>IF(Table1[[#This Row],[Distrelec]]="","", HYPERLINK(Table1[[#This Row],[Destination - Distrelec]],_xlfn.CONCAT("Link (",Table1[[#This Row],[Distrelec]],")")))</f>
        <v/>
      </c>
      <c r="X164" s="62" t="str">
        <f>_xlfn.CONCAT("https://www.distrelec.ch/search?q=",Table1[[#This Row],[Distrelec]])</f>
        <v>https://www.distrelec.ch/search?q=</v>
      </c>
      <c r="Y164" s="57"/>
      <c r="Z164" s="59"/>
      <c r="AA164" s="61" t="str">
        <f>IF(Table1[[#This Row],[Conrad]]="","", HYPERLINK(Table1[[#This Row],[Destination - Conrad]],_xlfn.CONCAT("Link (",Table1[[#This Row],[Conrad]],")")))</f>
        <v/>
      </c>
      <c r="AB164" s="62"/>
      <c r="AC164" s="57"/>
      <c r="AD164" s="59"/>
      <c r="AE164" s="61" t="str">
        <f>IF(Table1[[#This Row],[Mouser]]="","", HYPERLINK(Table1[[#This Row],[Destination - Mouser]],_xlfn.CONCAT("Link (",Table1[[#This Row],[Mouser]],")")))</f>
        <v/>
      </c>
      <c r="AF164" s="62" t="str">
        <f>_xlfn.CONCAT("https://www.mouser.ch/ProductDetail/",Table1[[#This Row],[Mouser]])</f>
        <v>https://www.mouser.ch/ProductDetail/</v>
      </c>
      <c r="AG164" s="57"/>
      <c r="AH164" s="59"/>
      <c r="AI164" s="61" t="str">
        <f>IF(Table1[[#This Row],[Bauhaus]]="","", HYPERLINK(Table1[[#This Row],[Destination - Bauhaus]],_xlfn.CONCAT("Link (",Table1[[#This Row],[Bauhaus]],")")))</f>
        <v/>
      </c>
      <c r="AJ164" s="62" t="str">
        <f>_xlfn.CONCAT("https://www.bauhaus.ch/fr/search?query=",Table1[[#This Row],[Bauhaus]])</f>
        <v>https://www.bauhaus.ch/fr/search?query=</v>
      </c>
      <c r="AK164" s="59"/>
      <c r="AL164" s="59"/>
      <c r="AM164" s="61" t="str">
        <f>IF(Table1[[#This Row],[BricoEtLoisirs]]="","", HYPERLINK(Table1[[#This Row],[Destination - BricoEtLoisirs]],_xlfn.CONCAT("Link (",Table1[[#This Row],[BricoEtLoisirs]],")")))</f>
        <v/>
      </c>
      <c r="AN164" s="62" t="str">
        <f>_xlfn.CONCAT("https://bricoetloisirs.ch/p/",Table1[[#This Row],[BricoEtLoisirs]])</f>
        <v>https://bricoetloisirs.ch/p/</v>
      </c>
      <c r="AO164" s="57"/>
      <c r="AP164" s="59"/>
      <c r="AQ164" s="61" t="str">
        <f>IF(Table1[[#This Row],[Aliexpress]]="","", HYPERLINK(Table1[[#This Row],[Destination - Aliexpress]],_xlfn.CONCAT("Link (",Table1[[#This Row],[Aliexpress]],")")))</f>
        <v/>
      </c>
      <c r="AR164" s="62" t="str">
        <f>_xlfn.CONCAT("https://www.aliexpress.com/item/",Table1[[#This Row],[Aliexpress]],".html")</f>
        <v>https://www.aliexpress.com/item/.html</v>
      </c>
      <c r="AS164" s="57"/>
      <c r="AT164" s="59"/>
      <c r="AU164" s="61" t="str">
        <f>IF(Table1[[#This Row],[Banggood]]="","", HYPERLINK(Table1[[#This Row],[Destination - Banggood]],_xlfn.CONCAT("Link (",Table1[[#This Row],[Banggood]],")")))</f>
        <v/>
      </c>
      <c r="AV164" s="62" t="str">
        <f>_xlfn.CONCAT("https://www.banggood.com/search/",Table1[[#This Row],[Banggood]],".html")</f>
        <v>https://www.banggood.com/search/.html</v>
      </c>
      <c r="AW164" s="59" t="str">
        <f>IF(Table1[[#This Row],[Other]]&lt;&gt;"","Other","")</f>
        <v>Other</v>
      </c>
      <c r="AX164" s="57" t="s">
        <v>1000</v>
      </c>
      <c r="AY164" s="59">
        <v>0</v>
      </c>
      <c r="AZ164" s="61" t="str">
        <f>IF(Table1[[#This Row],[Other]]="","",IF(Table1[[#This Row],[Destination - Other]]="","",HYPERLINK(Table1[[#This Row],[Destination - Other]],_xlfn.CONCAT("Link ("&amp;Table1[[#This Row],[Other]]&amp;")"))))</f>
        <v/>
      </c>
      <c r="BA164" s="59"/>
      <c r="BB164" s="58" t="str">
        <f>IF(AND( Table1[[#This Row],[Auto Order]]=1,Table1[[#This Row],[Obsolete]]=""),IF(Table1[[#This Row],[In stock]]&lt;Table1[[#This Row],[Min in stock]],1,""),"")</f>
        <v/>
      </c>
      <c r="BC164" s="64"/>
      <c r="BD164" s="66" t="str">
        <f>IF(Table1[[#This Row],[Obsolete]],Table1[[#This Row],[Art. Number]],"")</f>
        <v/>
      </c>
    </row>
    <row r="165" spans="1:56" x14ac:dyDescent="0.25">
      <c r="A165" s="65" t="s">
        <v>1002</v>
      </c>
      <c r="B165" s="57" t="s">
        <v>987</v>
      </c>
      <c r="C165" s="57" t="s">
        <v>97</v>
      </c>
      <c r="D165" s="57" t="s">
        <v>1003</v>
      </c>
      <c r="E165" s="57" t="s">
        <v>989</v>
      </c>
      <c r="F165" s="58">
        <v>9</v>
      </c>
      <c r="G165" s="58"/>
      <c r="H165" s="58"/>
      <c r="I16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E-PCB-002-000</v>
      </c>
      <c r="J16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5" s="57"/>
      <c r="N165" s="59"/>
      <c r="O165" s="61" t="str">
        <f>IF(Table1[[#This Row],[Digikey]]="","", HYPERLINK(Table1[[#This Row],[Destination - Digikey]],_xlfn.CONCAT("Link (",Table1[[#This Row],[Digikey]],")")))</f>
        <v/>
      </c>
      <c r="P165" s="62" t="str">
        <f>_xlfn.CONCAT("https://www.digikey.ch/products/en?keywords=",Table1[[#This Row],[Digikey]])</f>
        <v>https://www.digikey.ch/products/en?keywords=</v>
      </c>
      <c r="Q165" s="57"/>
      <c r="R165" s="59"/>
      <c r="S165" s="61" t="str">
        <f>IF(Table1[[#This Row],[Farnell]]="","", HYPERLINK(Table1[[#This Row],[Destination - Farnell]],_xlfn.CONCAT("Link (",Table1[[#This Row],[Farnell]],")")))</f>
        <v/>
      </c>
      <c r="T165" s="62" t="str">
        <f>_xlfn.CONCAT("https://ch.farnell.com/fr-CH/",Table1[[#This Row],[Farnell]])</f>
        <v>https://ch.farnell.com/fr-CH/</v>
      </c>
      <c r="U165" s="57"/>
      <c r="V165" s="59"/>
      <c r="W165" s="61" t="str">
        <f>IF(Table1[[#This Row],[Distrelec]]="","", HYPERLINK(Table1[[#This Row],[Destination - Distrelec]],_xlfn.CONCAT("Link (",Table1[[#This Row],[Distrelec]],")")))</f>
        <v/>
      </c>
      <c r="X165" s="62" t="str">
        <f>_xlfn.CONCAT("https://www.distrelec.ch/search?q=",Table1[[#This Row],[Distrelec]])</f>
        <v>https://www.distrelec.ch/search?q=</v>
      </c>
      <c r="Y165" s="57"/>
      <c r="Z165" s="59"/>
      <c r="AA165" s="61" t="str">
        <f>IF(Table1[[#This Row],[Conrad]]="","", HYPERLINK(Table1[[#This Row],[Destination - Conrad]],_xlfn.CONCAT("Link (",Table1[[#This Row],[Conrad]],")")))</f>
        <v/>
      </c>
      <c r="AB165" s="62"/>
      <c r="AC165" s="57"/>
      <c r="AD165" s="59"/>
      <c r="AE165" s="61" t="str">
        <f>IF(Table1[[#This Row],[Mouser]]="","", HYPERLINK(Table1[[#This Row],[Destination - Mouser]],_xlfn.CONCAT("Link (",Table1[[#This Row],[Mouser]],")")))</f>
        <v/>
      </c>
      <c r="AF165" s="62" t="str">
        <f>_xlfn.CONCAT("https://www.mouser.ch/ProductDetail/",Table1[[#This Row],[Mouser]])</f>
        <v>https://www.mouser.ch/ProductDetail/</v>
      </c>
      <c r="AG165" s="57"/>
      <c r="AH165" s="59"/>
      <c r="AI165" s="61" t="str">
        <f>IF(Table1[[#This Row],[Bauhaus]]="","", HYPERLINK(Table1[[#This Row],[Destination - Bauhaus]],_xlfn.CONCAT("Link (",Table1[[#This Row],[Bauhaus]],")")))</f>
        <v/>
      </c>
      <c r="AJ165" s="62" t="str">
        <f>_xlfn.CONCAT("https://www.bauhaus.ch/fr/search?query=",Table1[[#This Row],[Bauhaus]])</f>
        <v>https://www.bauhaus.ch/fr/search?query=</v>
      </c>
      <c r="AK165" s="59"/>
      <c r="AL165" s="59"/>
      <c r="AM165" s="61" t="str">
        <f>IF(Table1[[#This Row],[BricoEtLoisirs]]="","", HYPERLINK(Table1[[#This Row],[Destination - BricoEtLoisirs]],_xlfn.CONCAT("Link (",Table1[[#This Row],[BricoEtLoisirs]],")")))</f>
        <v/>
      </c>
      <c r="AN165" s="62" t="str">
        <f>_xlfn.CONCAT("https://bricoetloisirs.ch/p/",Table1[[#This Row],[BricoEtLoisirs]])</f>
        <v>https://bricoetloisirs.ch/p/</v>
      </c>
      <c r="AO165" s="57"/>
      <c r="AP165" s="59"/>
      <c r="AQ165" s="61" t="str">
        <f>IF(Table1[[#This Row],[Aliexpress]]="","", HYPERLINK(Table1[[#This Row],[Destination - Aliexpress]],_xlfn.CONCAT("Link (",Table1[[#This Row],[Aliexpress]],")")))</f>
        <v/>
      </c>
      <c r="AR165" s="62" t="str">
        <f>_xlfn.CONCAT("https://www.aliexpress.com/item/",Table1[[#This Row],[Aliexpress]],".html")</f>
        <v>https://www.aliexpress.com/item/.html</v>
      </c>
      <c r="AS165" s="57"/>
      <c r="AT165" s="59"/>
      <c r="AU165" s="61" t="str">
        <f>IF(Table1[[#This Row],[Banggood]]="","", HYPERLINK(Table1[[#This Row],[Destination - Banggood]],_xlfn.CONCAT("Link (",Table1[[#This Row],[Banggood]],")")))</f>
        <v/>
      </c>
      <c r="AV165" s="62" t="str">
        <f>_xlfn.CONCAT("https://www.banggood.com/search/",Table1[[#This Row],[Banggood]],".html")</f>
        <v>https://www.banggood.com/search/.html</v>
      </c>
      <c r="AW165" s="59" t="str">
        <f>IF(Table1[[#This Row],[Other]]&lt;&gt;"","Other","")</f>
        <v>Other</v>
      </c>
      <c r="AX165" s="57" t="s">
        <v>1002</v>
      </c>
      <c r="AY165" s="59">
        <v>0</v>
      </c>
      <c r="AZ165" s="61" t="str">
        <f>IF(Table1[[#This Row],[Other]]="","",IF(Table1[[#This Row],[Destination - Other]]="","",HYPERLINK(Table1[[#This Row],[Destination - Other]],_xlfn.CONCAT("Link ("&amp;Table1[[#This Row],[Other]]&amp;")"))))</f>
        <v/>
      </c>
      <c r="BA165" s="59"/>
      <c r="BB165" s="58" t="str">
        <f>IF(AND( Table1[[#This Row],[Auto Order]]=1,Table1[[#This Row],[Obsolete]]=""),IF(Table1[[#This Row],[In stock]]&lt;Table1[[#This Row],[Min in stock]],1,""),"")</f>
        <v/>
      </c>
      <c r="BC165" s="64"/>
      <c r="BD165" s="66" t="str">
        <f>IF(Table1[[#This Row],[Obsolete]],Table1[[#This Row],[Art. Number]],"")</f>
        <v/>
      </c>
    </row>
    <row r="166" spans="1:56" x14ac:dyDescent="0.25">
      <c r="A166" s="65" t="s">
        <v>202</v>
      </c>
      <c r="B166" s="57" t="s">
        <v>987</v>
      </c>
      <c r="C166" s="57" t="s">
        <v>97</v>
      </c>
      <c r="D166" s="57" t="s">
        <v>1004</v>
      </c>
      <c r="E166" s="57" t="s">
        <v>989</v>
      </c>
      <c r="F166" s="58">
        <v>5</v>
      </c>
      <c r="G166" s="58"/>
      <c r="H166" s="58"/>
      <c r="I16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E-PCB-003-000</v>
      </c>
      <c r="J16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6" s="57"/>
      <c r="N166" s="59"/>
      <c r="O166" s="61" t="str">
        <f>IF(Table1[[#This Row],[Digikey]]="","", HYPERLINK(Table1[[#This Row],[Destination - Digikey]],_xlfn.CONCAT("Link (",Table1[[#This Row],[Digikey]],")")))</f>
        <v/>
      </c>
      <c r="P166" s="62" t="str">
        <f>_xlfn.CONCAT("https://www.digikey.ch/products/en?keywords=",Table1[[#This Row],[Digikey]])</f>
        <v>https://www.digikey.ch/products/en?keywords=</v>
      </c>
      <c r="Q166" s="57"/>
      <c r="R166" s="59"/>
      <c r="S166" s="61" t="str">
        <f>IF(Table1[[#This Row],[Farnell]]="","", HYPERLINK(Table1[[#This Row],[Destination - Farnell]],_xlfn.CONCAT("Link (",Table1[[#This Row],[Farnell]],")")))</f>
        <v/>
      </c>
      <c r="T166" s="62" t="str">
        <f>_xlfn.CONCAT("https://ch.farnell.com/fr-CH/",Table1[[#This Row],[Farnell]])</f>
        <v>https://ch.farnell.com/fr-CH/</v>
      </c>
      <c r="U166" s="57"/>
      <c r="V166" s="59"/>
      <c r="W166" s="61" t="str">
        <f>IF(Table1[[#This Row],[Distrelec]]="","", HYPERLINK(Table1[[#This Row],[Destination - Distrelec]],_xlfn.CONCAT("Link (",Table1[[#This Row],[Distrelec]],")")))</f>
        <v/>
      </c>
      <c r="X166" s="62" t="str">
        <f>_xlfn.CONCAT("https://www.distrelec.ch/search?q=",Table1[[#This Row],[Distrelec]])</f>
        <v>https://www.distrelec.ch/search?q=</v>
      </c>
      <c r="Y166" s="57"/>
      <c r="Z166" s="59"/>
      <c r="AA166" s="61" t="str">
        <f>IF(Table1[[#This Row],[Conrad]]="","", HYPERLINK(Table1[[#This Row],[Destination - Conrad]],_xlfn.CONCAT("Link (",Table1[[#This Row],[Conrad]],")")))</f>
        <v/>
      </c>
      <c r="AB166" s="62"/>
      <c r="AC166" s="57"/>
      <c r="AD166" s="59"/>
      <c r="AE166" s="61" t="str">
        <f>IF(Table1[[#This Row],[Mouser]]="","", HYPERLINK(Table1[[#This Row],[Destination - Mouser]],_xlfn.CONCAT("Link (",Table1[[#This Row],[Mouser]],")")))</f>
        <v/>
      </c>
      <c r="AF166" s="62" t="str">
        <f>_xlfn.CONCAT("https://www.mouser.ch/ProductDetail/",Table1[[#This Row],[Mouser]])</f>
        <v>https://www.mouser.ch/ProductDetail/</v>
      </c>
      <c r="AG166" s="57"/>
      <c r="AH166" s="59"/>
      <c r="AI166" s="61" t="str">
        <f>IF(Table1[[#This Row],[Bauhaus]]="","", HYPERLINK(Table1[[#This Row],[Destination - Bauhaus]],_xlfn.CONCAT("Link (",Table1[[#This Row],[Bauhaus]],")")))</f>
        <v/>
      </c>
      <c r="AJ166" s="62" t="str">
        <f>_xlfn.CONCAT("https://www.bauhaus.ch/fr/search?query=",Table1[[#This Row],[Bauhaus]])</f>
        <v>https://www.bauhaus.ch/fr/search?query=</v>
      </c>
      <c r="AK166" s="59"/>
      <c r="AL166" s="59"/>
      <c r="AM166" s="61" t="str">
        <f>IF(Table1[[#This Row],[BricoEtLoisirs]]="","", HYPERLINK(Table1[[#This Row],[Destination - BricoEtLoisirs]],_xlfn.CONCAT("Link (",Table1[[#This Row],[BricoEtLoisirs]],")")))</f>
        <v/>
      </c>
      <c r="AN166" s="62" t="str">
        <f>_xlfn.CONCAT("https://bricoetloisirs.ch/p/",Table1[[#This Row],[BricoEtLoisirs]])</f>
        <v>https://bricoetloisirs.ch/p/</v>
      </c>
      <c r="AO166" s="57"/>
      <c r="AP166" s="59"/>
      <c r="AQ166" s="61" t="str">
        <f>IF(Table1[[#This Row],[Aliexpress]]="","", HYPERLINK(Table1[[#This Row],[Destination - Aliexpress]],_xlfn.CONCAT("Link (",Table1[[#This Row],[Aliexpress]],")")))</f>
        <v/>
      </c>
      <c r="AR166" s="62" t="str">
        <f>_xlfn.CONCAT("https://www.aliexpress.com/item/",Table1[[#This Row],[Aliexpress]],".html")</f>
        <v>https://www.aliexpress.com/item/.html</v>
      </c>
      <c r="AS166" s="57"/>
      <c r="AT166" s="59"/>
      <c r="AU166" s="61" t="str">
        <f>IF(Table1[[#This Row],[Banggood]]="","", HYPERLINK(Table1[[#This Row],[Destination - Banggood]],_xlfn.CONCAT("Link (",Table1[[#This Row],[Banggood]],")")))</f>
        <v/>
      </c>
      <c r="AV166" s="62" t="str">
        <f>_xlfn.CONCAT("https://www.banggood.com/search/",Table1[[#This Row],[Banggood]],".html")</f>
        <v>https://www.banggood.com/search/.html</v>
      </c>
      <c r="AW166" s="59" t="str">
        <f>IF(Table1[[#This Row],[Other]]&lt;&gt;"","Other","")</f>
        <v>Other</v>
      </c>
      <c r="AX166" s="57" t="s">
        <v>202</v>
      </c>
      <c r="AY166" s="59">
        <v>0</v>
      </c>
      <c r="AZ166" s="61" t="str">
        <f>IF(Table1[[#This Row],[Other]]="","",IF(Table1[[#This Row],[Destination - Other]]="","",HYPERLINK(Table1[[#This Row],[Destination - Other]],_xlfn.CONCAT("Link ("&amp;Table1[[#This Row],[Other]]&amp;")"))))</f>
        <v/>
      </c>
      <c r="BA166" s="59"/>
      <c r="BB166" s="58" t="str">
        <f>IF(AND( Table1[[#This Row],[Auto Order]]=1,Table1[[#This Row],[Obsolete]]=""),IF(Table1[[#This Row],[In stock]]&lt;Table1[[#This Row],[Min in stock]],1,""),"")</f>
        <v/>
      </c>
      <c r="BC166" s="64"/>
      <c r="BD166" s="66" t="str">
        <f>IF(Table1[[#This Row],[Obsolete]],Table1[[#This Row],[Art. Number]],"")</f>
        <v/>
      </c>
    </row>
    <row r="167" spans="1:56" x14ac:dyDescent="0.25">
      <c r="A167" s="65" t="s">
        <v>262</v>
      </c>
      <c r="B167" s="57" t="s">
        <v>987</v>
      </c>
      <c r="C167" s="57" t="s">
        <v>97</v>
      </c>
      <c r="D167" s="57" t="s">
        <v>1005</v>
      </c>
      <c r="E167" s="57" t="s">
        <v>989</v>
      </c>
      <c r="F167" s="58">
        <v>4</v>
      </c>
      <c r="G167" s="58"/>
      <c r="H167" s="58"/>
      <c r="I16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E-PCB-003-001</v>
      </c>
      <c r="J16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</v>
      </c>
      <c r="K16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Other</v>
      </c>
      <c r="L16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/>
      </c>
      <c r="M167" s="57"/>
      <c r="N167" s="59"/>
      <c r="O167" s="61" t="str">
        <f>IF(Table1[[#This Row],[Digikey]]="","", HYPERLINK(Table1[[#This Row],[Destination - Digikey]],_xlfn.CONCAT("Link (",Table1[[#This Row],[Digikey]],")")))</f>
        <v/>
      </c>
      <c r="P167" s="62" t="str">
        <f>_xlfn.CONCAT("https://www.digikey.ch/products/en?keywords=",Table1[[#This Row],[Digikey]])</f>
        <v>https://www.digikey.ch/products/en?keywords=</v>
      </c>
      <c r="Q167" s="57"/>
      <c r="R167" s="59"/>
      <c r="S167" s="61" t="str">
        <f>IF(Table1[[#This Row],[Farnell]]="","", HYPERLINK(Table1[[#This Row],[Destination - Farnell]],_xlfn.CONCAT("Link (",Table1[[#This Row],[Farnell]],")")))</f>
        <v/>
      </c>
      <c r="T167" s="62" t="str">
        <f>_xlfn.CONCAT("https://ch.farnell.com/fr-CH/",Table1[[#This Row],[Farnell]])</f>
        <v>https://ch.farnell.com/fr-CH/</v>
      </c>
      <c r="U167" s="57"/>
      <c r="V167" s="59"/>
      <c r="W167" s="61" t="str">
        <f>IF(Table1[[#This Row],[Distrelec]]="","", HYPERLINK(Table1[[#This Row],[Destination - Distrelec]],_xlfn.CONCAT("Link (",Table1[[#This Row],[Distrelec]],")")))</f>
        <v/>
      </c>
      <c r="X167" s="62" t="str">
        <f>_xlfn.CONCAT("https://www.distrelec.ch/search?q=",Table1[[#This Row],[Distrelec]])</f>
        <v>https://www.distrelec.ch/search?q=</v>
      </c>
      <c r="Y167" s="57"/>
      <c r="Z167" s="59"/>
      <c r="AA167" s="61" t="str">
        <f>IF(Table1[[#This Row],[Conrad]]="","", HYPERLINK(Table1[[#This Row],[Destination - Conrad]],_xlfn.CONCAT("Link (",Table1[[#This Row],[Conrad]],")")))</f>
        <v/>
      </c>
      <c r="AB167" s="62"/>
      <c r="AC167" s="57"/>
      <c r="AD167" s="59"/>
      <c r="AE167" s="61" t="str">
        <f>IF(Table1[[#This Row],[Mouser]]="","", HYPERLINK(Table1[[#This Row],[Destination - Mouser]],_xlfn.CONCAT("Link (",Table1[[#This Row],[Mouser]],")")))</f>
        <v/>
      </c>
      <c r="AF167" s="62" t="str">
        <f>_xlfn.CONCAT("https://www.mouser.ch/ProductDetail/",Table1[[#This Row],[Mouser]])</f>
        <v>https://www.mouser.ch/ProductDetail/</v>
      </c>
      <c r="AG167" s="57"/>
      <c r="AH167" s="59"/>
      <c r="AI167" s="61" t="str">
        <f>IF(Table1[[#This Row],[Bauhaus]]="","", HYPERLINK(Table1[[#This Row],[Destination - Bauhaus]],_xlfn.CONCAT("Link (",Table1[[#This Row],[Bauhaus]],")")))</f>
        <v/>
      </c>
      <c r="AJ167" s="62" t="str">
        <f>_xlfn.CONCAT("https://www.bauhaus.ch/fr/search?query=",Table1[[#This Row],[Bauhaus]])</f>
        <v>https://www.bauhaus.ch/fr/search?query=</v>
      </c>
      <c r="AK167" s="59"/>
      <c r="AL167" s="59"/>
      <c r="AM167" s="61" t="str">
        <f>IF(Table1[[#This Row],[BricoEtLoisirs]]="","", HYPERLINK(Table1[[#This Row],[Destination - BricoEtLoisirs]],_xlfn.CONCAT("Link (",Table1[[#This Row],[BricoEtLoisirs]],")")))</f>
        <v/>
      </c>
      <c r="AN167" s="62" t="str">
        <f>_xlfn.CONCAT("https://bricoetloisirs.ch/p/",Table1[[#This Row],[BricoEtLoisirs]])</f>
        <v>https://bricoetloisirs.ch/p/</v>
      </c>
      <c r="AO167" s="57"/>
      <c r="AP167" s="59"/>
      <c r="AQ167" s="61" t="str">
        <f>IF(Table1[[#This Row],[Aliexpress]]="","", HYPERLINK(Table1[[#This Row],[Destination - Aliexpress]],_xlfn.CONCAT("Link (",Table1[[#This Row],[Aliexpress]],")")))</f>
        <v/>
      </c>
      <c r="AR167" s="62" t="str">
        <f>_xlfn.CONCAT("https://www.aliexpress.com/item/",Table1[[#This Row],[Aliexpress]],".html")</f>
        <v>https://www.aliexpress.com/item/.html</v>
      </c>
      <c r="AS167" s="57"/>
      <c r="AT167" s="59"/>
      <c r="AU167" s="61" t="str">
        <f>IF(Table1[[#This Row],[Banggood]]="","", HYPERLINK(Table1[[#This Row],[Destination - Banggood]],_xlfn.CONCAT("Link (",Table1[[#This Row],[Banggood]],")")))</f>
        <v/>
      </c>
      <c r="AV167" s="62" t="str">
        <f>_xlfn.CONCAT("https://www.banggood.com/search/",Table1[[#This Row],[Banggood]],".html")</f>
        <v>https://www.banggood.com/search/.html</v>
      </c>
      <c r="AW167" s="59" t="str">
        <f>IF(Table1[[#This Row],[Other]]&lt;&gt;"","Other","")</f>
        <v>Other</v>
      </c>
      <c r="AX167" s="57" t="s">
        <v>262</v>
      </c>
      <c r="AY167" s="59">
        <v>0</v>
      </c>
      <c r="AZ167" s="61" t="str">
        <f>IF(Table1[[#This Row],[Other]]="","",IF(Table1[[#This Row],[Destination - Other]]="","",HYPERLINK(Table1[[#This Row],[Destination - Other]],_xlfn.CONCAT("Link ("&amp;Table1[[#This Row],[Other]]&amp;")"))))</f>
        <v/>
      </c>
      <c r="BA167" s="59"/>
      <c r="BB167" s="58" t="str">
        <f>IF(AND( Table1[[#This Row],[Auto Order]]=1,Table1[[#This Row],[Obsolete]]=""),IF(Table1[[#This Row],[In stock]]&lt;Table1[[#This Row],[Min in stock]],1,""),"")</f>
        <v/>
      </c>
      <c r="BC167" s="64"/>
      <c r="BD167" s="66" t="str">
        <f>IF(Table1[[#This Row],[Obsolete]],Table1[[#This Row],[Art. Number]],"")</f>
        <v/>
      </c>
    </row>
    <row r="168" spans="1:56" x14ac:dyDescent="0.25">
      <c r="A168" s="65" t="s">
        <v>437</v>
      </c>
      <c r="B168" s="57" t="s">
        <v>438</v>
      </c>
      <c r="C168" s="57" t="s">
        <v>433</v>
      </c>
      <c r="D168" s="57" t="s">
        <v>439</v>
      </c>
      <c r="E168" s="57" t="s">
        <v>440</v>
      </c>
      <c r="F168" s="58">
        <v>3</v>
      </c>
      <c r="G168" s="58"/>
      <c r="H168" s="58"/>
      <c r="I16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NSL-19M51-ND</v>
      </c>
      <c r="J16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1.07</v>
      </c>
      <c r="K16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6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(NSL-19M51-ND)</v>
      </c>
      <c r="M168" s="57" t="s">
        <v>441</v>
      </c>
      <c r="N168" s="59">
        <v>1.07</v>
      </c>
      <c r="O168" s="61" t="str">
        <f>IF(Table1[[#This Row],[Digikey]]="","", HYPERLINK(Table1[[#This Row],[Destination - Digikey]],_xlfn.CONCAT("Link (",Table1[[#This Row],[Digikey]],")")))</f>
        <v>Link (NSL-19M51-ND)</v>
      </c>
      <c r="P168" s="62" t="str">
        <f>_xlfn.CONCAT("https://www.digikey.ch/products/en?keywords=",Table1[[#This Row],[Digikey]])</f>
        <v>https://www.digikey.ch/products/en?keywords=NSL-19M51-ND</v>
      </c>
      <c r="Q168" s="57"/>
      <c r="R168" s="59"/>
      <c r="S168" s="61" t="str">
        <f>IF(Table1[[#This Row],[Farnell]]="","", HYPERLINK(Table1[[#This Row],[Destination - Farnell]],_xlfn.CONCAT("Link (",Table1[[#This Row],[Farnell]],")")))</f>
        <v/>
      </c>
      <c r="T168" s="62" t="str">
        <f>_xlfn.CONCAT("https://ch.farnell.com/fr-CH/",Table1[[#This Row],[Farnell]])</f>
        <v>https://ch.farnell.com/fr-CH/</v>
      </c>
      <c r="U168" s="57"/>
      <c r="V168" s="59"/>
      <c r="W168" s="61" t="str">
        <f>IF(Table1[[#This Row],[Distrelec]]="","", HYPERLINK(Table1[[#This Row],[Destination - Distrelec]],_xlfn.CONCAT("Link (",Table1[[#This Row],[Distrelec]],")")))</f>
        <v/>
      </c>
      <c r="X168" s="62" t="str">
        <f>_xlfn.CONCAT("https://www.distrelec.ch/search?q=",Table1[[#This Row],[Distrelec]])</f>
        <v>https://www.distrelec.ch/search?q=</v>
      </c>
      <c r="Y168" s="57"/>
      <c r="Z168" s="59"/>
      <c r="AA168" s="61" t="str">
        <f>IF(Table1[[#This Row],[Conrad]]="","", HYPERLINK(Table1[[#This Row],[Destination - Conrad]],_xlfn.CONCAT("Link (",Table1[[#This Row],[Conrad]],")")))</f>
        <v/>
      </c>
      <c r="AB168" s="62"/>
      <c r="AC168" s="57"/>
      <c r="AD168" s="59"/>
      <c r="AE168" s="61" t="str">
        <f>IF(Table1[[#This Row],[Mouser]]="","", HYPERLINK(Table1[[#This Row],[Destination - Mouser]],_xlfn.CONCAT("Link (",Table1[[#This Row],[Mouser]],")")))</f>
        <v/>
      </c>
      <c r="AF168" s="62" t="str">
        <f>_xlfn.CONCAT("https://www.mouser.ch/ProductDetail/",Table1[[#This Row],[Mouser]])</f>
        <v>https://www.mouser.ch/ProductDetail/</v>
      </c>
      <c r="AG168" s="57"/>
      <c r="AH168" s="59"/>
      <c r="AI168" s="61" t="str">
        <f>IF(Table1[[#This Row],[Bauhaus]]="","", HYPERLINK(Table1[[#This Row],[Destination - Bauhaus]],_xlfn.CONCAT("Link (",Table1[[#This Row],[Bauhaus]],")")))</f>
        <v/>
      </c>
      <c r="AJ168" s="62" t="str">
        <f>_xlfn.CONCAT("https://www.bauhaus.ch/fr/search?query=",Table1[[#This Row],[Bauhaus]])</f>
        <v>https://www.bauhaus.ch/fr/search?query=</v>
      </c>
      <c r="AK168" s="59"/>
      <c r="AL168" s="59"/>
      <c r="AM168" s="61" t="str">
        <f>IF(Table1[[#This Row],[BricoEtLoisirs]]="","", HYPERLINK(Table1[[#This Row],[Destination - BricoEtLoisirs]],_xlfn.CONCAT("Link (",Table1[[#This Row],[BricoEtLoisirs]],")")))</f>
        <v/>
      </c>
      <c r="AN168" s="62" t="str">
        <f>_xlfn.CONCAT("https://bricoetloisirs.ch/p/",Table1[[#This Row],[BricoEtLoisirs]])</f>
        <v>https://bricoetloisirs.ch/p/</v>
      </c>
      <c r="AO168" s="57"/>
      <c r="AP168" s="59"/>
      <c r="AQ168" s="61" t="str">
        <f>IF(Table1[[#This Row],[Aliexpress]]="","", HYPERLINK(Table1[[#This Row],[Destination - Aliexpress]],_xlfn.CONCAT("Link (",Table1[[#This Row],[Aliexpress]],")")))</f>
        <v/>
      </c>
      <c r="AR168" s="62" t="str">
        <f>_xlfn.CONCAT("https://www.aliexpress.com/item/",Table1[[#This Row],[Aliexpress]],".html")</f>
        <v>https://www.aliexpress.com/item/.html</v>
      </c>
      <c r="AS168" s="57"/>
      <c r="AT168" s="59"/>
      <c r="AU168" s="61" t="str">
        <f>IF(Table1[[#This Row],[Banggood]]="","", HYPERLINK(Table1[[#This Row],[Destination - Banggood]],_xlfn.CONCAT("Link (",Table1[[#This Row],[Banggood]],")")))</f>
        <v/>
      </c>
      <c r="AV168" s="62" t="str">
        <f>_xlfn.CONCAT("https://www.banggood.com/search/",Table1[[#This Row],[Banggood]],".html")</f>
        <v>https://www.banggood.com/search/.html</v>
      </c>
      <c r="AW168" s="59" t="str">
        <f>IF(Table1[[#This Row],[Other]]&lt;&gt;"","Other","")</f>
        <v/>
      </c>
      <c r="AX168" s="57"/>
      <c r="AY168" s="59"/>
      <c r="AZ168" s="61" t="str">
        <f>IF(Table1[[#This Row],[Other]]="","",IF(Table1[[#This Row],[Destination - Other]]="","",HYPERLINK(Table1[[#This Row],[Destination - Other]],_xlfn.CONCAT("Link ("&amp;Table1[[#This Row],[Other]]&amp;")"))))</f>
        <v/>
      </c>
      <c r="BA168" s="59"/>
      <c r="BB168" s="58" t="str">
        <f>IF(AND( Table1[[#This Row],[Auto Order]]=1,Table1[[#This Row],[Obsolete]]=""),IF(Table1[[#This Row],[In stock]]&lt;Table1[[#This Row],[Min in stock]],1,""),"")</f>
        <v/>
      </c>
      <c r="BC168" s="64"/>
      <c r="BD168" s="66" t="str">
        <f>IF(Table1[[#This Row],[Obsolete]],Table1[[#This Row],[Art. Number]],"")</f>
        <v/>
      </c>
    </row>
    <row r="169" spans="1:56" x14ac:dyDescent="0.25">
      <c r="A169" s="65" t="s">
        <v>1011</v>
      </c>
      <c r="B169" s="57" t="s">
        <v>1012</v>
      </c>
      <c r="C169" s="57" t="s">
        <v>97</v>
      </c>
      <c r="D169" s="57" t="s">
        <v>1013</v>
      </c>
      <c r="E169" s="57" t="s">
        <v>1014</v>
      </c>
      <c r="F169" s="58">
        <v>0</v>
      </c>
      <c r="G169" s="58"/>
      <c r="H169" s="58"/>
      <c r="I16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PC16DH07CP04-103B2020--TA</v>
      </c>
      <c r="J16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6.73</v>
      </c>
      <c r="K16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16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(PC16DH07CP04-103B2020--TA)</v>
      </c>
      <c r="M169" s="57"/>
      <c r="N169" s="59"/>
      <c r="O169" s="61" t="str">
        <f>IF(Table1[[#This Row],[Digikey]]="","", HYPERLINK(Table1[[#This Row],[Destination - Digikey]],_xlfn.CONCAT("Link (",Table1[[#This Row],[Digikey]],")")))</f>
        <v/>
      </c>
      <c r="P169" s="62" t="str">
        <f>_xlfn.CONCAT("https://www.digikey.ch/products/en?keywords=",Table1[[#This Row],[Digikey]])</f>
        <v>https://www.digikey.ch/products/en?keywords=</v>
      </c>
      <c r="Q169" s="57"/>
      <c r="R169" s="59"/>
      <c r="S169" s="61" t="str">
        <f>IF(Table1[[#This Row],[Farnell]]="","", HYPERLINK(Table1[[#This Row],[Destination - Farnell]],_xlfn.CONCAT("Link (",Table1[[#This Row],[Farnell]],")")))</f>
        <v/>
      </c>
      <c r="T169" s="62" t="str">
        <f>_xlfn.CONCAT("https://ch.farnell.com/fr-CH/",Table1[[#This Row],[Farnell]])</f>
        <v>https://ch.farnell.com/fr-CH/</v>
      </c>
      <c r="U169" s="57" t="s">
        <v>1015</v>
      </c>
      <c r="V169" s="59">
        <v>6.73</v>
      </c>
      <c r="W169" s="61" t="str">
        <f>IF(Table1[[#This Row],[Distrelec]]="","", HYPERLINK(Table1[[#This Row],[Destination - Distrelec]],_xlfn.CONCAT("Link (",Table1[[#This Row],[Distrelec]],")")))</f>
        <v>Link (PC16DH07CP04-103B2020--TA)</v>
      </c>
      <c r="X169" s="62" t="str">
        <f>_xlfn.CONCAT("https://www.distrelec.ch/search?q=",Table1[[#This Row],[Distrelec]])</f>
        <v>https://www.distrelec.ch/search?q=PC16DH07CP04-103B2020--TA</v>
      </c>
      <c r="Y169" s="57"/>
      <c r="Z169" s="59"/>
      <c r="AA169" s="61" t="str">
        <f>IF(Table1[[#This Row],[Conrad]]="","", HYPERLINK(Table1[[#This Row],[Destination - Conrad]],_xlfn.CONCAT("Link (",Table1[[#This Row],[Conrad]],")")))</f>
        <v/>
      </c>
      <c r="AB169" s="62"/>
      <c r="AC169" s="57"/>
      <c r="AD169" s="59"/>
      <c r="AE169" s="61" t="str">
        <f>IF(Table1[[#This Row],[Mouser]]="","", HYPERLINK(Table1[[#This Row],[Destination - Mouser]],_xlfn.CONCAT("Link (",Table1[[#This Row],[Mouser]],")")))</f>
        <v/>
      </c>
      <c r="AF169" s="62" t="str">
        <f>_xlfn.CONCAT("https://www.mouser.ch/ProductDetail/",Table1[[#This Row],[Mouser]])</f>
        <v>https://www.mouser.ch/ProductDetail/</v>
      </c>
      <c r="AG169" s="57"/>
      <c r="AH169" s="59"/>
      <c r="AI169" s="61" t="str">
        <f>IF(Table1[[#This Row],[Bauhaus]]="","", HYPERLINK(Table1[[#This Row],[Destination - Bauhaus]],_xlfn.CONCAT("Link (",Table1[[#This Row],[Bauhaus]],")")))</f>
        <v/>
      </c>
      <c r="AJ169" s="62" t="str">
        <f>_xlfn.CONCAT("https://www.bauhaus.ch/fr/search?query=",Table1[[#This Row],[Bauhaus]])</f>
        <v>https://www.bauhaus.ch/fr/search?query=</v>
      </c>
      <c r="AK169" s="59"/>
      <c r="AL169" s="59"/>
      <c r="AM169" s="61" t="str">
        <f>IF(Table1[[#This Row],[BricoEtLoisirs]]="","", HYPERLINK(Table1[[#This Row],[Destination - BricoEtLoisirs]],_xlfn.CONCAT("Link (",Table1[[#This Row],[BricoEtLoisirs]],")")))</f>
        <v/>
      </c>
      <c r="AN169" s="62" t="str">
        <f>_xlfn.CONCAT("https://bricoetloisirs.ch/p/",Table1[[#This Row],[BricoEtLoisirs]])</f>
        <v>https://bricoetloisirs.ch/p/</v>
      </c>
      <c r="AO169" s="57"/>
      <c r="AP169" s="59"/>
      <c r="AQ169" s="61" t="str">
        <f>IF(Table1[[#This Row],[Aliexpress]]="","", HYPERLINK(Table1[[#This Row],[Destination - Aliexpress]],_xlfn.CONCAT("Link (",Table1[[#This Row],[Aliexpress]],")")))</f>
        <v/>
      </c>
      <c r="AR169" s="62" t="str">
        <f>_xlfn.CONCAT("https://www.aliexpress.com/item/",Table1[[#This Row],[Aliexpress]],".html")</f>
        <v>https://www.aliexpress.com/item/.html</v>
      </c>
      <c r="AS169" s="57"/>
      <c r="AT169" s="59"/>
      <c r="AU169" s="61" t="str">
        <f>IF(Table1[[#This Row],[Banggood]]="","", HYPERLINK(Table1[[#This Row],[Destination - Banggood]],_xlfn.CONCAT("Link (",Table1[[#This Row],[Banggood]],")")))</f>
        <v/>
      </c>
      <c r="AV169" s="62" t="str">
        <f>_xlfn.CONCAT("https://www.banggood.com/search/",Table1[[#This Row],[Banggood]],".html")</f>
        <v>https://www.banggood.com/search/.html</v>
      </c>
      <c r="AW169" s="59" t="str">
        <f>IF(Table1[[#This Row],[Other]]&lt;&gt;"","Other","")</f>
        <v/>
      </c>
      <c r="AX169" s="57"/>
      <c r="AY169" s="59"/>
      <c r="AZ169" s="61" t="str">
        <f>IF(Table1[[#This Row],[Other]]="","",IF(Table1[[#This Row],[Destination - Other]]="","",HYPERLINK(Table1[[#This Row],[Destination - Other]],_xlfn.CONCAT("Link ("&amp;Table1[[#This Row],[Other]]&amp;")"))))</f>
        <v/>
      </c>
      <c r="BA169" s="59"/>
      <c r="BB169" s="58" t="str">
        <f>IF(AND( Table1[[#This Row],[Auto Order]]=1,Table1[[#This Row],[Obsolete]]=""),IF(Table1[[#This Row],[In stock]]&lt;Table1[[#This Row],[Min in stock]],1,""),"")</f>
        <v/>
      </c>
      <c r="BC169" s="64"/>
      <c r="BD169" s="66" t="str">
        <f>IF(Table1[[#This Row],[Obsolete]],Table1[[#This Row],[Art. Number]],"")</f>
        <v/>
      </c>
    </row>
    <row r="170" spans="1:56" x14ac:dyDescent="0.25">
      <c r="A170" s="65" t="s">
        <v>2416</v>
      </c>
      <c r="B170" s="57" t="s">
        <v>29</v>
      </c>
      <c r="C170" s="57" t="s">
        <v>97</v>
      </c>
      <c r="D170" s="57" t="s">
        <v>1017</v>
      </c>
      <c r="E170" s="57" t="s">
        <v>1018</v>
      </c>
      <c r="F170" s="58">
        <v>0</v>
      </c>
      <c r="G170" s="58"/>
      <c r="H170" s="58"/>
      <c r="I17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1004068</v>
      </c>
      <c r="J17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3.49</v>
      </c>
      <c r="K17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Banggood</v>
      </c>
      <c r="L17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(1004068)</v>
      </c>
      <c r="M170" s="57"/>
      <c r="N170" s="59"/>
      <c r="O170" s="61" t="str">
        <f>IF(Table1[[#This Row],[Digikey]]="","", HYPERLINK(Table1[[#This Row],[Destination - Digikey]],_xlfn.CONCAT("Link (",Table1[[#This Row],[Digikey]],")")))</f>
        <v/>
      </c>
      <c r="P170" s="62" t="str">
        <f>_xlfn.CONCAT("https://www.digikey.ch/products/en?keywords=",Table1[[#This Row],[Digikey]])</f>
        <v>https://www.digikey.ch/products/en?keywords=</v>
      </c>
      <c r="Q170" s="57"/>
      <c r="R170" s="59"/>
      <c r="S170" s="61" t="str">
        <f>IF(Table1[[#This Row],[Farnell]]="","", HYPERLINK(Table1[[#This Row],[Destination - Farnell]],_xlfn.CONCAT("Link (",Table1[[#This Row],[Farnell]],")")))</f>
        <v/>
      </c>
      <c r="T170" s="62" t="str">
        <f>_xlfn.CONCAT("https://ch.farnell.com/fr-CH/",Table1[[#This Row],[Farnell]])</f>
        <v>https://ch.farnell.com/fr-CH/</v>
      </c>
      <c r="U170" s="57"/>
      <c r="V170" s="59"/>
      <c r="W170" s="61" t="str">
        <f>IF(Table1[[#This Row],[Distrelec]]="","", HYPERLINK(Table1[[#This Row],[Destination - Distrelec]],_xlfn.CONCAT("Link (",Table1[[#This Row],[Distrelec]],")")))</f>
        <v/>
      </c>
      <c r="X170" s="62" t="str">
        <f>_xlfn.CONCAT("https://www.distrelec.ch/search?q=",Table1[[#This Row],[Distrelec]])</f>
        <v>https://www.distrelec.ch/search?q=</v>
      </c>
      <c r="Y170" s="57"/>
      <c r="Z170" s="59"/>
      <c r="AA170" s="61" t="str">
        <f>IF(Table1[[#This Row],[Conrad]]="","", HYPERLINK(Table1[[#This Row],[Destination - Conrad]],_xlfn.CONCAT("Link (",Table1[[#This Row],[Conrad]],")")))</f>
        <v/>
      </c>
      <c r="AB170" s="62"/>
      <c r="AC170" s="57"/>
      <c r="AD170" s="59"/>
      <c r="AE170" s="61" t="str">
        <f>IF(Table1[[#This Row],[Mouser]]="","", HYPERLINK(Table1[[#This Row],[Destination - Mouser]],_xlfn.CONCAT("Link (",Table1[[#This Row],[Mouser]],")")))</f>
        <v/>
      </c>
      <c r="AF170" s="62" t="str">
        <f>_xlfn.CONCAT("https://www.mouser.ch/ProductDetail/",Table1[[#This Row],[Mouser]])</f>
        <v>https://www.mouser.ch/ProductDetail/</v>
      </c>
      <c r="AG170" s="57"/>
      <c r="AH170" s="59"/>
      <c r="AI170" s="61" t="str">
        <f>IF(Table1[[#This Row],[Bauhaus]]="","", HYPERLINK(Table1[[#This Row],[Destination - Bauhaus]],_xlfn.CONCAT("Link (",Table1[[#This Row],[Bauhaus]],")")))</f>
        <v/>
      </c>
      <c r="AJ170" s="62" t="str">
        <f>_xlfn.CONCAT("https://www.bauhaus.ch/fr/search?query=",Table1[[#This Row],[Bauhaus]])</f>
        <v>https://www.bauhaus.ch/fr/search?query=</v>
      </c>
      <c r="AK170" s="59"/>
      <c r="AL170" s="59"/>
      <c r="AM170" s="61" t="str">
        <f>IF(Table1[[#This Row],[BricoEtLoisirs]]="","", HYPERLINK(Table1[[#This Row],[Destination - BricoEtLoisirs]],_xlfn.CONCAT("Link (",Table1[[#This Row],[BricoEtLoisirs]],")")))</f>
        <v/>
      </c>
      <c r="AN170" s="62" t="str">
        <f>_xlfn.CONCAT("https://bricoetloisirs.ch/p/",Table1[[#This Row],[BricoEtLoisirs]])</f>
        <v>https://bricoetloisirs.ch/p/</v>
      </c>
      <c r="AO170" s="57"/>
      <c r="AP170" s="59"/>
      <c r="AQ170" s="61" t="str">
        <f>IF(Table1[[#This Row],[Aliexpress]]="","", HYPERLINK(Table1[[#This Row],[Destination - Aliexpress]],_xlfn.CONCAT("Link (",Table1[[#This Row],[Aliexpress]],")")))</f>
        <v/>
      </c>
      <c r="AR170" s="62" t="str">
        <f>_xlfn.CONCAT("https://www.aliexpress.com/item/",Table1[[#This Row],[Aliexpress]],".html")</f>
        <v>https://www.aliexpress.com/item/.html</v>
      </c>
      <c r="AS170" s="57" t="s">
        <v>2416</v>
      </c>
      <c r="AT170" s="59">
        <v>3.49</v>
      </c>
      <c r="AU170" s="61" t="str">
        <f>IF(Table1[[#This Row],[Banggood]]="","", HYPERLINK(Table1[[#This Row],[Destination - Banggood]],_xlfn.CONCAT("Link (",Table1[[#This Row],[Banggood]],")")))</f>
        <v>Link (1004068)</v>
      </c>
      <c r="AV170" s="62" t="str">
        <f>_xlfn.CONCAT("https://www.banggood.com/search/",Table1[[#This Row],[Banggood]],".html")</f>
        <v>https://www.banggood.com/search/1004068.html</v>
      </c>
      <c r="AW170" s="59" t="str">
        <f>IF(Table1[[#This Row],[Other]]&lt;&gt;"","Other","")</f>
        <v/>
      </c>
      <c r="AX170" s="57"/>
      <c r="AY170" s="59"/>
      <c r="AZ170" s="61" t="str">
        <f>IF(Table1[[#This Row],[Other]]="","",IF(Table1[[#This Row],[Destination - Other]]="","",HYPERLINK(Table1[[#This Row],[Destination - Other]],_xlfn.CONCAT("Link ("&amp;Table1[[#This Row],[Other]]&amp;")"))))</f>
        <v/>
      </c>
      <c r="BA170" s="59"/>
      <c r="BB170" s="58" t="str">
        <f>IF(AND( Table1[[#This Row],[Auto Order]]=1,Table1[[#This Row],[Obsolete]]=""),IF(Table1[[#This Row],[In stock]]&lt;Table1[[#This Row],[Min in stock]],1,""),"")</f>
        <v/>
      </c>
      <c r="BC170" s="64"/>
      <c r="BD170" s="66" t="str">
        <f>IF(Table1[[#This Row],[Obsolete]],Table1[[#This Row],[Art. Number]],"")</f>
        <v/>
      </c>
    </row>
    <row r="171" spans="1:56" x14ac:dyDescent="0.25">
      <c r="A171" s="65" t="s">
        <v>1020</v>
      </c>
      <c r="B171" s="57" t="s">
        <v>1021</v>
      </c>
      <c r="C171" s="57" t="s">
        <v>97</v>
      </c>
      <c r="D171" s="57" t="s">
        <v>1022</v>
      </c>
      <c r="E171" s="57" t="s">
        <v>1023</v>
      </c>
      <c r="F171" s="58">
        <v>0</v>
      </c>
      <c r="G171" s="58"/>
      <c r="H171" s="58"/>
      <c r="I17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1510-2262-1-ND</v>
      </c>
      <c r="J17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2.64</v>
      </c>
      <c r="K17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(1510-2262-1-ND)</v>
      </c>
      <c r="M171" s="57" t="s">
        <v>1024</v>
      </c>
      <c r="N171" s="59">
        <v>2.64</v>
      </c>
      <c r="O171" s="61" t="str">
        <f>IF(Table1[[#This Row],[Digikey]]="","", HYPERLINK(Table1[[#This Row],[Destination - Digikey]],_xlfn.CONCAT("Link (",Table1[[#This Row],[Digikey]],")")))</f>
        <v>Link (1510-2262-1-ND)</v>
      </c>
      <c r="P171" s="62" t="str">
        <f>_xlfn.CONCAT("https://www.digikey.ch/products/en?keywords=",Table1[[#This Row],[Digikey]])</f>
        <v>https://www.digikey.ch/products/en?keywords=1510-2262-1-ND</v>
      </c>
      <c r="Q171" s="57"/>
      <c r="R171" s="59"/>
      <c r="S171" s="61" t="str">
        <f>IF(Table1[[#This Row],[Farnell]]="","", HYPERLINK(Table1[[#This Row],[Destination - Farnell]],_xlfn.CONCAT("Link (",Table1[[#This Row],[Farnell]],")")))</f>
        <v/>
      </c>
      <c r="T171" s="62" t="str">
        <f>_xlfn.CONCAT("https://ch.farnell.com/fr-CH/",Table1[[#This Row],[Farnell]])</f>
        <v>https://ch.farnell.com/fr-CH/</v>
      </c>
      <c r="U171" s="57"/>
      <c r="V171" s="59"/>
      <c r="W171" s="61" t="str">
        <f>IF(Table1[[#This Row],[Distrelec]]="","", HYPERLINK(Table1[[#This Row],[Destination - Distrelec]],_xlfn.CONCAT("Link (",Table1[[#This Row],[Distrelec]],")")))</f>
        <v/>
      </c>
      <c r="X171" s="62" t="str">
        <f>_xlfn.CONCAT("https://www.distrelec.ch/search?q=",Table1[[#This Row],[Distrelec]])</f>
        <v>https://www.distrelec.ch/search?q=</v>
      </c>
      <c r="Y171" s="57"/>
      <c r="Z171" s="59"/>
      <c r="AA171" s="61" t="str">
        <f>IF(Table1[[#This Row],[Conrad]]="","", HYPERLINK(Table1[[#This Row],[Destination - Conrad]],_xlfn.CONCAT("Link (",Table1[[#This Row],[Conrad]],")")))</f>
        <v/>
      </c>
      <c r="AB171" s="62"/>
      <c r="AC171" s="57"/>
      <c r="AD171" s="59"/>
      <c r="AE171" s="61" t="str">
        <f>IF(Table1[[#This Row],[Mouser]]="","", HYPERLINK(Table1[[#This Row],[Destination - Mouser]],_xlfn.CONCAT("Link (",Table1[[#This Row],[Mouser]],")")))</f>
        <v/>
      </c>
      <c r="AF171" s="62" t="str">
        <f>_xlfn.CONCAT("https://www.mouser.ch/ProductDetail/",Table1[[#This Row],[Mouser]])</f>
        <v>https://www.mouser.ch/ProductDetail/</v>
      </c>
      <c r="AG171" s="57"/>
      <c r="AH171" s="59"/>
      <c r="AI171" s="61" t="str">
        <f>IF(Table1[[#This Row],[Bauhaus]]="","", HYPERLINK(Table1[[#This Row],[Destination - Bauhaus]],_xlfn.CONCAT("Link (",Table1[[#This Row],[Bauhaus]],")")))</f>
        <v/>
      </c>
      <c r="AJ171" s="62" t="str">
        <f>_xlfn.CONCAT("https://www.bauhaus.ch/fr/search?query=",Table1[[#This Row],[Bauhaus]])</f>
        <v>https://www.bauhaus.ch/fr/search?query=</v>
      </c>
      <c r="AK171" s="59"/>
      <c r="AL171" s="59"/>
      <c r="AM171" s="61" t="str">
        <f>IF(Table1[[#This Row],[BricoEtLoisirs]]="","", HYPERLINK(Table1[[#This Row],[Destination - BricoEtLoisirs]],_xlfn.CONCAT("Link (",Table1[[#This Row],[BricoEtLoisirs]],")")))</f>
        <v/>
      </c>
      <c r="AN171" s="62" t="str">
        <f>_xlfn.CONCAT("https://bricoetloisirs.ch/p/",Table1[[#This Row],[BricoEtLoisirs]])</f>
        <v>https://bricoetloisirs.ch/p/</v>
      </c>
      <c r="AO171" s="57"/>
      <c r="AP171" s="59"/>
      <c r="AQ171" s="61" t="str">
        <f>IF(Table1[[#This Row],[Aliexpress]]="","", HYPERLINK(Table1[[#This Row],[Destination - Aliexpress]],_xlfn.CONCAT("Link (",Table1[[#This Row],[Aliexpress]],")")))</f>
        <v/>
      </c>
      <c r="AR171" s="62" t="str">
        <f>_xlfn.CONCAT("https://www.aliexpress.com/item/",Table1[[#This Row],[Aliexpress]],".html")</f>
        <v>https://www.aliexpress.com/item/.html</v>
      </c>
      <c r="AS171" s="57"/>
      <c r="AT171" s="59"/>
      <c r="AU171" s="61" t="str">
        <f>IF(Table1[[#This Row],[Banggood]]="","", HYPERLINK(Table1[[#This Row],[Destination - Banggood]],_xlfn.CONCAT("Link (",Table1[[#This Row],[Banggood]],")")))</f>
        <v/>
      </c>
      <c r="AV171" s="62" t="str">
        <f>_xlfn.CONCAT("https://www.banggood.com/search/",Table1[[#This Row],[Banggood]],".html")</f>
        <v>https://www.banggood.com/search/.html</v>
      </c>
      <c r="AW171" s="59" t="str">
        <f>IF(Table1[[#This Row],[Other]]&lt;&gt;"","Other","")</f>
        <v/>
      </c>
      <c r="AX171" s="57"/>
      <c r="AY171" s="59"/>
      <c r="AZ171" s="61" t="str">
        <f>IF(Table1[[#This Row],[Other]]="","",IF(Table1[[#This Row],[Destination - Other]]="","",HYPERLINK(Table1[[#This Row],[Destination - Other]],_xlfn.CONCAT("Link ("&amp;Table1[[#This Row],[Other]]&amp;")"))))</f>
        <v/>
      </c>
      <c r="BA171" s="59"/>
      <c r="BB171" s="58" t="str">
        <f>IF(AND( Table1[[#This Row],[Auto Order]]=1,Table1[[#This Row],[Obsolete]]=""),IF(Table1[[#This Row],[In stock]]&lt;Table1[[#This Row],[Min in stock]],1,""),"")</f>
        <v/>
      </c>
      <c r="BC171" s="64"/>
      <c r="BD171" s="66" t="str">
        <f>IF(Table1[[#This Row],[Obsolete]],Table1[[#This Row],[Art. Number]],"")</f>
        <v/>
      </c>
    </row>
    <row r="172" spans="1:56" x14ac:dyDescent="0.25">
      <c r="A172" s="65" t="s">
        <v>13</v>
      </c>
      <c r="B172" s="57" t="s">
        <v>443</v>
      </c>
      <c r="C172" s="57" t="s">
        <v>1026</v>
      </c>
      <c r="D172" s="57" t="s">
        <v>1027</v>
      </c>
      <c r="E172" s="57" t="s">
        <v>1023</v>
      </c>
      <c r="F172" s="58">
        <v>0</v>
      </c>
      <c r="G172" s="58"/>
      <c r="H172" s="58"/>
      <c r="I17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2682731</v>
      </c>
      <c r="J17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3.64</v>
      </c>
      <c r="K17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7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(2682731)</v>
      </c>
      <c r="M172" s="57"/>
      <c r="N172" s="59"/>
      <c r="O172" s="61" t="str">
        <f>IF(Table1[[#This Row],[Digikey]]="","", HYPERLINK(Table1[[#This Row],[Destination - Digikey]],_xlfn.CONCAT("Link (",Table1[[#This Row],[Digikey]],")")))</f>
        <v/>
      </c>
      <c r="P172" s="62" t="str">
        <f>_xlfn.CONCAT("https://www.digikey.ch/products/en?keywords=",Table1[[#This Row],[Digikey]])</f>
        <v>https://www.digikey.ch/products/en?keywords=</v>
      </c>
      <c r="Q172" s="57" t="s">
        <v>2417</v>
      </c>
      <c r="R172" s="59">
        <v>3.64</v>
      </c>
      <c r="S172" s="61" t="str">
        <f>IF(Table1[[#This Row],[Farnell]]="","", HYPERLINK(Table1[[#This Row],[Destination - Farnell]],_xlfn.CONCAT("Link (",Table1[[#This Row],[Farnell]],")")))</f>
        <v>Link (2682731)</v>
      </c>
      <c r="T172" s="62" t="str">
        <f>_xlfn.CONCAT("https://ch.farnell.com/fr-CH/",Table1[[#This Row],[Farnell]])</f>
        <v>https://ch.farnell.com/fr-CH/2682731</v>
      </c>
      <c r="U172" s="57"/>
      <c r="V172" s="59"/>
      <c r="W172" s="61" t="str">
        <f>IF(Table1[[#This Row],[Distrelec]]="","", HYPERLINK(Table1[[#This Row],[Destination - Distrelec]],_xlfn.CONCAT("Link (",Table1[[#This Row],[Distrelec]],")")))</f>
        <v/>
      </c>
      <c r="X172" s="62" t="str">
        <f>_xlfn.CONCAT("https://www.distrelec.ch/search?q=",Table1[[#This Row],[Distrelec]])</f>
        <v>https://www.distrelec.ch/search?q=</v>
      </c>
      <c r="Y172" s="57"/>
      <c r="Z172" s="59"/>
      <c r="AA172" s="61" t="str">
        <f>IF(Table1[[#This Row],[Conrad]]="","", HYPERLINK(Table1[[#This Row],[Destination - Conrad]],_xlfn.CONCAT("Link (",Table1[[#This Row],[Conrad]],")")))</f>
        <v/>
      </c>
      <c r="AB172" s="62"/>
      <c r="AC172" s="57"/>
      <c r="AD172" s="59"/>
      <c r="AE172" s="61" t="str">
        <f>IF(Table1[[#This Row],[Mouser]]="","", HYPERLINK(Table1[[#This Row],[Destination - Mouser]],_xlfn.CONCAT("Link (",Table1[[#This Row],[Mouser]],")")))</f>
        <v/>
      </c>
      <c r="AF172" s="62" t="str">
        <f>_xlfn.CONCAT("https://www.mouser.ch/ProductDetail/",Table1[[#This Row],[Mouser]])</f>
        <v>https://www.mouser.ch/ProductDetail/</v>
      </c>
      <c r="AG172" s="57"/>
      <c r="AH172" s="59"/>
      <c r="AI172" s="61" t="str">
        <f>IF(Table1[[#This Row],[Bauhaus]]="","", HYPERLINK(Table1[[#This Row],[Destination - Bauhaus]],_xlfn.CONCAT("Link (",Table1[[#This Row],[Bauhaus]],")")))</f>
        <v/>
      </c>
      <c r="AJ172" s="62" t="str">
        <f>_xlfn.CONCAT("https://www.bauhaus.ch/fr/search?query=",Table1[[#This Row],[Bauhaus]])</f>
        <v>https://www.bauhaus.ch/fr/search?query=</v>
      </c>
      <c r="AK172" s="59"/>
      <c r="AL172" s="59"/>
      <c r="AM172" s="61" t="str">
        <f>IF(Table1[[#This Row],[BricoEtLoisirs]]="","", HYPERLINK(Table1[[#This Row],[Destination - BricoEtLoisirs]],_xlfn.CONCAT("Link (",Table1[[#This Row],[BricoEtLoisirs]],")")))</f>
        <v/>
      </c>
      <c r="AN172" s="62" t="str">
        <f>_xlfn.CONCAT("https://bricoetloisirs.ch/p/",Table1[[#This Row],[BricoEtLoisirs]])</f>
        <v>https://bricoetloisirs.ch/p/</v>
      </c>
      <c r="AO172" s="57"/>
      <c r="AP172" s="59"/>
      <c r="AQ172" s="61" t="str">
        <f>IF(Table1[[#This Row],[Aliexpress]]="","", HYPERLINK(Table1[[#This Row],[Destination - Aliexpress]],_xlfn.CONCAT("Link (",Table1[[#This Row],[Aliexpress]],")")))</f>
        <v/>
      </c>
      <c r="AR172" s="62" t="str">
        <f>_xlfn.CONCAT("https://www.aliexpress.com/item/",Table1[[#This Row],[Aliexpress]],".html")</f>
        <v>https://www.aliexpress.com/item/.html</v>
      </c>
      <c r="AS172" s="57"/>
      <c r="AT172" s="59"/>
      <c r="AU172" s="61" t="str">
        <f>IF(Table1[[#This Row],[Banggood]]="","", HYPERLINK(Table1[[#This Row],[Destination - Banggood]],_xlfn.CONCAT("Link (",Table1[[#This Row],[Banggood]],")")))</f>
        <v/>
      </c>
      <c r="AV172" s="62" t="str">
        <f>_xlfn.CONCAT("https://www.banggood.com/search/",Table1[[#This Row],[Banggood]],".html")</f>
        <v>https://www.banggood.com/search/.html</v>
      </c>
      <c r="AW172" s="59" t="str">
        <f>IF(Table1[[#This Row],[Other]]&lt;&gt;"","Other","")</f>
        <v/>
      </c>
      <c r="AX172" s="57"/>
      <c r="AY172" s="59"/>
      <c r="AZ172" s="61" t="str">
        <f>IF(Table1[[#This Row],[Other]]="","",IF(Table1[[#This Row],[Destination - Other]]="","",HYPERLINK(Table1[[#This Row],[Destination - Other]],_xlfn.CONCAT("Link ("&amp;Table1[[#This Row],[Other]]&amp;")"))))</f>
        <v/>
      </c>
      <c r="BA172" s="59"/>
      <c r="BB172" s="58" t="str">
        <f>IF(AND( Table1[[#This Row],[Auto Order]]=1,Table1[[#This Row],[Obsolete]]=""),IF(Table1[[#This Row],[In stock]]&lt;Table1[[#This Row],[Min in stock]],1,""),"")</f>
        <v/>
      </c>
      <c r="BC172" s="64"/>
      <c r="BD172" s="66" t="str">
        <f>IF(Table1[[#This Row],[Obsolete]],Table1[[#This Row],[Art. Number]],"")</f>
        <v/>
      </c>
    </row>
    <row r="173" spans="1:56" x14ac:dyDescent="0.25">
      <c r="A173" s="65" t="s">
        <v>1029</v>
      </c>
      <c r="B173" s="57" t="s">
        <v>1030</v>
      </c>
      <c r="C173" s="57" t="s">
        <v>97</v>
      </c>
      <c r="D173" s="57" t="s">
        <v>1031</v>
      </c>
      <c r="E173" s="57" t="s">
        <v>1023</v>
      </c>
      <c r="F173" s="58">
        <v>1</v>
      </c>
      <c r="G173" s="58"/>
      <c r="H173" s="58"/>
      <c r="I17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XQDAWT-00-0000-00000BF50CT-ND</v>
      </c>
      <c r="J17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</v>
      </c>
      <c r="K17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(XQDAWT-00-0000-00000BF50CT-ND)</v>
      </c>
      <c r="M173" s="57" t="s">
        <v>1032</v>
      </c>
      <c r="N173" s="59">
        <v>0.8</v>
      </c>
      <c r="O173" s="61" t="str">
        <f>IF(Table1[[#This Row],[Digikey]]="","", HYPERLINK(Table1[[#This Row],[Destination - Digikey]],_xlfn.CONCAT("Link (",Table1[[#This Row],[Digikey]],")")))</f>
        <v>Link (XQDAWT-00-0000-00000BF50CT-ND)</v>
      </c>
      <c r="P173" s="62" t="str">
        <f>_xlfn.CONCAT("https://www.digikey.ch/products/en?keywords=",Table1[[#This Row],[Digikey]])</f>
        <v>https://www.digikey.ch/products/en?keywords=XQDAWT-00-0000-00000BF50CT-ND</v>
      </c>
      <c r="Q173" s="57"/>
      <c r="R173" s="59"/>
      <c r="S173" s="61" t="str">
        <f>IF(Table1[[#This Row],[Farnell]]="","", HYPERLINK(Table1[[#This Row],[Destination - Farnell]],_xlfn.CONCAT("Link (",Table1[[#This Row],[Farnell]],")")))</f>
        <v/>
      </c>
      <c r="T173" s="62" t="str">
        <f>_xlfn.CONCAT("https://ch.farnell.com/fr-CH/",Table1[[#This Row],[Farnell]])</f>
        <v>https://ch.farnell.com/fr-CH/</v>
      </c>
      <c r="U173" s="57"/>
      <c r="V173" s="59"/>
      <c r="W173" s="61" t="str">
        <f>IF(Table1[[#This Row],[Distrelec]]="","", HYPERLINK(Table1[[#This Row],[Destination - Distrelec]],_xlfn.CONCAT("Link (",Table1[[#This Row],[Distrelec]],")")))</f>
        <v/>
      </c>
      <c r="X173" s="62" t="str">
        <f>_xlfn.CONCAT("https://www.distrelec.ch/search?q=",Table1[[#This Row],[Distrelec]])</f>
        <v>https://www.distrelec.ch/search?q=</v>
      </c>
      <c r="Y173" s="57"/>
      <c r="Z173" s="59"/>
      <c r="AA173" s="61" t="str">
        <f>IF(Table1[[#This Row],[Conrad]]="","", HYPERLINK(Table1[[#This Row],[Destination - Conrad]],_xlfn.CONCAT("Link (",Table1[[#This Row],[Conrad]],")")))</f>
        <v/>
      </c>
      <c r="AB173" s="62"/>
      <c r="AC173" s="57"/>
      <c r="AD173" s="59"/>
      <c r="AE173" s="61" t="str">
        <f>IF(Table1[[#This Row],[Mouser]]="","", HYPERLINK(Table1[[#This Row],[Destination - Mouser]],_xlfn.CONCAT("Link (",Table1[[#This Row],[Mouser]],")")))</f>
        <v/>
      </c>
      <c r="AF173" s="62" t="str">
        <f>_xlfn.CONCAT("https://www.mouser.ch/ProductDetail/",Table1[[#This Row],[Mouser]])</f>
        <v>https://www.mouser.ch/ProductDetail/</v>
      </c>
      <c r="AG173" s="57"/>
      <c r="AH173" s="59"/>
      <c r="AI173" s="61" t="str">
        <f>IF(Table1[[#This Row],[Bauhaus]]="","", HYPERLINK(Table1[[#This Row],[Destination - Bauhaus]],_xlfn.CONCAT("Link (",Table1[[#This Row],[Bauhaus]],")")))</f>
        <v/>
      </c>
      <c r="AJ173" s="62" t="str">
        <f>_xlfn.CONCAT("https://www.bauhaus.ch/fr/search?query=",Table1[[#This Row],[Bauhaus]])</f>
        <v>https://www.bauhaus.ch/fr/search?query=</v>
      </c>
      <c r="AK173" s="59"/>
      <c r="AL173" s="59"/>
      <c r="AM173" s="61" t="str">
        <f>IF(Table1[[#This Row],[BricoEtLoisirs]]="","", HYPERLINK(Table1[[#This Row],[Destination - BricoEtLoisirs]],_xlfn.CONCAT("Link (",Table1[[#This Row],[BricoEtLoisirs]],")")))</f>
        <v/>
      </c>
      <c r="AN173" s="62" t="str">
        <f>_xlfn.CONCAT("https://bricoetloisirs.ch/p/",Table1[[#This Row],[BricoEtLoisirs]])</f>
        <v>https://bricoetloisirs.ch/p/</v>
      </c>
      <c r="AO173" s="57"/>
      <c r="AP173" s="59"/>
      <c r="AQ173" s="61" t="str">
        <f>IF(Table1[[#This Row],[Aliexpress]]="","", HYPERLINK(Table1[[#This Row],[Destination - Aliexpress]],_xlfn.CONCAT("Link (",Table1[[#This Row],[Aliexpress]],")")))</f>
        <v/>
      </c>
      <c r="AR173" s="62" t="str">
        <f>_xlfn.CONCAT("https://www.aliexpress.com/item/",Table1[[#This Row],[Aliexpress]],".html")</f>
        <v>https://www.aliexpress.com/item/.html</v>
      </c>
      <c r="AS173" s="57"/>
      <c r="AT173" s="59"/>
      <c r="AU173" s="61" t="str">
        <f>IF(Table1[[#This Row],[Banggood]]="","", HYPERLINK(Table1[[#This Row],[Destination - Banggood]],_xlfn.CONCAT("Link (",Table1[[#This Row],[Banggood]],")")))</f>
        <v/>
      </c>
      <c r="AV173" s="62" t="str">
        <f>_xlfn.CONCAT("https://www.banggood.com/search/",Table1[[#This Row],[Banggood]],".html")</f>
        <v>https://www.banggood.com/search/.html</v>
      </c>
      <c r="AW173" s="59" t="str">
        <f>IF(Table1[[#This Row],[Other]]&lt;&gt;"","Other","")</f>
        <v/>
      </c>
      <c r="AX173" s="57"/>
      <c r="AY173" s="59"/>
      <c r="AZ173" s="61" t="str">
        <f>IF(Table1[[#This Row],[Other]]="","",IF(Table1[[#This Row],[Destination - Other]]="","",HYPERLINK(Table1[[#This Row],[Destination - Other]],_xlfn.CONCAT("Link ("&amp;Table1[[#This Row],[Other]]&amp;")"))))</f>
        <v/>
      </c>
      <c r="BA173" s="59"/>
      <c r="BB173" s="58" t="str">
        <f>IF(AND( Table1[[#This Row],[Auto Order]]=1,Table1[[#This Row],[Obsolete]]=""),IF(Table1[[#This Row],[In stock]]&lt;Table1[[#This Row],[Min in stock]],1,""),"")</f>
        <v/>
      </c>
      <c r="BC173" s="64"/>
      <c r="BD173" s="66" t="str">
        <f>IF(Table1[[#This Row],[Obsolete]],Table1[[#This Row],[Art. Number]],"")</f>
        <v/>
      </c>
    </row>
    <row r="174" spans="1:56" x14ac:dyDescent="0.25">
      <c r="A174" s="65" t="s">
        <v>1034</v>
      </c>
      <c r="B174" s="57" t="s">
        <v>1030</v>
      </c>
      <c r="C174" s="57" t="s">
        <v>97</v>
      </c>
      <c r="D174" s="57" t="s">
        <v>1035</v>
      </c>
      <c r="E174" s="57" t="s">
        <v>1023</v>
      </c>
      <c r="F174" s="58">
        <v>0</v>
      </c>
      <c r="G174" s="58"/>
      <c r="H174" s="58"/>
      <c r="I17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XTEAWT-00-0000-000000KE1CT-ND</v>
      </c>
      <c r="J17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1.06</v>
      </c>
      <c r="K17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(XTEAWT-00-0000-000000KE1CT-ND)</v>
      </c>
      <c r="M174" s="57" t="s">
        <v>1036</v>
      </c>
      <c r="N174" s="59">
        <v>1.06</v>
      </c>
      <c r="O174" s="61" t="str">
        <f>IF(Table1[[#This Row],[Digikey]]="","", HYPERLINK(Table1[[#This Row],[Destination - Digikey]],_xlfn.CONCAT("Link (",Table1[[#This Row],[Digikey]],")")))</f>
        <v>Link (XTEAWT-00-0000-000000KE1CT-ND)</v>
      </c>
      <c r="P174" s="62" t="str">
        <f>_xlfn.CONCAT("https://www.digikey.ch/products/en?keywords=",Table1[[#This Row],[Digikey]])</f>
        <v>https://www.digikey.ch/products/en?keywords=XTEAWT-00-0000-000000KE1CT-ND</v>
      </c>
      <c r="Q174" s="57"/>
      <c r="R174" s="59"/>
      <c r="S174" s="61" t="str">
        <f>IF(Table1[[#This Row],[Farnell]]="","", HYPERLINK(Table1[[#This Row],[Destination - Farnell]],_xlfn.CONCAT("Link (",Table1[[#This Row],[Farnell]],")")))</f>
        <v/>
      </c>
      <c r="T174" s="62" t="str">
        <f>_xlfn.CONCAT("https://ch.farnell.com/fr-CH/",Table1[[#This Row],[Farnell]])</f>
        <v>https://ch.farnell.com/fr-CH/</v>
      </c>
      <c r="U174" s="57"/>
      <c r="V174" s="59"/>
      <c r="W174" s="61" t="str">
        <f>IF(Table1[[#This Row],[Distrelec]]="","", HYPERLINK(Table1[[#This Row],[Destination - Distrelec]],_xlfn.CONCAT("Link (",Table1[[#This Row],[Distrelec]],")")))</f>
        <v/>
      </c>
      <c r="X174" s="62" t="str">
        <f>_xlfn.CONCAT("https://www.distrelec.ch/search?q=",Table1[[#This Row],[Distrelec]])</f>
        <v>https://www.distrelec.ch/search?q=</v>
      </c>
      <c r="Y174" s="57"/>
      <c r="Z174" s="59"/>
      <c r="AA174" s="61" t="str">
        <f>IF(Table1[[#This Row],[Conrad]]="","", HYPERLINK(Table1[[#This Row],[Destination - Conrad]],_xlfn.CONCAT("Link (",Table1[[#This Row],[Conrad]],")")))</f>
        <v/>
      </c>
      <c r="AB174" s="62"/>
      <c r="AC174" s="57"/>
      <c r="AD174" s="59"/>
      <c r="AE174" s="61" t="str">
        <f>IF(Table1[[#This Row],[Mouser]]="","", HYPERLINK(Table1[[#This Row],[Destination - Mouser]],_xlfn.CONCAT("Link (",Table1[[#This Row],[Mouser]],")")))</f>
        <v/>
      </c>
      <c r="AF174" s="62" t="str">
        <f>_xlfn.CONCAT("https://www.mouser.ch/ProductDetail/",Table1[[#This Row],[Mouser]])</f>
        <v>https://www.mouser.ch/ProductDetail/</v>
      </c>
      <c r="AG174" s="57"/>
      <c r="AH174" s="59"/>
      <c r="AI174" s="61" t="str">
        <f>IF(Table1[[#This Row],[Bauhaus]]="","", HYPERLINK(Table1[[#This Row],[Destination - Bauhaus]],_xlfn.CONCAT("Link (",Table1[[#This Row],[Bauhaus]],")")))</f>
        <v/>
      </c>
      <c r="AJ174" s="62" t="str">
        <f>_xlfn.CONCAT("https://www.bauhaus.ch/fr/search?query=",Table1[[#This Row],[Bauhaus]])</f>
        <v>https://www.bauhaus.ch/fr/search?query=</v>
      </c>
      <c r="AK174" s="59"/>
      <c r="AL174" s="59"/>
      <c r="AM174" s="61" t="str">
        <f>IF(Table1[[#This Row],[BricoEtLoisirs]]="","", HYPERLINK(Table1[[#This Row],[Destination - BricoEtLoisirs]],_xlfn.CONCAT("Link (",Table1[[#This Row],[BricoEtLoisirs]],")")))</f>
        <v/>
      </c>
      <c r="AN174" s="62" t="str">
        <f>_xlfn.CONCAT("https://bricoetloisirs.ch/p/",Table1[[#This Row],[BricoEtLoisirs]])</f>
        <v>https://bricoetloisirs.ch/p/</v>
      </c>
      <c r="AO174" s="57"/>
      <c r="AP174" s="59"/>
      <c r="AQ174" s="61" t="str">
        <f>IF(Table1[[#This Row],[Aliexpress]]="","", HYPERLINK(Table1[[#This Row],[Destination - Aliexpress]],_xlfn.CONCAT("Link (",Table1[[#This Row],[Aliexpress]],")")))</f>
        <v/>
      </c>
      <c r="AR174" s="62" t="str">
        <f>_xlfn.CONCAT("https://www.aliexpress.com/item/",Table1[[#This Row],[Aliexpress]],".html")</f>
        <v>https://www.aliexpress.com/item/.html</v>
      </c>
      <c r="AS174" s="57"/>
      <c r="AT174" s="59"/>
      <c r="AU174" s="61" t="str">
        <f>IF(Table1[[#This Row],[Banggood]]="","", HYPERLINK(Table1[[#This Row],[Destination - Banggood]],_xlfn.CONCAT("Link (",Table1[[#This Row],[Banggood]],")")))</f>
        <v/>
      </c>
      <c r="AV174" s="62" t="str">
        <f>_xlfn.CONCAT("https://www.banggood.com/search/",Table1[[#This Row],[Banggood]],".html")</f>
        <v>https://www.banggood.com/search/.html</v>
      </c>
      <c r="AW174" s="59" t="str">
        <f>IF(Table1[[#This Row],[Other]]&lt;&gt;"","Other","")</f>
        <v/>
      </c>
      <c r="AX174" s="57"/>
      <c r="AY174" s="59"/>
      <c r="AZ174" s="61" t="str">
        <f>IF(Table1[[#This Row],[Other]]="","",IF(Table1[[#This Row],[Destination - Other]]="","",HYPERLINK(Table1[[#This Row],[Destination - Other]],_xlfn.CONCAT("Link ("&amp;Table1[[#This Row],[Other]]&amp;")"))))</f>
        <v/>
      </c>
      <c r="BA174" s="59"/>
      <c r="BB174" s="58" t="str">
        <f>IF(AND( Table1[[#This Row],[Auto Order]]=1,Table1[[#This Row],[Obsolete]]=""),IF(Table1[[#This Row],[In stock]]&lt;Table1[[#This Row],[Min in stock]],1,""),"")</f>
        <v/>
      </c>
      <c r="BC174" s="64"/>
      <c r="BD174" s="66" t="str">
        <f>IF(Table1[[#This Row],[Obsolete]],Table1[[#This Row],[Art. Number]],"")</f>
        <v/>
      </c>
    </row>
    <row r="175" spans="1:56" x14ac:dyDescent="0.25">
      <c r="A175" s="65" t="s">
        <v>1038</v>
      </c>
      <c r="B175" s="57" t="s">
        <v>1030</v>
      </c>
      <c r="C175" s="57" t="s">
        <v>1039</v>
      </c>
      <c r="D175" s="57" t="s">
        <v>1040</v>
      </c>
      <c r="E175" s="57" t="s">
        <v>1023</v>
      </c>
      <c r="F175" s="58">
        <v>4</v>
      </c>
      <c r="G175" s="58"/>
      <c r="H175" s="58"/>
      <c r="I17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XTEAWT-00-0000-000000KD1CT-ND</v>
      </c>
      <c r="J17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0.84</v>
      </c>
      <c r="K17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(XTEAWT-00-0000-000000KD1CT-ND)</v>
      </c>
      <c r="M175" s="57" t="s">
        <v>1041</v>
      </c>
      <c r="N175" s="59">
        <v>0.84</v>
      </c>
      <c r="O175" s="61" t="str">
        <f>IF(Table1[[#This Row],[Digikey]]="","", HYPERLINK(Table1[[#This Row],[Destination - Digikey]],_xlfn.CONCAT("Link (",Table1[[#This Row],[Digikey]],")")))</f>
        <v>Link (XTEAWT-00-0000-000000KD1CT-ND)</v>
      </c>
      <c r="P175" s="62" t="str">
        <f>_xlfn.CONCAT("https://www.digikey.ch/products/en?keywords=",Table1[[#This Row],[Digikey]])</f>
        <v>https://www.digikey.ch/products/en?keywords=XTEAWT-00-0000-000000KD1CT-ND</v>
      </c>
      <c r="Q175" s="57"/>
      <c r="R175" s="59"/>
      <c r="S175" s="61" t="str">
        <f>IF(Table1[[#This Row],[Farnell]]="","", HYPERLINK(Table1[[#This Row],[Destination - Farnell]],_xlfn.CONCAT("Link (",Table1[[#This Row],[Farnell]],")")))</f>
        <v/>
      </c>
      <c r="T175" s="62" t="str">
        <f>_xlfn.CONCAT("https://ch.farnell.com/fr-CH/",Table1[[#This Row],[Farnell]])</f>
        <v>https://ch.farnell.com/fr-CH/</v>
      </c>
      <c r="U175" s="57"/>
      <c r="V175" s="59"/>
      <c r="W175" s="61" t="str">
        <f>IF(Table1[[#This Row],[Distrelec]]="","", HYPERLINK(Table1[[#This Row],[Destination - Distrelec]],_xlfn.CONCAT("Link (",Table1[[#This Row],[Distrelec]],")")))</f>
        <v/>
      </c>
      <c r="X175" s="62" t="str">
        <f>_xlfn.CONCAT("https://www.distrelec.ch/search?q=",Table1[[#This Row],[Distrelec]])</f>
        <v>https://www.distrelec.ch/search?q=</v>
      </c>
      <c r="Y175" s="57"/>
      <c r="Z175" s="59"/>
      <c r="AA175" s="61" t="str">
        <f>IF(Table1[[#This Row],[Conrad]]="","", HYPERLINK(Table1[[#This Row],[Destination - Conrad]],_xlfn.CONCAT("Link (",Table1[[#This Row],[Conrad]],")")))</f>
        <v/>
      </c>
      <c r="AB175" s="62"/>
      <c r="AC175" s="57"/>
      <c r="AD175" s="59"/>
      <c r="AE175" s="61" t="str">
        <f>IF(Table1[[#This Row],[Mouser]]="","", HYPERLINK(Table1[[#This Row],[Destination - Mouser]],_xlfn.CONCAT("Link (",Table1[[#This Row],[Mouser]],")")))</f>
        <v/>
      </c>
      <c r="AF175" s="62" t="str">
        <f>_xlfn.CONCAT("https://www.mouser.ch/ProductDetail/",Table1[[#This Row],[Mouser]])</f>
        <v>https://www.mouser.ch/ProductDetail/</v>
      </c>
      <c r="AG175" s="57"/>
      <c r="AH175" s="59"/>
      <c r="AI175" s="61" t="str">
        <f>IF(Table1[[#This Row],[Bauhaus]]="","", HYPERLINK(Table1[[#This Row],[Destination - Bauhaus]],_xlfn.CONCAT("Link (",Table1[[#This Row],[Bauhaus]],")")))</f>
        <v/>
      </c>
      <c r="AJ175" s="62" t="str">
        <f>_xlfn.CONCAT("https://www.bauhaus.ch/fr/search?query=",Table1[[#This Row],[Bauhaus]])</f>
        <v>https://www.bauhaus.ch/fr/search?query=</v>
      </c>
      <c r="AK175" s="59"/>
      <c r="AL175" s="59"/>
      <c r="AM175" s="61" t="str">
        <f>IF(Table1[[#This Row],[BricoEtLoisirs]]="","", HYPERLINK(Table1[[#This Row],[Destination - BricoEtLoisirs]],_xlfn.CONCAT("Link (",Table1[[#This Row],[BricoEtLoisirs]],")")))</f>
        <v/>
      </c>
      <c r="AN175" s="62" t="str">
        <f>_xlfn.CONCAT("https://bricoetloisirs.ch/p/",Table1[[#This Row],[BricoEtLoisirs]])</f>
        <v>https://bricoetloisirs.ch/p/</v>
      </c>
      <c r="AO175" s="57"/>
      <c r="AP175" s="59"/>
      <c r="AQ175" s="61" t="str">
        <f>IF(Table1[[#This Row],[Aliexpress]]="","", HYPERLINK(Table1[[#This Row],[Destination - Aliexpress]],_xlfn.CONCAT("Link (",Table1[[#This Row],[Aliexpress]],")")))</f>
        <v/>
      </c>
      <c r="AR175" s="62" t="str">
        <f>_xlfn.CONCAT("https://www.aliexpress.com/item/",Table1[[#This Row],[Aliexpress]],".html")</f>
        <v>https://www.aliexpress.com/item/.html</v>
      </c>
      <c r="AS175" s="57"/>
      <c r="AT175" s="59"/>
      <c r="AU175" s="61" t="str">
        <f>IF(Table1[[#This Row],[Banggood]]="","", HYPERLINK(Table1[[#This Row],[Destination - Banggood]],_xlfn.CONCAT("Link (",Table1[[#This Row],[Banggood]],")")))</f>
        <v/>
      </c>
      <c r="AV175" s="62" t="str">
        <f>_xlfn.CONCAT("https://www.banggood.com/search/",Table1[[#This Row],[Banggood]],".html")</f>
        <v>https://www.banggood.com/search/.html</v>
      </c>
      <c r="AW175" s="59" t="str">
        <f>IF(Table1[[#This Row],[Other]]&lt;&gt;"","Other","")</f>
        <v/>
      </c>
      <c r="AX175" s="57"/>
      <c r="AY175" s="59"/>
      <c r="AZ175" s="61" t="str">
        <f>IF(Table1[[#This Row],[Other]]="","",IF(Table1[[#This Row],[Destination - Other]]="","",HYPERLINK(Table1[[#This Row],[Destination - Other]],_xlfn.CONCAT("Link ("&amp;Table1[[#This Row],[Other]]&amp;")"))))</f>
        <v/>
      </c>
      <c r="BA175" s="59"/>
      <c r="BB175" s="58" t="str">
        <f>IF(AND( Table1[[#This Row],[Auto Order]]=1,Table1[[#This Row],[Obsolete]]=""),IF(Table1[[#This Row],[In stock]]&lt;Table1[[#This Row],[Min in stock]],1,""),"")</f>
        <v/>
      </c>
      <c r="BC175" s="64"/>
      <c r="BD175" s="66" t="str">
        <f>IF(Table1[[#This Row],[Obsolete]],Table1[[#This Row],[Art. Number]],"")</f>
        <v/>
      </c>
    </row>
    <row r="176" spans="1:56" x14ac:dyDescent="0.25">
      <c r="A176" s="65" t="s">
        <v>755</v>
      </c>
      <c r="B176" s="57" t="s">
        <v>29</v>
      </c>
      <c r="C176" s="57" t="s">
        <v>756</v>
      </c>
      <c r="D176" s="57" t="s">
        <v>757</v>
      </c>
      <c r="E176" s="57" t="s">
        <v>758</v>
      </c>
      <c r="F176" s="58">
        <v>4</v>
      </c>
      <c r="G176" s="58"/>
      <c r="H176" s="58"/>
      <c r="I17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63190092</v>
      </c>
      <c r="J17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1.35</v>
      </c>
      <c r="K17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Bauhaus</v>
      </c>
      <c r="L17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(63190092)</v>
      </c>
      <c r="M176" s="57"/>
      <c r="N176" s="59"/>
      <c r="O176" s="61" t="str">
        <f>IF(Table1[[#This Row],[Digikey]]="","", HYPERLINK(Table1[[#This Row],[Destination - Digikey]],_xlfn.CONCAT("Link (",Table1[[#This Row],[Digikey]],")")))</f>
        <v/>
      </c>
      <c r="P176" s="62" t="str">
        <f>_xlfn.CONCAT("https://www.digikey.ch/products/en?keywords=",Table1[[#This Row],[Digikey]])</f>
        <v>https://www.digikey.ch/products/en?keywords=</v>
      </c>
      <c r="Q176" s="57"/>
      <c r="R176" s="59"/>
      <c r="S176" s="61" t="str">
        <f>IF(Table1[[#This Row],[Farnell]]="","", HYPERLINK(Table1[[#This Row],[Destination - Farnell]],_xlfn.CONCAT("Link (",Table1[[#This Row],[Farnell]],")")))</f>
        <v/>
      </c>
      <c r="T176" s="62" t="str">
        <f>_xlfn.CONCAT("https://ch.farnell.com/fr-CH/",Table1[[#This Row],[Farnell]])</f>
        <v>https://ch.farnell.com/fr-CH/</v>
      </c>
      <c r="U176" s="57"/>
      <c r="V176" s="59"/>
      <c r="W176" s="61" t="str">
        <f>IF(Table1[[#This Row],[Distrelec]]="","", HYPERLINK(Table1[[#This Row],[Destination - Distrelec]],_xlfn.CONCAT("Link (",Table1[[#This Row],[Distrelec]],")")))</f>
        <v/>
      </c>
      <c r="X176" s="62" t="str">
        <f>_xlfn.CONCAT("https://www.distrelec.ch/search?q=",Table1[[#This Row],[Distrelec]])</f>
        <v>https://www.distrelec.ch/search?q=</v>
      </c>
      <c r="Y176" s="57"/>
      <c r="Z176" s="59"/>
      <c r="AA176" s="61" t="str">
        <f>IF(Table1[[#This Row],[Conrad]]="","", HYPERLINK(Table1[[#This Row],[Destination - Conrad]],_xlfn.CONCAT("Link (",Table1[[#This Row],[Conrad]],")")))</f>
        <v/>
      </c>
      <c r="AB176" s="62"/>
      <c r="AC176" s="57"/>
      <c r="AD176" s="59"/>
      <c r="AE176" s="61" t="str">
        <f>IF(Table1[[#This Row],[Mouser]]="","", HYPERLINK(Table1[[#This Row],[Destination - Mouser]],_xlfn.CONCAT("Link (",Table1[[#This Row],[Mouser]],")")))</f>
        <v/>
      </c>
      <c r="AF176" s="62" t="str">
        <f>_xlfn.CONCAT("https://www.mouser.ch/ProductDetail/",Table1[[#This Row],[Mouser]])</f>
        <v>https://www.mouser.ch/ProductDetail/</v>
      </c>
      <c r="AG176" s="57" t="s">
        <v>2402</v>
      </c>
      <c r="AH176" s="59">
        <v>1.35</v>
      </c>
      <c r="AI176" s="61" t="str">
        <f>IF(Table1[[#This Row],[Bauhaus]]="","", HYPERLINK(Table1[[#This Row],[Destination - Bauhaus]],_xlfn.CONCAT("Link (",Table1[[#This Row],[Bauhaus]],")")))</f>
        <v>Link (63190092)</v>
      </c>
      <c r="AJ176" s="62" t="str">
        <f>_xlfn.CONCAT("https://www.bauhaus.ch/fr/search?query=",Table1[[#This Row],[Bauhaus]])</f>
        <v>https://www.bauhaus.ch/fr/search?query=63190092</v>
      </c>
      <c r="AK176" s="59"/>
      <c r="AL176" s="59"/>
      <c r="AM176" s="61" t="str">
        <f>IF(Table1[[#This Row],[BricoEtLoisirs]]="","", HYPERLINK(Table1[[#This Row],[Destination - BricoEtLoisirs]],_xlfn.CONCAT("Link (",Table1[[#This Row],[BricoEtLoisirs]],")")))</f>
        <v/>
      </c>
      <c r="AN176" s="62" t="str">
        <f>_xlfn.CONCAT("https://bricoetloisirs.ch/p/",Table1[[#This Row],[BricoEtLoisirs]])</f>
        <v>https://bricoetloisirs.ch/p/</v>
      </c>
      <c r="AO176" s="57"/>
      <c r="AP176" s="59"/>
      <c r="AQ176" s="61" t="str">
        <f>IF(Table1[[#This Row],[Aliexpress]]="","", HYPERLINK(Table1[[#This Row],[Destination - Aliexpress]],_xlfn.CONCAT("Link (",Table1[[#This Row],[Aliexpress]],")")))</f>
        <v/>
      </c>
      <c r="AR176" s="62" t="str">
        <f>_xlfn.CONCAT("https://www.aliexpress.com/item/",Table1[[#This Row],[Aliexpress]],".html")</f>
        <v>https://www.aliexpress.com/item/.html</v>
      </c>
      <c r="AS176" s="57"/>
      <c r="AT176" s="59"/>
      <c r="AU176" s="61" t="str">
        <f>IF(Table1[[#This Row],[Banggood]]="","", HYPERLINK(Table1[[#This Row],[Destination - Banggood]],_xlfn.CONCAT("Link (",Table1[[#This Row],[Banggood]],")")))</f>
        <v/>
      </c>
      <c r="AV176" s="62" t="str">
        <f>_xlfn.CONCAT("https://www.banggood.com/search/",Table1[[#This Row],[Banggood]],".html")</f>
        <v>https://www.banggood.com/search/.html</v>
      </c>
      <c r="AW176" s="59" t="str">
        <f>IF(Table1[[#This Row],[Other]]&lt;&gt;"","Other","")</f>
        <v/>
      </c>
      <c r="AX176" s="57"/>
      <c r="AY176" s="59"/>
      <c r="AZ176" s="61" t="str">
        <f>IF(Table1[[#This Row],[Other]]="","",IF(Table1[[#This Row],[Destination - Other]]="","",HYPERLINK(Table1[[#This Row],[Destination - Other]],_xlfn.CONCAT("Link ("&amp;Table1[[#This Row],[Other]]&amp;")"))))</f>
        <v/>
      </c>
      <c r="BA176" s="59"/>
      <c r="BB176" s="58" t="str">
        <f>IF(AND( Table1[[#This Row],[Auto Order]]=1,Table1[[#This Row],[Obsolete]]=""),IF(Table1[[#This Row],[In stock]]&lt;Table1[[#This Row],[Min in stock]],1,""),"")</f>
        <v/>
      </c>
      <c r="BC176" s="64"/>
      <c r="BD176" s="66" t="str">
        <f>IF(Table1[[#This Row],[Obsolete]],Table1[[#This Row],[Art. Number]],"")</f>
        <v/>
      </c>
    </row>
    <row r="177" spans="1:56" x14ac:dyDescent="0.25">
      <c r="A177" s="65" t="s">
        <v>219</v>
      </c>
      <c r="B177" s="57" t="s">
        <v>1043</v>
      </c>
      <c r="C177" s="57" t="s">
        <v>1044</v>
      </c>
      <c r="D177" s="57" t="s">
        <v>1045</v>
      </c>
      <c r="E177" s="57" t="s">
        <v>1046</v>
      </c>
      <c r="F177" s="58">
        <v>1</v>
      </c>
      <c r="G177" s="58"/>
      <c r="H177" s="58"/>
      <c r="I17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Z3622-ND</v>
      </c>
      <c r="J17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3.72</v>
      </c>
      <c r="K17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(Z3622-ND)</v>
      </c>
      <c r="M177" s="57" t="s">
        <v>1047</v>
      </c>
      <c r="N177" s="59">
        <v>3.72</v>
      </c>
      <c r="O177" s="61" t="str">
        <f>IF(Table1[[#This Row],[Digikey]]="","", HYPERLINK(Table1[[#This Row],[Destination - Digikey]],_xlfn.CONCAT("Link (",Table1[[#This Row],[Digikey]],")")))</f>
        <v>Link (Z3622-ND)</v>
      </c>
      <c r="P177" s="62" t="str">
        <f>_xlfn.CONCAT("https://www.digikey.ch/products/en?keywords=",Table1[[#This Row],[Digikey]])</f>
        <v>https://www.digikey.ch/products/en?keywords=Z3622-ND</v>
      </c>
      <c r="Q177" s="57"/>
      <c r="R177" s="59"/>
      <c r="S177" s="61" t="str">
        <f>IF(Table1[[#This Row],[Farnell]]="","", HYPERLINK(Table1[[#This Row],[Destination - Farnell]],_xlfn.CONCAT("Link (",Table1[[#This Row],[Farnell]],")")))</f>
        <v/>
      </c>
      <c r="T177" s="62" t="str">
        <f>_xlfn.CONCAT("https://ch.farnell.com/fr-CH/",Table1[[#This Row],[Farnell]])</f>
        <v>https://ch.farnell.com/fr-CH/</v>
      </c>
      <c r="U177" s="57"/>
      <c r="V177" s="59"/>
      <c r="W177" s="61" t="str">
        <f>IF(Table1[[#This Row],[Distrelec]]="","", HYPERLINK(Table1[[#This Row],[Destination - Distrelec]],_xlfn.CONCAT("Link (",Table1[[#This Row],[Distrelec]],")")))</f>
        <v/>
      </c>
      <c r="X177" s="62" t="str">
        <f>_xlfn.CONCAT("https://www.distrelec.ch/search?q=",Table1[[#This Row],[Distrelec]])</f>
        <v>https://www.distrelec.ch/search?q=</v>
      </c>
      <c r="Y177" s="57"/>
      <c r="Z177" s="59"/>
      <c r="AA177" s="61" t="str">
        <f>IF(Table1[[#This Row],[Conrad]]="","", HYPERLINK(Table1[[#This Row],[Destination - Conrad]],_xlfn.CONCAT("Link (",Table1[[#This Row],[Conrad]],")")))</f>
        <v/>
      </c>
      <c r="AB177" s="62"/>
      <c r="AC177" s="57"/>
      <c r="AD177" s="59"/>
      <c r="AE177" s="61" t="str">
        <f>IF(Table1[[#This Row],[Mouser]]="","", HYPERLINK(Table1[[#This Row],[Destination - Mouser]],_xlfn.CONCAT("Link (",Table1[[#This Row],[Mouser]],")")))</f>
        <v/>
      </c>
      <c r="AF177" s="62" t="str">
        <f>_xlfn.CONCAT("https://www.mouser.ch/ProductDetail/",Table1[[#This Row],[Mouser]])</f>
        <v>https://www.mouser.ch/ProductDetail/</v>
      </c>
      <c r="AG177" s="57"/>
      <c r="AH177" s="59"/>
      <c r="AI177" s="61" t="str">
        <f>IF(Table1[[#This Row],[Bauhaus]]="","", HYPERLINK(Table1[[#This Row],[Destination - Bauhaus]],_xlfn.CONCAT("Link (",Table1[[#This Row],[Bauhaus]],")")))</f>
        <v/>
      </c>
      <c r="AJ177" s="62" t="str">
        <f>_xlfn.CONCAT("https://www.bauhaus.ch/fr/search?query=",Table1[[#This Row],[Bauhaus]])</f>
        <v>https://www.bauhaus.ch/fr/search?query=</v>
      </c>
      <c r="AK177" s="59"/>
      <c r="AL177" s="59"/>
      <c r="AM177" s="61" t="str">
        <f>IF(Table1[[#This Row],[BricoEtLoisirs]]="","", HYPERLINK(Table1[[#This Row],[Destination - BricoEtLoisirs]],_xlfn.CONCAT("Link (",Table1[[#This Row],[BricoEtLoisirs]],")")))</f>
        <v/>
      </c>
      <c r="AN177" s="62" t="str">
        <f>_xlfn.CONCAT("https://bricoetloisirs.ch/p/",Table1[[#This Row],[BricoEtLoisirs]])</f>
        <v>https://bricoetloisirs.ch/p/</v>
      </c>
      <c r="AO177" s="57"/>
      <c r="AP177" s="59"/>
      <c r="AQ177" s="61" t="str">
        <f>IF(Table1[[#This Row],[Aliexpress]]="","", HYPERLINK(Table1[[#This Row],[Destination - Aliexpress]],_xlfn.CONCAT("Link (",Table1[[#This Row],[Aliexpress]],")")))</f>
        <v/>
      </c>
      <c r="AR177" s="62" t="str">
        <f>_xlfn.CONCAT("https://www.aliexpress.com/item/",Table1[[#This Row],[Aliexpress]],".html")</f>
        <v>https://www.aliexpress.com/item/.html</v>
      </c>
      <c r="AS177" s="57"/>
      <c r="AT177" s="59"/>
      <c r="AU177" s="61" t="str">
        <f>IF(Table1[[#This Row],[Banggood]]="","", HYPERLINK(Table1[[#This Row],[Destination - Banggood]],_xlfn.CONCAT("Link (",Table1[[#This Row],[Banggood]],")")))</f>
        <v/>
      </c>
      <c r="AV177" s="62" t="str">
        <f>_xlfn.CONCAT("https://www.banggood.com/search/",Table1[[#This Row],[Banggood]],".html")</f>
        <v>https://www.banggood.com/search/.html</v>
      </c>
      <c r="AW177" s="59" t="str">
        <f>IF(Table1[[#This Row],[Other]]&lt;&gt;"","Other","")</f>
        <v/>
      </c>
      <c r="AX177" s="57"/>
      <c r="AY177" s="59"/>
      <c r="AZ177" s="61" t="str">
        <f>IF(Table1[[#This Row],[Other]]="","",IF(Table1[[#This Row],[Destination - Other]]="","",HYPERLINK(Table1[[#This Row],[Destination - Other]],_xlfn.CONCAT("Link ("&amp;Table1[[#This Row],[Other]]&amp;")"))))</f>
        <v/>
      </c>
      <c r="BA177" s="59"/>
      <c r="BB177" s="58" t="str">
        <f>IF(AND( Table1[[#This Row],[Auto Order]]=1,Table1[[#This Row],[Obsolete]]=""),IF(Table1[[#This Row],[In stock]]&lt;Table1[[#This Row],[Min in stock]],1,""),"")</f>
        <v/>
      </c>
      <c r="BC177" s="64"/>
      <c r="BD177" s="66" t="str">
        <f>IF(Table1[[#This Row],[Obsolete]],Table1[[#This Row],[Art. Number]],"")</f>
        <v/>
      </c>
    </row>
    <row r="178" spans="1:56" x14ac:dyDescent="0.25">
      <c r="A178" s="65" t="s">
        <v>38</v>
      </c>
      <c r="B178" s="57" t="s">
        <v>1049</v>
      </c>
      <c r="C178" s="57" t="s">
        <v>1050</v>
      </c>
      <c r="D178" s="57" t="s">
        <v>1051</v>
      </c>
      <c r="E178" s="57" t="s">
        <v>1046</v>
      </c>
      <c r="F178" s="58">
        <v>1</v>
      </c>
      <c r="G178" s="58"/>
      <c r="H178" s="58"/>
      <c r="I17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PB1175CT-ND</v>
      </c>
      <c r="J17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4.88</v>
      </c>
      <c r="K17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(PB1175CT-ND)</v>
      </c>
      <c r="M178" s="57" t="s">
        <v>1052</v>
      </c>
      <c r="N178" s="59">
        <v>4.88</v>
      </c>
      <c r="O178" s="61" t="str">
        <f>IF(Table1[[#This Row],[Digikey]]="","", HYPERLINK(Table1[[#This Row],[Destination - Digikey]],_xlfn.CONCAT("Link (",Table1[[#This Row],[Digikey]],")")))</f>
        <v>Link (PB1175CT-ND)</v>
      </c>
      <c r="P178" s="62" t="str">
        <f>_xlfn.CONCAT("https://www.digikey.ch/products/en?keywords=",Table1[[#This Row],[Digikey]])</f>
        <v>https://www.digikey.ch/products/en?keywords=PB1175CT-ND</v>
      </c>
      <c r="Q178" s="57"/>
      <c r="R178" s="59"/>
      <c r="S178" s="61" t="str">
        <f>IF(Table1[[#This Row],[Farnell]]="","", HYPERLINK(Table1[[#This Row],[Destination - Farnell]],_xlfn.CONCAT("Link (",Table1[[#This Row],[Farnell]],")")))</f>
        <v/>
      </c>
      <c r="T178" s="62" t="str">
        <f>_xlfn.CONCAT("https://ch.farnell.com/fr-CH/",Table1[[#This Row],[Farnell]])</f>
        <v>https://ch.farnell.com/fr-CH/</v>
      </c>
      <c r="U178" s="57"/>
      <c r="V178" s="59"/>
      <c r="W178" s="61" t="str">
        <f>IF(Table1[[#This Row],[Distrelec]]="","", HYPERLINK(Table1[[#This Row],[Destination - Distrelec]],_xlfn.CONCAT("Link (",Table1[[#This Row],[Distrelec]],")")))</f>
        <v/>
      </c>
      <c r="X178" s="62" t="str">
        <f>_xlfn.CONCAT("https://www.distrelec.ch/search?q=",Table1[[#This Row],[Distrelec]])</f>
        <v>https://www.distrelec.ch/search?q=</v>
      </c>
      <c r="Y178" s="57"/>
      <c r="Z178" s="59"/>
      <c r="AA178" s="61" t="str">
        <f>IF(Table1[[#This Row],[Conrad]]="","", HYPERLINK(Table1[[#This Row],[Destination - Conrad]],_xlfn.CONCAT("Link (",Table1[[#This Row],[Conrad]],")")))</f>
        <v/>
      </c>
      <c r="AB178" s="62"/>
      <c r="AC178" s="57"/>
      <c r="AD178" s="59"/>
      <c r="AE178" s="61" t="str">
        <f>IF(Table1[[#This Row],[Mouser]]="","", HYPERLINK(Table1[[#This Row],[Destination - Mouser]],_xlfn.CONCAT("Link (",Table1[[#This Row],[Mouser]],")")))</f>
        <v/>
      </c>
      <c r="AF178" s="62" t="str">
        <f>_xlfn.CONCAT("https://www.mouser.ch/ProductDetail/",Table1[[#This Row],[Mouser]])</f>
        <v>https://www.mouser.ch/ProductDetail/</v>
      </c>
      <c r="AG178" s="57"/>
      <c r="AH178" s="59"/>
      <c r="AI178" s="61" t="str">
        <f>IF(Table1[[#This Row],[Bauhaus]]="","", HYPERLINK(Table1[[#This Row],[Destination - Bauhaus]],_xlfn.CONCAT("Link (",Table1[[#This Row],[Bauhaus]],")")))</f>
        <v/>
      </c>
      <c r="AJ178" s="62" t="str">
        <f>_xlfn.CONCAT("https://www.bauhaus.ch/fr/search?query=",Table1[[#This Row],[Bauhaus]])</f>
        <v>https://www.bauhaus.ch/fr/search?query=</v>
      </c>
      <c r="AK178" s="59"/>
      <c r="AL178" s="59"/>
      <c r="AM178" s="61" t="str">
        <f>IF(Table1[[#This Row],[BricoEtLoisirs]]="","", HYPERLINK(Table1[[#This Row],[Destination - BricoEtLoisirs]],_xlfn.CONCAT("Link (",Table1[[#This Row],[BricoEtLoisirs]],")")))</f>
        <v/>
      </c>
      <c r="AN178" s="62" t="str">
        <f>_xlfn.CONCAT("https://bricoetloisirs.ch/p/",Table1[[#This Row],[BricoEtLoisirs]])</f>
        <v>https://bricoetloisirs.ch/p/</v>
      </c>
      <c r="AO178" s="57"/>
      <c r="AP178" s="59"/>
      <c r="AQ178" s="61" t="str">
        <f>IF(Table1[[#This Row],[Aliexpress]]="","", HYPERLINK(Table1[[#This Row],[Destination - Aliexpress]],_xlfn.CONCAT("Link (",Table1[[#This Row],[Aliexpress]],")")))</f>
        <v/>
      </c>
      <c r="AR178" s="62" t="str">
        <f>_xlfn.CONCAT("https://www.aliexpress.com/item/",Table1[[#This Row],[Aliexpress]],".html")</f>
        <v>https://www.aliexpress.com/item/.html</v>
      </c>
      <c r="AS178" s="57"/>
      <c r="AT178" s="59"/>
      <c r="AU178" s="61" t="str">
        <f>IF(Table1[[#This Row],[Banggood]]="","", HYPERLINK(Table1[[#This Row],[Destination - Banggood]],_xlfn.CONCAT("Link (",Table1[[#This Row],[Banggood]],")")))</f>
        <v/>
      </c>
      <c r="AV178" s="62" t="str">
        <f>_xlfn.CONCAT("https://www.banggood.com/search/",Table1[[#This Row],[Banggood]],".html")</f>
        <v>https://www.banggood.com/search/.html</v>
      </c>
      <c r="AW178" s="59" t="str">
        <f>IF(Table1[[#This Row],[Other]]&lt;&gt;"","Other","")</f>
        <v/>
      </c>
      <c r="AX178" s="57"/>
      <c r="AY178" s="59"/>
      <c r="AZ178" s="61" t="str">
        <f>IF(Table1[[#This Row],[Other]]="","",IF(Table1[[#This Row],[Destination - Other]]="","",HYPERLINK(Table1[[#This Row],[Destination - Other]],_xlfn.CONCAT("Link ("&amp;Table1[[#This Row],[Other]]&amp;")"))))</f>
        <v/>
      </c>
      <c r="BA178" s="59"/>
      <c r="BB178" s="58" t="str">
        <f>IF(AND( Table1[[#This Row],[Auto Order]]=1,Table1[[#This Row],[Obsolete]]=""),IF(Table1[[#This Row],[In stock]]&lt;Table1[[#This Row],[Min in stock]],1,""),"")</f>
        <v/>
      </c>
      <c r="BC178" s="64"/>
      <c r="BD178" s="66" t="str">
        <f>IF(Table1[[#This Row],[Obsolete]],Table1[[#This Row],[Art. Number]],"")</f>
        <v/>
      </c>
    </row>
    <row r="179" spans="1:56" x14ac:dyDescent="0.25">
      <c r="A179" s="65" t="s">
        <v>220</v>
      </c>
      <c r="B179" s="57" t="s">
        <v>1043</v>
      </c>
      <c r="C179" s="57" t="s">
        <v>1044</v>
      </c>
      <c r="D179" s="57" t="s">
        <v>1054</v>
      </c>
      <c r="E179" s="57" t="s">
        <v>1046</v>
      </c>
      <c r="F179" s="58">
        <v>1</v>
      </c>
      <c r="G179" s="58"/>
      <c r="H179" s="58"/>
      <c r="I17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Z3815-ND</v>
      </c>
      <c r="J17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3.89</v>
      </c>
      <c r="K17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7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(Z3815-ND)</v>
      </c>
      <c r="M179" s="57" t="s">
        <v>1055</v>
      </c>
      <c r="N179" s="59">
        <v>3.89</v>
      </c>
      <c r="O179" s="61" t="str">
        <f>IF(Table1[[#This Row],[Digikey]]="","", HYPERLINK(Table1[[#This Row],[Destination - Digikey]],_xlfn.CONCAT("Link (",Table1[[#This Row],[Digikey]],")")))</f>
        <v>Link (Z3815-ND)</v>
      </c>
      <c r="P179" s="62" t="str">
        <f>_xlfn.CONCAT("https://www.digikey.ch/products/en?keywords=",Table1[[#This Row],[Digikey]])</f>
        <v>https://www.digikey.ch/products/en?keywords=Z3815-ND</v>
      </c>
      <c r="Q179" s="57"/>
      <c r="R179" s="59"/>
      <c r="S179" s="61" t="str">
        <f>IF(Table1[[#This Row],[Farnell]]="","", HYPERLINK(Table1[[#This Row],[Destination - Farnell]],_xlfn.CONCAT("Link (",Table1[[#This Row],[Farnell]],")")))</f>
        <v/>
      </c>
      <c r="T179" s="62" t="str">
        <f>_xlfn.CONCAT("https://ch.farnell.com/fr-CH/",Table1[[#This Row],[Farnell]])</f>
        <v>https://ch.farnell.com/fr-CH/</v>
      </c>
      <c r="U179" s="57"/>
      <c r="V179" s="59"/>
      <c r="W179" s="61" t="str">
        <f>IF(Table1[[#This Row],[Distrelec]]="","", HYPERLINK(Table1[[#This Row],[Destination - Distrelec]],_xlfn.CONCAT("Link (",Table1[[#This Row],[Distrelec]],")")))</f>
        <v/>
      </c>
      <c r="X179" s="62" t="str">
        <f>_xlfn.CONCAT("https://www.distrelec.ch/search?q=",Table1[[#This Row],[Distrelec]])</f>
        <v>https://www.distrelec.ch/search?q=</v>
      </c>
      <c r="Y179" s="57"/>
      <c r="Z179" s="59"/>
      <c r="AA179" s="61" t="str">
        <f>IF(Table1[[#This Row],[Conrad]]="","", HYPERLINK(Table1[[#This Row],[Destination - Conrad]],_xlfn.CONCAT("Link (",Table1[[#This Row],[Conrad]],")")))</f>
        <v/>
      </c>
      <c r="AB179" s="62"/>
      <c r="AC179" s="57"/>
      <c r="AD179" s="59"/>
      <c r="AE179" s="61" t="str">
        <f>IF(Table1[[#This Row],[Mouser]]="","", HYPERLINK(Table1[[#This Row],[Destination - Mouser]],_xlfn.CONCAT("Link (",Table1[[#This Row],[Mouser]],")")))</f>
        <v/>
      </c>
      <c r="AF179" s="62" t="str">
        <f>_xlfn.CONCAT("https://www.mouser.ch/ProductDetail/",Table1[[#This Row],[Mouser]])</f>
        <v>https://www.mouser.ch/ProductDetail/</v>
      </c>
      <c r="AG179" s="57"/>
      <c r="AH179" s="59"/>
      <c r="AI179" s="61" t="str">
        <f>IF(Table1[[#This Row],[Bauhaus]]="","", HYPERLINK(Table1[[#This Row],[Destination - Bauhaus]],_xlfn.CONCAT("Link (",Table1[[#This Row],[Bauhaus]],")")))</f>
        <v/>
      </c>
      <c r="AJ179" s="62" t="str">
        <f>_xlfn.CONCAT("https://www.bauhaus.ch/fr/search?query=",Table1[[#This Row],[Bauhaus]])</f>
        <v>https://www.bauhaus.ch/fr/search?query=</v>
      </c>
      <c r="AK179" s="59"/>
      <c r="AL179" s="59"/>
      <c r="AM179" s="61" t="str">
        <f>IF(Table1[[#This Row],[BricoEtLoisirs]]="","", HYPERLINK(Table1[[#This Row],[Destination - BricoEtLoisirs]],_xlfn.CONCAT("Link (",Table1[[#This Row],[BricoEtLoisirs]],")")))</f>
        <v/>
      </c>
      <c r="AN179" s="62" t="str">
        <f>_xlfn.CONCAT("https://bricoetloisirs.ch/p/",Table1[[#This Row],[BricoEtLoisirs]])</f>
        <v>https://bricoetloisirs.ch/p/</v>
      </c>
      <c r="AO179" s="57"/>
      <c r="AP179" s="59"/>
      <c r="AQ179" s="61" t="str">
        <f>IF(Table1[[#This Row],[Aliexpress]]="","", HYPERLINK(Table1[[#This Row],[Destination - Aliexpress]],_xlfn.CONCAT("Link (",Table1[[#This Row],[Aliexpress]],")")))</f>
        <v/>
      </c>
      <c r="AR179" s="62" t="str">
        <f>_xlfn.CONCAT("https://www.aliexpress.com/item/",Table1[[#This Row],[Aliexpress]],".html")</f>
        <v>https://www.aliexpress.com/item/.html</v>
      </c>
      <c r="AS179" s="57"/>
      <c r="AT179" s="59"/>
      <c r="AU179" s="61" t="str">
        <f>IF(Table1[[#This Row],[Banggood]]="","", HYPERLINK(Table1[[#This Row],[Destination - Banggood]],_xlfn.CONCAT("Link (",Table1[[#This Row],[Banggood]],")")))</f>
        <v/>
      </c>
      <c r="AV179" s="62" t="str">
        <f>_xlfn.CONCAT("https://www.banggood.com/search/",Table1[[#This Row],[Banggood]],".html")</f>
        <v>https://www.banggood.com/search/.html</v>
      </c>
      <c r="AW179" s="59" t="str">
        <f>IF(Table1[[#This Row],[Other]]&lt;&gt;"","Other","")</f>
        <v/>
      </c>
      <c r="AX179" s="57"/>
      <c r="AY179" s="59"/>
      <c r="AZ179" s="61" t="str">
        <f>IF(Table1[[#This Row],[Other]]="","",IF(Table1[[#This Row],[Destination - Other]]="","",HYPERLINK(Table1[[#This Row],[Destination - Other]],_xlfn.CONCAT("Link ("&amp;Table1[[#This Row],[Other]]&amp;")"))))</f>
        <v/>
      </c>
      <c r="BA179" s="59"/>
      <c r="BB179" s="58" t="str">
        <f>IF(AND( Table1[[#This Row],[Auto Order]]=1,Table1[[#This Row],[Obsolete]]=""),IF(Table1[[#This Row],[In stock]]&lt;Table1[[#This Row],[Min in stock]],1,""),"")</f>
        <v/>
      </c>
      <c r="BC179" s="64"/>
      <c r="BD179" s="66" t="str">
        <f>IF(Table1[[#This Row],[Obsolete]],Table1[[#This Row],[Art. Number]],"")</f>
        <v/>
      </c>
    </row>
    <row r="180" spans="1:56" x14ac:dyDescent="0.25">
      <c r="A180" s="69" t="s">
        <v>178</v>
      </c>
      <c r="B180" s="57" t="s">
        <v>168</v>
      </c>
      <c r="C180" s="57" t="s">
        <v>97</v>
      </c>
      <c r="D180" s="57" t="s">
        <v>179</v>
      </c>
      <c r="E180" s="57" t="s">
        <v>151</v>
      </c>
      <c r="F180" s="58">
        <v>0</v>
      </c>
      <c r="G180" s="58"/>
      <c r="H180" s="58"/>
      <c r="I18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RHM1.00KADCT-ND</v>
      </c>
      <c r="J18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18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(RHM1.00KADCT-ND)</v>
      </c>
      <c r="M180" s="57" t="s">
        <v>177</v>
      </c>
      <c r="N180" s="59">
        <v>0.13</v>
      </c>
      <c r="O180" s="61" t="str">
        <f>IF(Table1[[#This Row],[Digikey]]="","", HYPERLINK(Table1[[#This Row],[Destination - Digikey]],_xlfn.CONCAT("Link (",Table1[[#This Row],[Digikey]],")")))</f>
        <v>Link (RHM1.00KADCT-ND)</v>
      </c>
      <c r="P180" s="62" t="str">
        <f>_xlfn.CONCAT("https://www.digikey.ch/products/en?keywords=",Table1[[#This Row],[Digikey]])</f>
        <v>https://www.digikey.ch/products/en?keywords=RHM1.00KADCT-ND</v>
      </c>
      <c r="Q180" s="57"/>
      <c r="R180" s="59"/>
      <c r="S180" s="61" t="str">
        <f>IF(Table1[[#This Row],[Farnell]]="","", HYPERLINK(Table1[[#This Row],[Destination - Farnell]],_xlfn.CONCAT("Link (",Table1[[#This Row],[Farnell]],")")))</f>
        <v/>
      </c>
      <c r="T180" s="62" t="str">
        <f>_xlfn.CONCAT("https://ch.farnell.com/fr-CH/",Table1[[#This Row],[Farnell]])</f>
        <v>https://ch.farnell.com/fr-CH/</v>
      </c>
      <c r="U180" s="57"/>
      <c r="V180" s="59"/>
      <c r="W180" s="61" t="str">
        <f>IF(Table1[[#This Row],[Distrelec]]="","", HYPERLINK(Table1[[#This Row],[Destination - Distrelec]],_xlfn.CONCAT("Link (",Table1[[#This Row],[Distrelec]],")")))</f>
        <v/>
      </c>
      <c r="X180" s="62" t="str">
        <f>_xlfn.CONCAT("https://www.distrelec.ch/search?q=",Table1[[#This Row],[Distrelec]])</f>
        <v>https://www.distrelec.ch/search?q=</v>
      </c>
      <c r="Y180" s="57"/>
      <c r="Z180" s="59"/>
      <c r="AA180" s="61" t="str">
        <f>IF(Table1[[#This Row],[Conrad]]="","", HYPERLINK(Table1[[#This Row],[Destination - Conrad]],_xlfn.CONCAT("Link (",Table1[[#This Row],[Conrad]],")")))</f>
        <v/>
      </c>
      <c r="AB180" s="62"/>
      <c r="AC180" s="57"/>
      <c r="AD180" s="59"/>
      <c r="AE180" s="61" t="str">
        <f>IF(Table1[[#This Row],[Mouser]]="","", HYPERLINK(Table1[[#This Row],[Destination - Mouser]],_xlfn.CONCAT("Link (",Table1[[#This Row],[Mouser]],")")))</f>
        <v/>
      </c>
      <c r="AF180" s="62" t="str">
        <f>_xlfn.CONCAT("https://www.mouser.ch/ProductDetail/",Table1[[#This Row],[Mouser]])</f>
        <v>https://www.mouser.ch/ProductDetail/</v>
      </c>
      <c r="AG180" s="57"/>
      <c r="AH180" s="59"/>
      <c r="AI180" s="61" t="str">
        <f>IF(Table1[[#This Row],[Bauhaus]]="","", HYPERLINK(Table1[[#This Row],[Destination - Bauhaus]],_xlfn.CONCAT("Link (",Table1[[#This Row],[Bauhaus]],")")))</f>
        <v/>
      </c>
      <c r="AJ180" s="62" t="str">
        <f>_xlfn.CONCAT("https://www.bauhaus.ch/fr/search?query=",Table1[[#This Row],[Bauhaus]])</f>
        <v>https://www.bauhaus.ch/fr/search?query=</v>
      </c>
      <c r="AK180" s="59"/>
      <c r="AL180" s="59"/>
      <c r="AM180" s="61" t="str">
        <f>IF(Table1[[#This Row],[BricoEtLoisirs]]="","", HYPERLINK(Table1[[#This Row],[Destination - BricoEtLoisirs]],_xlfn.CONCAT("Link (",Table1[[#This Row],[BricoEtLoisirs]],")")))</f>
        <v/>
      </c>
      <c r="AN180" s="62" t="str">
        <f>_xlfn.CONCAT("https://bricoetloisirs.ch/p/",Table1[[#This Row],[BricoEtLoisirs]])</f>
        <v>https://bricoetloisirs.ch/p/</v>
      </c>
      <c r="AO180" s="57"/>
      <c r="AP180" s="59"/>
      <c r="AQ180" s="61" t="str">
        <f>IF(Table1[[#This Row],[Aliexpress]]="","", HYPERLINK(Table1[[#This Row],[Destination - Aliexpress]],_xlfn.CONCAT("Link (",Table1[[#This Row],[Aliexpress]],")")))</f>
        <v/>
      </c>
      <c r="AR180" s="62" t="str">
        <f>_xlfn.CONCAT("https://www.aliexpress.com/item/",Table1[[#This Row],[Aliexpress]],".html")</f>
        <v>https://www.aliexpress.com/item/.html</v>
      </c>
      <c r="AS180" s="57"/>
      <c r="AT180" s="59">
        <v>0.505</v>
      </c>
      <c r="AU180" s="61" t="str">
        <f>IF(Table1[[#This Row],[Banggood]]="","", HYPERLINK(Table1[[#This Row],[Destination - Banggood]],_xlfn.CONCAT("Link (",Table1[[#This Row],[Banggood]],")")))</f>
        <v/>
      </c>
      <c r="AV180" s="62" t="str">
        <f>_xlfn.CONCAT("https://www.banggood.com/search/",Table1[[#This Row],[Banggood]],".html")</f>
        <v>https://www.banggood.com/search/.html</v>
      </c>
      <c r="AW180" s="59"/>
      <c r="AX180" s="57"/>
      <c r="AY180" s="59"/>
      <c r="AZ180" s="61" t="str">
        <f>IF(Table1[[#This Row],[Other]]="","",IF(Table1[[#This Row],[Destination - Other]]="","",HYPERLINK(Table1[[#This Row],[Destination - Other]],_xlfn.CONCAT("Link ("&amp;Table1[[#This Row],[Other]]&amp;")"))))</f>
        <v/>
      </c>
      <c r="BA180" s="59"/>
      <c r="BB180" s="63" t="str">
        <f>IF(AND( Table1[[#This Row],[Auto Order]]=1,Table1[[#This Row],[Obsolete]]=""),IF(Table1[[#This Row],[In stock]]&lt;Table1[[#This Row],[Min in stock]],1,""),"")</f>
        <v/>
      </c>
      <c r="BC180" s="64"/>
      <c r="BD180" s="64" t="str">
        <f>IF(Table1[[#This Row],[Obsolete]],Table1[[#This Row],[Art. Number]],"")</f>
        <v/>
      </c>
    </row>
    <row r="181" spans="1:56" x14ac:dyDescent="0.25">
      <c r="A181" s="65" t="s">
        <v>1063</v>
      </c>
      <c r="B181" s="57" t="s">
        <v>1064</v>
      </c>
      <c r="C181" s="57" t="s">
        <v>1065</v>
      </c>
      <c r="D181" s="57" t="s">
        <v>1066</v>
      </c>
      <c r="E181" s="57" t="s">
        <v>151</v>
      </c>
      <c r="F181" s="58">
        <v>99</v>
      </c>
      <c r="G181" s="58"/>
      <c r="H181" s="58"/>
      <c r="I18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541-3979-1-ND</v>
      </c>
      <c r="J18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4.8000000000000001E-2</v>
      </c>
      <c r="K18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(541-3979-1-ND)</v>
      </c>
      <c r="M181" s="57" t="s">
        <v>1067</v>
      </c>
      <c r="N181" s="59">
        <v>4.8000000000000001E-2</v>
      </c>
      <c r="O181" s="61" t="str">
        <f>IF(Table1[[#This Row],[Digikey]]="","", HYPERLINK(Table1[[#This Row],[Destination - Digikey]],_xlfn.CONCAT("Link (",Table1[[#This Row],[Digikey]],")")))</f>
        <v>Link (541-3979-1-ND)</v>
      </c>
      <c r="P181" s="62" t="str">
        <f>_xlfn.CONCAT("https://www.digikey.ch/products/en?keywords=",Table1[[#This Row],[Digikey]])</f>
        <v>https://www.digikey.ch/products/en?keywords=541-3979-1-ND</v>
      </c>
      <c r="Q181" s="57"/>
      <c r="R181" s="59"/>
      <c r="S181" s="61" t="str">
        <f>IF(Table1[[#This Row],[Farnell]]="","", HYPERLINK(Table1[[#This Row],[Destination - Farnell]],_xlfn.CONCAT("Link (",Table1[[#This Row],[Farnell]],")")))</f>
        <v/>
      </c>
      <c r="T181" s="62" t="str">
        <f>_xlfn.CONCAT("https://ch.farnell.com/fr-CH/",Table1[[#This Row],[Farnell]])</f>
        <v>https://ch.farnell.com/fr-CH/</v>
      </c>
      <c r="U181" s="57"/>
      <c r="V181" s="59"/>
      <c r="W181" s="61" t="str">
        <f>IF(Table1[[#This Row],[Distrelec]]="","", HYPERLINK(Table1[[#This Row],[Destination - Distrelec]],_xlfn.CONCAT("Link (",Table1[[#This Row],[Distrelec]],")")))</f>
        <v/>
      </c>
      <c r="X181" s="62" t="str">
        <f>_xlfn.CONCAT("https://www.distrelec.ch/search?q=",Table1[[#This Row],[Distrelec]])</f>
        <v>https://www.distrelec.ch/search?q=</v>
      </c>
      <c r="Y181" s="57"/>
      <c r="Z181" s="59"/>
      <c r="AA181" s="61" t="str">
        <f>IF(Table1[[#This Row],[Conrad]]="","", HYPERLINK(Table1[[#This Row],[Destination - Conrad]],_xlfn.CONCAT("Link (",Table1[[#This Row],[Conrad]],")")))</f>
        <v/>
      </c>
      <c r="AB181" s="62"/>
      <c r="AC181" s="57"/>
      <c r="AD181" s="59"/>
      <c r="AE181" s="61" t="str">
        <f>IF(Table1[[#This Row],[Mouser]]="","", HYPERLINK(Table1[[#This Row],[Destination - Mouser]],_xlfn.CONCAT("Link (",Table1[[#This Row],[Mouser]],")")))</f>
        <v/>
      </c>
      <c r="AF181" s="62" t="str">
        <f>_xlfn.CONCAT("https://www.mouser.ch/ProductDetail/",Table1[[#This Row],[Mouser]])</f>
        <v>https://www.mouser.ch/ProductDetail/</v>
      </c>
      <c r="AG181" s="57"/>
      <c r="AH181" s="59"/>
      <c r="AI181" s="61" t="str">
        <f>IF(Table1[[#This Row],[Bauhaus]]="","", HYPERLINK(Table1[[#This Row],[Destination - Bauhaus]],_xlfn.CONCAT("Link (",Table1[[#This Row],[Bauhaus]],")")))</f>
        <v/>
      </c>
      <c r="AJ181" s="62" t="str">
        <f>_xlfn.CONCAT("https://www.bauhaus.ch/fr/search?query=",Table1[[#This Row],[Bauhaus]])</f>
        <v>https://www.bauhaus.ch/fr/search?query=</v>
      </c>
      <c r="AK181" s="59"/>
      <c r="AL181" s="59"/>
      <c r="AM181" s="61" t="str">
        <f>IF(Table1[[#This Row],[BricoEtLoisirs]]="","", HYPERLINK(Table1[[#This Row],[Destination - BricoEtLoisirs]],_xlfn.CONCAT("Link (",Table1[[#This Row],[BricoEtLoisirs]],")")))</f>
        <v/>
      </c>
      <c r="AN181" s="62" t="str">
        <f>_xlfn.CONCAT("https://bricoetloisirs.ch/p/",Table1[[#This Row],[BricoEtLoisirs]])</f>
        <v>https://bricoetloisirs.ch/p/</v>
      </c>
      <c r="AO181" s="57"/>
      <c r="AP181" s="59"/>
      <c r="AQ181" s="61" t="str">
        <f>IF(Table1[[#This Row],[Aliexpress]]="","", HYPERLINK(Table1[[#This Row],[Destination - Aliexpress]],_xlfn.CONCAT("Link (",Table1[[#This Row],[Aliexpress]],")")))</f>
        <v/>
      </c>
      <c r="AR181" s="62" t="str">
        <f>_xlfn.CONCAT("https://www.aliexpress.com/item/",Table1[[#This Row],[Aliexpress]],".html")</f>
        <v>https://www.aliexpress.com/item/.html</v>
      </c>
      <c r="AS181" s="57"/>
      <c r="AT181" s="59"/>
      <c r="AU181" s="61" t="str">
        <f>IF(Table1[[#This Row],[Banggood]]="","", HYPERLINK(Table1[[#This Row],[Destination - Banggood]],_xlfn.CONCAT("Link (",Table1[[#This Row],[Banggood]],")")))</f>
        <v/>
      </c>
      <c r="AV181" s="62" t="str">
        <f>_xlfn.CONCAT("https://www.banggood.com/search/",Table1[[#This Row],[Banggood]],".html")</f>
        <v>https://www.banggood.com/search/.html</v>
      </c>
      <c r="AW181" s="59" t="str">
        <f>IF(Table1[[#This Row],[Other]]&lt;&gt;"","Other","")</f>
        <v/>
      </c>
      <c r="AX181" s="57"/>
      <c r="AY181" s="59"/>
      <c r="AZ181" s="61" t="str">
        <f>IF(Table1[[#This Row],[Other]]="","",IF(Table1[[#This Row],[Destination - Other]]="","",HYPERLINK(Table1[[#This Row],[Destination - Other]],_xlfn.CONCAT("Link ("&amp;Table1[[#This Row],[Other]]&amp;")"))))</f>
        <v/>
      </c>
      <c r="BA181" s="59"/>
      <c r="BB181" s="58" t="str">
        <f>IF(AND( Table1[[#This Row],[Auto Order]]=1,Table1[[#This Row],[Obsolete]]=""),IF(Table1[[#This Row],[In stock]]&lt;Table1[[#This Row],[Min in stock]],1,""),"")</f>
        <v/>
      </c>
      <c r="BC181" s="64"/>
      <c r="BD181" s="66" t="str">
        <f>IF(Table1[[#This Row],[Obsolete]],Table1[[#This Row],[Art. Number]],"")</f>
        <v/>
      </c>
    </row>
    <row r="182" spans="1:56" x14ac:dyDescent="0.25">
      <c r="A182" s="65" t="s">
        <v>53</v>
      </c>
      <c r="B182" s="57" t="s">
        <v>1064</v>
      </c>
      <c r="C182" s="57" t="s">
        <v>1069</v>
      </c>
      <c r="D182" s="57" t="s">
        <v>1070</v>
      </c>
      <c r="E182" s="57" t="s">
        <v>151</v>
      </c>
      <c r="F182" s="58">
        <v>91</v>
      </c>
      <c r="G182" s="58"/>
      <c r="H182" s="58"/>
      <c r="I18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541-4131-1-ND</v>
      </c>
      <c r="J18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0.02</v>
      </c>
      <c r="K18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(541-4131-1-ND)</v>
      </c>
      <c r="M182" s="57" t="s">
        <v>1071</v>
      </c>
      <c r="N182" s="59">
        <v>0.02</v>
      </c>
      <c r="O182" s="61" t="str">
        <f>IF(Table1[[#This Row],[Digikey]]="","", HYPERLINK(Table1[[#This Row],[Destination - Digikey]],_xlfn.CONCAT("Link (",Table1[[#This Row],[Digikey]],")")))</f>
        <v>Link (541-4131-1-ND)</v>
      </c>
      <c r="P182" s="62" t="str">
        <f>_xlfn.CONCAT("https://www.digikey.ch/products/en?keywords=",Table1[[#This Row],[Digikey]])</f>
        <v>https://www.digikey.ch/products/en?keywords=541-4131-1-ND</v>
      </c>
      <c r="Q182" s="57"/>
      <c r="R182" s="59"/>
      <c r="S182" s="61" t="str">
        <f>IF(Table1[[#This Row],[Farnell]]="","", HYPERLINK(Table1[[#This Row],[Destination - Farnell]],_xlfn.CONCAT("Link (",Table1[[#This Row],[Farnell]],")")))</f>
        <v/>
      </c>
      <c r="T182" s="62" t="str">
        <f>_xlfn.CONCAT("https://ch.farnell.com/fr-CH/",Table1[[#This Row],[Farnell]])</f>
        <v>https://ch.farnell.com/fr-CH/</v>
      </c>
      <c r="U182" s="57"/>
      <c r="V182" s="59"/>
      <c r="W182" s="61" t="str">
        <f>IF(Table1[[#This Row],[Distrelec]]="","", HYPERLINK(Table1[[#This Row],[Destination - Distrelec]],_xlfn.CONCAT("Link (",Table1[[#This Row],[Distrelec]],")")))</f>
        <v/>
      </c>
      <c r="X182" s="62" t="str">
        <f>_xlfn.CONCAT("https://www.distrelec.ch/search?q=",Table1[[#This Row],[Distrelec]])</f>
        <v>https://www.distrelec.ch/search?q=</v>
      </c>
      <c r="Y182" s="57"/>
      <c r="Z182" s="59"/>
      <c r="AA182" s="61" t="str">
        <f>IF(Table1[[#This Row],[Conrad]]="","", HYPERLINK(Table1[[#This Row],[Destination - Conrad]],_xlfn.CONCAT("Link (",Table1[[#This Row],[Conrad]],")")))</f>
        <v/>
      </c>
      <c r="AB182" s="62"/>
      <c r="AC182" s="57"/>
      <c r="AD182" s="59"/>
      <c r="AE182" s="61" t="str">
        <f>IF(Table1[[#This Row],[Mouser]]="","", HYPERLINK(Table1[[#This Row],[Destination - Mouser]],_xlfn.CONCAT("Link (",Table1[[#This Row],[Mouser]],")")))</f>
        <v/>
      </c>
      <c r="AF182" s="62" t="str">
        <f>_xlfn.CONCAT("https://www.mouser.ch/ProductDetail/",Table1[[#This Row],[Mouser]])</f>
        <v>https://www.mouser.ch/ProductDetail/</v>
      </c>
      <c r="AG182" s="57"/>
      <c r="AH182" s="59"/>
      <c r="AI182" s="61" t="str">
        <f>IF(Table1[[#This Row],[Bauhaus]]="","", HYPERLINK(Table1[[#This Row],[Destination - Bauhaus]],_xlfn.CONCAT("Link (",Table1[[#This Row],[Bauhaus]],")")))</f>
        <v/>
      </c>
      <c r="AJ182" s="62" t="str">
        <f>_xlfn.CONCAT("https://www.bauhaus.ch/fr/search?query=",Table1[[#This Row],[Bauhaus]])</f>
        <v>https://www.bauhaus.ch/fr/search?query=</v>
      </c>
      <c r="AK182" s="59"/>
      <c r="AL182" s="59"/>
      <c r="AM182" s="61" t="str">
        <f>IF(Table1[[#This Row],[BricoEtLoisirs]]="","", HYPERLINK(Table1[[#This Row],[Destination - BricoEtLoisirs]],_xlfn.CONCAT("Link (",Table1[[#This Row],[BricoEtLoisirs]],")")))</f>
        <v/>
      </c>
      <c r="AN182" s="62" t="str">
        <f>_xlfn.CONCAT("https://bricoetloisirs.ch/p/",Table1[[#This Row],[BricoEtLoisirs]])</f>
        <v>https://bricoetloisirs.ch/p/</v>
      </c>
      <c r="AO182" s="57"/>
      <c r="AP182" s="59"/>
      <c r="AQ182" s="61" t="str">
        <f>IF(Table1[[#This Row],[Aliexpress]]="","", HYPERLINK(Table1[[#This Row],[Destination - Aliexpress]],_xlfn.CONCAT("Link (",Table1[[#This Row],[Aliexpress]],")")))</f>
        <v/>
      </c>
      <c r="AR182" s="62" t="str">
        <f>_xlfn.CONCAT("https://www.aliexpress.com/item/",Table1[[#This Row],[Aliexpress]],".html")</f>
        <v>https://www.aliexpress.com/item/.html</v>
      </c>
      <c r="AS182" s="57"/>
      <c r="AT182" s="59"/>
      <c r="AU182" s="61" t="str">
        <f>IF(Table1[[#This Row],[Banggood]]="","", HYPERLINK(Table1[[#This Row],[Destination - Banggood]],_xlfn.CONCAT("Link (",Table1[[#This Row],[Banggood]],")")))</f>
        <v/>
      </c>
      <c r="AV182" s="62" t="str">
        <f>_xlfn.CONCAT("https://www.banggood.com/search/",Table1[[#This Row],[Banggood]],".html")</f>
        <v>https://www.banggood.com/search/.html</v>
      </c>
      <c r="AW182" s="59" t="str">
        <f>IF(Table1[[#This Row],[Other]]&lt;&gt;"","Other","")</f>
        <v/>
      </c>
      <c r="AX182" s="57"/>
      <c r="AY182" s="59"/>
      <c r="AZ182" s="61" t="str">
        <f>IF(Table1[[#This Row],[Other]]="","",IF(Table1[[#This Row],[Destination - Other]]="","",HYPERLINK(Table1[[#This Row],[Destination - Other]],_xlfn.CONCAT("Link ("&amp;Table1[[#This Row],[Other]]&amp;")"))))</f>
        <v/>
      </c>
      <c r="BA182" s="59"/>
      <c r="BB182" s="58" t="str">
        <f>IF(AND( Table1[[#This Row],[Auto Order]]=1,Table1[[#This Row],[Obsolete]]=""),IF(Table1[[#This Row],[In stock]]&lt;Table1[[#This Row],[Min in stock]],1,""),"")</f>
        <v/>
      </c>
      <c r="BC182" s="64"/>
      <c r="BD182" s="66" t="str">
        <f>IF(Table1[[#This Row],[Obsolete]],Table1[[#This Row],[Art. Number]],"")</f>
        <v/>
      </c>
    </row>
    <row r="183" spans="1:56" x14ac:dyDescent="0.25">
      <c r="A183" s="65" t="s">
        <v>1073</v>
      </c>
      <c r="B183" s="57" t="s">
        <v>1064</v>
      </c>
      <c r="C183" s="57" t="s">
        <v>97</v>
      </c>
      <c r="D183" s="57" t="s">
        <v>1074</v>
      </c>
      <c r="E183" s="57" t="s">
        <v>151</v>
      </c>
      <c r="F183" s="58">
        <v>0</v>
      </c>
      <c r="G183" s="58"/>
      <c r="H183" s="58"/>
      <c r="I18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541-1.00KUCT-ND</v>
      </c>
      <c r="J18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0.48</v>
      </c>
      <c r="K18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(541-1.00KUCT-ND)</v>
      </c>
      <c r="M183" s="57" t="s">
        <v>1075</v>
      </c>
      <c r="N183" s="59">
        <v>0.48</v>
      </c>
      <c r="O183" s="61" t="str">
        <f>IF(Table1[[#This Row],[Digikey]]="","", HYPERLINK(Table1[[#This Row],[Destination - Digikey]],_xlfn.CONCAT("Link (",Table1[[#This Row],[Digikey]],")")))</f>
        <v>Link (541-1.00KUCT-ND)</v>
      </c>
      <c r="P183" s="62" t="str">
        <f>_xlfn.CONCAT("https://www.digikey.ch/products/en?keywords=",Table1[[#This Row],[Digikey]])</f>
        <v>https://www.digikey.ch/products/en?keywords=541-1.00KUCT-ND</v>
      </c>
      <c r="Q183" s="57"/>
      <c r="R183" s="59"/>
      <c r="S183" s="61" t="str">
        <f>IF(Table1[[#This Row],[Farnell]]="","", HYPERLINK(Table1[[#This Row],[Destination - Farnell]],_xlfn.CONCAT("Link (",Table1[[#This Row],[Farnell]],")")))</f>
        <v/>
      </c>
      <c r="T183" s="62" t="str">
        <f>_xlfn.CONCAT("https://ch.farnell.com/fr-CH/",Table1[[#This Row],[Farnell]])</f>
        <v>https://ch.farnell.com/fr-CH/</v>
      </c>
      <c r="U183" s="57"/>
      <c r="V183" s="59"/>
      <c r="W183" s="61" t="str">
        <f>IF(Table1[[#This Row],[Distrelec]]="","", HYPERLINK(Table1[[#This Row],[Destination - Distrelec]],_xlfn.CONCAT("Link (",Table1[[#This Row],[Distrelec]],")")))</f>
        <v/>
      </c>
      <c r="X183" s="62" t="str">
        <f>_xlfn.CONCAT("https://www.distrelec.ch/search?q=",Table1[[#This Row],[Distrelec]])</f>
        <v>https://www.distrelec.ch/search?q=</v>
      </c>
      <c r="Y183" s="57"/>
      <c r="Z183" s="59"/>
      <c r="AA183" s="61" t="str">
        <f>IF(Table1[[#This Row],[Conrad]]="","", HYPERLINK(Table1[[#This Row],[Destination - Conrad]],_xlfn.CONCAT("Link (",Table1[[#This Row],[Conrad]],")")))</f>
        <v/>
      </c>
      <c r="AB183" s="62"/>
      <c r="AC183" s="57"/>
      <c r="AD183" s="59"/>
      <c r="AE183" s="61" t="str">
        <f>IF(Table1[[#This Row],[Mouser]]="","", HYPERLINK(Table1[[#This Row],[Destination - Mouser]],_xlfn.CONCAT("Link (",Table1[[#This Row],[Mouser]],")")))</f>
        <v/>
      </c>
      <c r="AF183" s="62" t="str">
        <f>_xlfn.CONCAT("https://www.mouser.ch/ProductDetail/",Table1[[#This Row],[Mouser]])</f>
        <v>https://www.mouser.ch/ProductDetail/</v>
      </c>
      <c r="AG183" s="57"/>
      <c r="AH183" s="59"/>
      <c r="AI183" s="61" t="str">
        <f>IF(Table1[[#This Row],[Bauhaus]]="","", HYPERLINK(Table1[[#This Row],[Destination - Bauhaus]],_xlfn.CONCAT("Link (",Table1[[#This Row],[Bauhaus]],")")))</f>
        <v/>
      </c>
      <c r="AJ183" s="62" t="str">
        <f>_xlfn.CONCAT("https://www.bauhaus.ch/fr/search?query=",Table1[[#This Row],[Bauhaus]])</f>
        <v>https://www.bauhaus.ch/fr/search?query=</v>
      </c>
      <c r="AK183" s="59"/>
      <c r="AL183" s="59"/>
      <c r="AM183" s="61" t="str">
        <f>IF(Table1[[#This Row],[BricoEtLoisirs]]="","", HYPERLINK(Table1[[#This Row],[Destination - BricoEtLoisirs]],_xlfn.CONCAT("Link (",Table1[[#This Row],[BricoEtLoisirs]],")")))</f>
        <v/>
      </c>
      <c r="AN183" s="62" t="str">
        <f>_xlfn.CONCAT("https://bricoetloisirs.ch/p/",Table1[[#This Row],[BricoEtLoisirs]])</f>
        <v>https://bricoetloisirs.ch/p/</v>
      </c>
      <c r="AO183" s="57"/>
      <c r="AP183" s="59"/>
      <c r="AQ183" s="61" t="str">
        <f>IF(Table1[[#This Row],[Aliexpress]]="","", HYPERLINK(Table1[[#This Row],[Destination - Aliexpress]],_xlfn.CONCAT("Link (",Table1[[#This Row],[Aliexpress]],")")))</f>
        <v/>
      </c>
      <c r="AR183" s="62" t="str">
        <f>_xlfn.CONCAT("https://www.aliexpress.com/item/",Table1[[#This Row],[Aliexpress]],".html")</f>
        <v>https://www.aliexpress.com/item/.html</v>
      </c>
      <c r="AS183" s="57"/>
      <c r="AT183" s="59"/>
      <c r="AU183" s="61" t="str">
        <f>IF(Table1[[#This Row],[Banggood]]="","", HYPERLINK(Table1[[#This Row],[Destination - Banggood]],_xlfn.CONCAT("Link (",Table1[[#This Row],[Banggood]],")")))</f>
        <v/>
      </c>
      <c r="AV183" s="62" t="str">
        <f>_xlfn.CONCAT("https://www.banggood.com/search/",Table1[[#This Row],[Banggood]],".html")</f>
        <v>https://www.banggood.com/search/.html</v>
      </c>
      <c r="AW183" s="59" t="str">
        <f>IF(Table1[[#This Row],[Other]]&lt;&gt;"","Other","")</f>
        <v/>
      </c>
      <c r="AX183" s="57"/>
      <c r="AY183" s="59"/>
      <c r="AZ183" s="61" t="str">
        <f>IF(Table1[[#This Row],[Other]]="","",IF(Table1[[#This Row],[Destination - Other]]="","",HYPERLINK(Table1[[#This Row],[Destination - Other]],_xlfn.CONCAT("Link ("&amp;Table1[[#This Row],[Other]]&amp;")"))))</f>
        <v/>
      </c>
      <c r="BA183" s="59"/>
      <c r="BB183" s="58" t="str">
        <f>IF(AND( Table1[[#This Row],[Auto Order]]=1,Table1[[#This Row],[Obsolete]]=""),IF(Table1[[#This Row],[In stock]]&lt;Table1[[#This Row],[Min in stock]],1,""),"")</f>
        <v/>
      </c>
      <c r="BC183" s="64"/>
      <c r="BD183" s="66" t="str">
        <f>IF(Table1[[#This Row],[Obsolete]],Table1[[#This Row],[Art. Number]],"")</f>
        <v/>
      </c>
    </row>
    <row r="184" spans="1:56" x14ac:dyDescent="0.25">
      <c r="A184" s="65" t="s">
        <v>1077</v>
      </c>
      <c r="B184" s="57" t="s">
        <v>1064</v>
      </c>
      <c r="C184" s="57" t="s">
        <v>97</v>
      </c>
      <c r="D184" s="57" t="s">
        <v>1078</v>
      </c>
      <c r="E184" s="57" t="s">
        <v>151</v>
      </c>
      <c r="F184" s="58">
        <v>0</v>
      </c>
      <c r="G184" s="58"/>
      <c r="H184" s="58"/>
      <c r="I18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541-1.0KUACT-ND</v>
      </c>
      <c r="J18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0.42</v>
      </c>
      <c r="K18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(541-1.0KUACT-ND)</v>
      </c>
      <c r="M184" s="57" t="s">
        <v>1079</v>
      </c>
      <c r="N184" s="59">
        <v>0.42</v>
      </c>
      <c r="O184" s="61" t="str">
        <f>IF(Table1[[#This Row],[Digikey]]="","", HYPERLINK(Table1[[#This Row],[Destination - Digikey]],_xlfn.CONCAT("Link (",Table1[[#This Row],[Digikey]],")")))</f>
        <v>Link (541-1.0KUACT-ND)</v>
      </c>
      <c r="P184" s="62" t="str">
        <f>_xlfn.CONCAT("https://www.digikey.ch/products/en?keywords=",Table1[[#This Row],[Digikey]])</f>
        <v>https://www.digikey.ch/products/en?keywords=541-1.0KUACT-ND</v>
      </c>
      <c r="Q184" s="57"/>
      <c r="R184" s="59"/>
      <c r="S184" s="61" t="str">
        <f>IF(Table1[[#This Row],[Farnell]]="","", HYPERLINK(Table1[[#This Row],[Destination - Farnell]],_xlfn.CONCAT("Link (",Table1[[#This Row],[Farnell]],")")))</f>
        <v/>
      </c>
      <c r="T184" s="62" t="str">
        <f>_xlfn.CONCAT("https://ch.farnell.com/fr-CH/",Table1[[#This Row],[Farnell]])</f>
        <v>https://ch.farnell.com/fr-CH/</v>
      </c>
      <c r="U184" s="57"/>
      <c r="V184" s="59"/>
      <c r="W184" s="61" t="str">
        <f>IF(Table1[[#This Row],[Distrelec]]="","", HYPERLINK(Table1[[#This Row],[Destination - Distrelec]],_xlfn.CONCAT("Link (",Table1[[#This Row],[Distrelec]],")")))</f>
        <v/>
      </c>
      <c r="X184" s="62" t="str">
        <f>_xlfn.CONCAT("https://www.distrelec.ch/search?q=",Table1[[#This Row],[Distrelec]])</f>
        <v>https://www.distrelec.ch/search?q=</v>
      </c>
      <c r="Y184" s="57"/>
      <c r="Z184" s="59"/>
      <c r="AA184" s="61" t="str">
        <f>IF(Table1[[#This Row],[Conrad]]="","", HYPERLINK(Table1[[#This Row],[Destination - Conrad]],_xlfn.CONCAT("Link (",Table1[[#This Row],[Conrad]],")")))</f>
        <v/>
      </c>
      <c r="AB184" s="62"/>
      <c r="AC184" s="57"/>
      <c r="AD184" s="59"/>
      <c r="AE184" s="61" t="str">
        <f>IF(Table1[[#This Row],[Mouser]]="","", HYPERLINK(Table1[[#This Row],[Destination - Mouser]],_xlfn.CONCAT("Link (",Table1[[#This Row],[Mouser]],")")))</f>
        <v/>
      </c>
      <c r="AF184" s="62" t="str">
        <f>_xlfn.CONCAT("https://www.mouser.ch/ProductDetail/",Table1[[#This Row],[Mouser]])</f>
        <v>https://www.mouser.ch/ProductDetail/</v>
      </c>
      <c r="AG184" s="57"/>
      <c r="AH184" s="59"/>
      <c r="AI184" s="61" t="str">
        <f>IF(Table1[[#This Row],[Bauhaus]]="","", HYPERLINK(Table1[[#This Row],[Destination - Bauhaus]],_xlfn.CONCAT("Link (",Table1[[#This Row],[Bauhaus]],")")))</f>
        <v/>
      </c>
      <c r="AJ184" s="62" t="str">
        <f>_xlfn.CONCAT("https://www.bauhaus.ch/fr/search?query=",Table1[[#This Row],[Bauhaus]])</f>
        <v>https://www.bauhaus.ch/fr/search?query=</v>
      </c>
      <c r="AK184" s="59"/>
      <c r="AL184" s="59"/>
      <c r="AM184" s="61" t="str">
        <f>IF(Table1[[#This Row],[BricoEtLoisirs]]="","", HYPERLINK(Table1[[#This Row],[Destination - BricoEtLoisirs]],_xlfn.CONCAT("Link (",Table1[[#This Row],[BricoEtLoisirs]],")")))</f>
        <v/>
      </c>
      <c r="AN184" s="62" t="str">
        <f>_xlfn.CONCAT("https://bricoetloisirs.ch/p/",Table1[[#This Row],[BricoEtLoisirs]])</f>
        <v>https://bricoetloisirs.ch/p/</v>
      </c>
      <c r="AO184" s="57"/>
      <c r="AP184" s="59"/>
      <c r="AQ184" s="61" t="str">
        <f>IF(Table1[[#This Row],[Aliexpress]]="","", HYPERLINK(Table1[[#This Row],[Destination - Aliexpress]],_xlfn.CONCAT("Link (",Table1[[#This Row],[Aliexpress]],")")))</f>
        <v/>
      </c>
      <c r="AR184" s="62" t="str">
        <f>_xlfn.CONCAT("https://www.aliexpress.com/item/",Table1[[#This Row],[Aliexpress]],".html")</f>
        <v>https://www.aliexpress.com/item/.html</v>
      </c>
      <c r="AS184" s="57"/>
      <c r="AT184" s="59"/>
      <c r="AU184" s="61" t="str">
        <f>IF(Table1[[#This Row],[Banggood]]="","", HYPERLINK(Table1[[#This Row],[Destination - Banggood]],_xlfn.CONCAT("Link (",Table1[[#This Row],[Banggood]],")")))</f>
        <v/>
      </c>
      <c r="AV184" s="62" t="str">
        <f>_xlfn.CONCAT("https://www.banggood.com/search/",Table1[[#This Row],[Banggood]],".html")</f>
        <v>https://www.banggood.com/search/.html</v>
      </c>
      <c r="AW184" s="59" t="str">
        <f>IF(Table1[[#This Row],[Other]]&lt;&gt;"","Other","")</f>
        <v/>
      </c>
      <c r="AX184" s="57"/>
      <c r="AY184" s="59"/>
      <c r="AZ184" s="61" t="str">
        <f>IF(Table1[[#This Row],[Other]]="","",IF(Table1[[#This Row],[Destination - Other]]="","",HYPERLINK(Table1[[#This Row],[Destination - Other]],_xlfn.CONCAT("Link ("&amp;Table1[[#This Row],[Other]]&amp;")"))))</f>
        <v/>
      </c>
      <c r="BA184" s="59"/>
      <c r="BB184" s="58" t="str">
        <f>IF(AND( Table1[[#This Row],[Auto Order]]=1,Table1[[#This Row],[Obsolete]]=""),IF(Table1[[#This Row],[In stock]]&lt;Table1[[#This Row],[Min in stock]],1,""),"")</f>
        <v/>
      </c>
      <c r="BC184" s="64"/>
      <c r="BD184" s="66" t="str">
        <f>IF(Table1[[#This Row],[Obsolete]],Table1[[#This Row],[Art. Number]],"")</f>
        <v/>
      </c>
    </row>
    <row r="185" spans="1:56" x14ac:dyDescent="0.25">
      <c r="A185" s="65" t="s">
        <v>218</v>
      </c>
      <c r="B185" s="57" t="s">
        <v>1064</v>
      </c>
      <c r="C185" s="57" t="s">
        <v>1081</v>
      </c>
      <c r="D185" s="57" t="s">
        <v>1082</v>
      </c>
      <c r="E185" s="57" t="s">
        <v>151</v>
      </c>
      <c r="F185" s="58">
        <v>10</v>
      </c>
      <c r="G185" s="58"/>
      <c r="H185" s="58"/>
      <c r="I18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541-5.1UACT-ND</v>
      </c>
      <c r="J18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0.42</v>
      </c>
      <c r="K18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(541-5.1UACT-ND)</v>
      </c>
      <c r="M185" s="57" t="s">
        <v>1083</v>
      </c>
      <c r="N185" s="59">
        <v>0.42</v>
      </c>
      <c r="O185" s="61" t="str">
        <f>IF(Table1[[#This Row],[Digikey]]="","", HYPERLINK(Table1[[#This Row],[Destination - Digikey]],_xlfn.CONCAT("Link (",Table1[[#This Row],[Digikey]],")")))</f>
        <v>Link (541-5.1UACT-ND)</v>
      </c>
      <c r="P185" s="62" t="str">
        <f>_xlfn.CONCAT("https://www.digikey.ch/products/en?keywords=",Table1[[#This Row],[Digikey]])</f>
        <v>https://www.digikey.ch/products/en?keywords=541-5.1UACT-ND</v>
      </c>
      <c r="Q185" s="57"/>
      <c r="R185" s="59"/>
      <c r="S185" s="61" t="str">
        <f>IF(Table1[[#This Row],[Farnell]]="","", HYPERLINK(Table1[[#This Row],[Destination - Farnell]],_xlfn.CONCAT("Link (",Table1[[#This Row],[Farnell]],")")))</f>
        <v/>
      </c>
      <c r="T185" s="62" t="str">
        <f>_xlfn.CONCAT("https://ch.farnell.com/fr-CH/",Table1[[#This Row],[Farnell]])</f>
        <v>https://ch.farnell.com/fr-CH/</v>
      </c>
      <c r="U185" s="57"/>
      <c r="V185" s="59"/>
      <c r="W185" s="61" t="str">
        <f>IF(Table1[[#This Row],[Distrelec]]="","", HYPERLINK(Table1[[#This Row],[Destination - Distrelec]],_xlfn.CONCAT("Link (",Table1[[#This Row],[Distrelec]],")")))</f>
        <v/>
      </c>
      <c r="X185" s="62" t="str">
        <f>_xlfn.CONCAT("https://www.distrelec.ch/search?q=",Table1[[#This Row],[Distrelec]])</f>
        <v>https://www.distrelec.ch/search?q=</v>
      </c>
      <c r="Y185" s="57"/>
      <c r="Z185" s="59"/>
      <c r="AA185" s="61" t="str">
        <f>IF(Table1[[#This Row],[Conrad]]="","", HYPERLINK(Table1[[#This Row],[Destination - Conrad]],_xlfn.CONCAT("Link (",Table1[[#This Row],[Conrad]],")")))</f>
        <v/>
      </c>
      <c r="AB185" s="62"/>
      <c r="AC185" s="57"/>
      <c r="AD185" s="59"/>
      <c r="AE185" s="61" t="str">
        <f>IF(Table1[[#This Row],[Mouser]]="","", HYPERLINK(Table1[[#This Row],[Destination - Mouser]],_xlfn.CONCAT("Link (",Table1[[#This Row],[Mouser]],")")))</f>
        <v/>
      </c>
      <c r="AF185" s="62" t="str">
        <f>_xlfn.CONCAT("https://www.mouser.ch/ProductDetail/",Table1[[#This Row],[Mouser]])</f>
        <v>https://www.mouser.ch/ProductDetail/</v>
      </c>
      <c r="AG185" s="57"/>
      <c r="AH185" s="59"/>
      <c r="AI185" s="61" t="str">
        <f>IF(Table1[[#This Row],[Bauhaus]]="","", HYPERLINK(Table1[[#This Row],[Destination - Bauhaus]],_xlfn.CONCAT("Link (",Table1[[#This Row],[Bauhaus]],")")))</f>
        <v/>
      </c>
      <c r="AJ185" s="62" t="str">
        <f>_xlfn.CONCAT("https://www.bauhaus.ch/fr/search?query=",Table1[[#This Row],[Bauhaus]])</f>
        <v>https://www.bauhaus.ch/fr/search?query=</v>
      </c>
      <c r="AK185" s="59"/>
      <c r="AL185" s="59"/>
      <c r="AM185" s="61" t="str">
        <f>IF(Table1[[#This Row],[BricoEtLoisirs]]="","", HYPERLINK(Table1[[#This Row],[Destination - BricoEtLoisirs]],_xlfn.CONCAT("Link (",Table1[[#This Row],[BricoEtLoisirs]],")")))</f>
        <v/>
      </c>
      <c r="AN185" s="62" t="str">
        <f>_xlfn.CONCAT("https://bricoetloisirs.ch/p/",Table1[[#This Row],[BricoEtLoisirs]])</f>
        <v>https://bricoetloisirs.ch/p/</v>
      </c>
      <c r="AO185" s="57"/>
      <c r="AP185" s="59"/>
      <c r="AQ185" s="61" t="str">
        <f>IF(Table1[[#This Row],[Aliexpress]]="","", HYPERLINK(Table1[[#This Row],[Destination - Aliexpress]],_xlfn.CONCAT("Link (",Table1[[#This Row],[Aliexpress]],")")))</f>
        <v/>
      </c>
      <c r="AR185" s="62" t="str">
        <f>_xlfn.CONCAT("https://www.aliexpress.com/item/",Table1[[#This Row],[Aliexpress]],".html")</f>
        <v>https://www.aliexpress.com/item/.html</v>
      </c>
      <c r="AS185" s="57"/>
      <c r="AT185" s="59"/>
      <c r="AU185" s="61" t="str">
        <f>IF(Table1[[#This Row],[Banggood]]="","", HYPERLINK(Table1[[#This Row],[Destination - Banggood]],_xlfn.CONCAT("Link (",Table1[[#This Row],[Banggood]],")")))</f>
        <v/>
      </c>
      <c r="AV185" s="62" t="str">
        <f>_xlfn.CONCAT("https://www.banggood.com/search/",Table1[[#This Row],[Banggood]],".html")</f>
        <v>https://www.banggood.com/search/.html</v>
      </c>
      <c r="AW185" s="59" t="str">
        <f>IF(Table1[[#This Row],[Other]]&lt;&gt;"","Other","")</f>
        <v/>
      </c>
      <c r="AX185" s="57"/>
      <c r="AY185" s="59"/>
      <c r="AZ185" s="61" t="str">
        <f>IF(Table1[[#This Row],[Other]]="","",IF(Table1[[#This Row],[Destination - Other]]="","",HYPERLINK(Table1[[#This Row],[Destination - Other]],_xlfn.CONCAT("Link ("&amp;Table1[[#This Row],[Other]]&amp;")"))))</f>
        <v/>
      </c>
      <c r="BA185" s="59"/>
      <c r="BB185" s="58" t="str">
        <f>IF(AND( Table1[[#This Row],[Auto Order]]=1,Table1[[#This Row],[Obsolete]]=""),IF(Table1[[#This Row],[In stock]]&lt;Table1[[#This Row],[Min in stock]],1,""),"")</f>
        <v/>
      </c>
      <c r="BC185" s="64"/>
      <c r="BD185" s="66" t="str">
        <f>IF(Table1[[#This Row],[Obsolete]],Table1[[#This Row],[Art. Number]],"")</f>
        <v/>
      </c>
    </row>
    <row r="186" spans="1:56" x14ac:dyDescent="0.25">
      <c r="A186" s="65" t="s">
        <v>1085</v>
      </c>
      <c r="B186" s="57" t="s">
        <v>1086</v>
      </c>
      <c r="C186" s="57" t="s">
        <v>97</v>
      </c>
      <c r="D186" s="57" t="s">
        <v>1087</v>
      </c>
      <c r="E186" s="57" t="s">
        <v>151</v>
      </c>
      <c r="F186" s="58">
        <v>3</v>
      </c>
      <c r="G186" s="58"/>
      <c r="H186" s="58"/>
      <c r="I18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A129415CT-ND</v>
      </c>
      <c r="J18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0.31</v>
      </c>
      <c r="K18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(A129415CT-ND)</v>
      </c>
      <c r="M186" s="57" t="s">
        <v>1088</v>
      </c>
      <c r="N186" s="59">
        <v>0.31</v>
      </c>
      <c r="O186" s="61" t="str">
        <f>IF(Table1[[#This Row],[Digikey]]="","", HYPERLINK(Table1[[#This Row],[Destination - Digikey]],_xlfn.CONCAT("Link (",Table1[[#This Row],[Digikey]],")")))</f>
        <v>Link (A129415CT-ND)</v>
      </c>
      <c r="P186" s="62" t="str">
        <f>_xlfn.CONCAT("https://www.digikey.ch/products/en?keywords=",Table1[[#This Row],[Digikey]])</f>
        <v>https://www.digikey.ch/products/en?keywords=A129415CT-ND</v>
      </c>
      <c r="Q186" s="57"/>
      <c r="R186" s="59"/>
      <c r="S186" s="61" t="str">
        <f>IF(Table1[[#This Row],[Farnell]]="","", HYPERLINK(Table1[[#This Row],[Destination - Farnell]],_xlfn.CONCAT("Link (",Table1[[#This Row],[Farnell]],")")))</f>
        <v/>
      </c>
      <c r="T186" s="62" t="str">
        <f>_xlfn.CONCAT("https://ch.farnell.com/fr-CH/",Table1[[#This Row],[Farnell]])</f>
        <v>https://ch.farnell.com/fr-CH/</v>
      </c>
      <c r="U186" s="57"/>
      <c r="V186" s="59"/>
      <c r="W186" s="61" t="str">
        <f>IF(Table1[[#This Row],[Distrelec]]="","", HYPERLINK(Table1[[#This Row],[Destination - Distrelec]],_xlfn.CONCAT("Link (",Table1[[#This Row],[Distrelec]],")")))</f>
        <v/>
      </c>
      <c r="X186" s="62" t="str">
        <f>_xlfn.CONCAT("https://www.distrelec.ch/search?q=",Table1[[#This Row],[Distrelec]])</f>
        <v>https://www.distrelec.ch/search?q=</v>
      </c>
      <c r="Y186" s="57"/>
      <c r="Z186" s="59"/>
      <c r="AA186" s="61" t="str">
        <f>IF(Table1[[#This Row],[Conrad]]="","", HYPERLINK(Table1[[#This Row],[Destination - Conrad]],_xlfn.CONCAT("Link (",Table1[[#This Row],[Conrad]],")")))</f>
        <v/>
      </c>
      <c r="AB186" s="62"/>
      <c r="AC186" s="57"/>
      <c r="AD186" s="59"/>
      <c r="AE186" s="61" t="str">
        <f>IF(Table1[[#This Row],[Mouser]]="","", HYPERLINK(Table1[[#This Row],[Destination - Mouser]],_xlfn.CONCAT("Link (",Table1[[#This Row],[Mouser]],")")))</f>
        <v/>
      </c>
      <c r="AF186" s="62" t="str">
        <f>_xlfn.CONCAT("https://www.mouser.ch/ProductDetail/",Table1[[#This Row],[Mouser]])</f>
        <v>https://www.mouser.ch/ProductDetail/</v>
      </c>
      <c r="AG186" s="57"/>
      <c r="AH186" s="59"/>
      <c r="AI186" s="61" t="str">
        <f>IF(Table1[[#This Row],[Bauhaus]]="","", HYPERLINK(Table1[[#This Row],[Destination - Bauhaus]],_xlfn.CONCAT("Link (",Table1[[#This Row],[Bauhaus]],")")))</f>
        <v/>
      </c>
      <c r="AJ186" s="62" t="str">
        <f>_xlfn.CONCAT("https://www.bauhaus.ch/fr/search?query=",Table1[[#This Row],[Bauhaus]])</f>
        <v>https://www.bauhaus.ch/fr/search?query=</v>
      </c>
      <c r="AK186" s="59"/>
      <c r="AL186" s="59"/>
      <c r="AM186" s="61" t="str">
        <f>IF(Table1[[#This Row],[BricoEtLoisirs]]="","", HYPERLINK(Table1[[#This Row],[Destination - BricoEtLoisirs]],_xlfn.CONCAT("Link (",Table1[[#This Row],[BricoEtLoisirs]],")")))</f>
        <v/>
      </c>
      <c r="AN186" s="62" t="str">
        <f>_xlfn.CONCAT("https://bricoetloisirs.ch/p/",Table1[[#This Row],[BricoEtLoisirs]])</f>
        <v>https://bricoetloisirs.ch/p/</v>
      </c>
      <c r="AO186" s="57"/>
      <c r="AP186" s="59"/>
      <c r="AQ186" s="61" t="str">
        <f>IF(Table1[[#This Row],[Aliexpress]]="","", HYPERLINK(Table1[[#This Row],[Destination - Aliexpress]],_xlfn.CONCAT("Link (",Table1[[#This Row],[Aliexpress]],")")))</f>
        <v/>
      </c>
      <c r="AR186" s="62" t="str">
        <f>_xlfn.CONCAT("https://www.aliexpress.com/item/",Table1[[#This Row],[Aliexpress]],".html")</f>
        <v>https://www.aliexpress.com/item/.html</v>
      </c>
      <c r="AS186" s="57"/>
      <c r="AT186" s="59"/>
      <c r="AU186" s="61" t="str">
        <f>IF(Table1[[#This Row],[Banggood]]="","", HYPERLINK(Table1[[#This Row],[Destination - Banggood]],_xlfn.CONCAT("Link (",Table1[[#This Row],[Banggood]],")")))</f>
        <v/>
      </c>
      <c r="AV186" s="62" t="str">
        <f>_xlfn.CONCAT("https://www.banggood.com/search/",Table1[[#This Row],[Banggood]],".html")</f>
        <v>https://www.banggood.com/search/.html</v>
      </c>
      <c r="AW186" s="59" t="str">
        <f>IF(Table1[[#This Row],[Other]]&lt;&gt;"","Other","")</f>
        <v/>
      </c>
      <c r="AX186" s="57"/>
      <c r="AY186" s="59"/>
      <c r="AZ186" s="61" t="str">
        <f>IF(Table1[[#This Row],[Other]]="","",IF(Table1[[#This Row],[Destination - Other]]="","",HYPERLINK(Table1[[#This Row],[Destination - Other]],_xlfn.CONCAT("Link ("&amp;Table1[[#This Row],[Other]]&amp;")"))))</f>
        <v/>
      </c>
      <c r="BA186" s="59"/>
      <c r="BB186" s="58" t="str">
        <f>IF(AND( Table1[[#This Row],[Auto Order]]=1,Table1[[#This Row],[Obsolete]]=""),IF(Table1[[#This Row],[In stock]]&lt;Table1[[#This Row],[Min in stock]],1,""),"")</f>
        <v/>
      </c>
      <c r="BC186" s="64"/>
      <c r="BD186" s="66" t="str">
        <f>IF(Table1[[#This Row],[Obsolete]],Table1[[#This Row],[Art. Number]],"")</f>
        <v/>
      </c>
    </row>
    <row r="187" spans="1:56" x14ac:dyDescent="0.25">
      <c r="A187" s="65" t="s">
        <v>1090</v>
      </c>
      <c r="B187" s="57" t="s">
        <v>1091</v>
      </c>
      <c r="C187" s="57" t="s">
        <v>1092</v>
      </c>
      <c r="D187" s="57" t="s">
        <v>1093</v>
      </c>
      <c r="E187" s="57" t="s">
        <v>151</v>
      </c>
      <c r="F187" s="58">
        <v>99</v>
      </c>
      <c r="G187" s="58"/>
      <c r="H187" s="58"/>
      <c r="I18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P150CCT-ND</v>
      </c>
      <c r="J18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8.1000000000000003E-2</v>
      </c>
      <c r="K18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(P150CCT-ND)</v>
      </c>
      <c r="M187" s="57" t="s">
        <v>1094</v>
      </c>
      <c r="N187" s="59">
        <v>8.1000000000000003E-2</v>
      </c>
      <c r="O187" s="61" t="str">
        <f>IF(Table1[[#This Row],[Digikey]]="","", HYPERLINK(Table1[[#This Row],[Destination - Digikey]],_xlfn.CONCAT("Link (",Table1[[#This Row],[Digikey]],")")))</f>
        <v>Link (P150CCT-ND)</v>
      </c>
      <c r="P187" s="62" t="str">
        <f>_xlfn.CONCAT("https://www.digikey.ch/products/en?keywords=",Table1[[#This Row],[Digikey]])</f>
        <v>https://www.digikey.ch/products/en?keywords=P150CCT-ND</v>
      </c>
      <c r="Q187" s="57"/>
      <c r="R187" s="59"/>
      <c r="S187" s="61" t="str">
        <f>IF(Table1[[#This Row],[Farnell]]="","", HYPERLINK(Table1[[#This Row],[Destination - Farnell]],_xlfn.CONCAT("Link (",Table1[[#This Row],[Farnell]],")")))</f>
        <v/>
      </c>
      <c r="T187" s="62" t="str">
        <f>_xlfn.CONCAT("https://ch.farnell.com/fr-CH/",Table1[[#This Row],[Farnell]])</f>
        <v>https://ch.farnell.com/fr-CH/</v>
      </c>
      <c r="U187" s="57"/>
      <c r="V187" s="59"/>
      <c r="W187" s="61" t="str">
        <f>IF(Table1[[#This Row],[Distrelec]]="","", HYPERLINK(Table1[[#This Row],[Destination - Distrelec]],_xlfn.CONCAT("Link (",Table1[[#This Row],[Distrelec]],")")))</f>
        <v/>
      </c>
      <c r="X187" s="62" t="str">
        <f>_xlfn.CONCAT("https://www.distrelec.ch/search?q=",Table1[[#This Row],[Distrelec]])</f>
        <v>https://www.distrelec.ch/search?q=</v>
      </c>
      <c r="Y187" s="57"/>
      <c r="Z187" s="59"/>
      <c r="AA187" s="61" t="str">
        <f>IF(Table1[[#This Row],[Conrad]]="","", HYPERLINK(Table1[[#This Row],[Destination - Conrad]],_xlfn.CONCAT("Link (",Table1[[#This Row],[Conrad]],")")))</f>
        <v/>
      </c>
      <c r="AB187" s="62"/>
      <c r="AC187" s="57"/>
      <c r="AD187" s="59"/>
      <c r="AE187" s="61" t="str">
        <f>IF(Table1[[#This Row],[Mouser]]="","", HYPERLINK(Table1[[#This Row],[Destination - Mouser]],_xlfn.CONCAT("Link (",Table1[[#This Row],[Mouser]],")")))</f>
        <v/>
      </c>
      <c r="AF187" s="62" t="str">
        <f>_xlfn.CONCAT("https://www.mouser.ch/ProductDetail/",Table1[[#This Row],[Mouser]])</f>
        <v>https://www.mouser.ch/ProductDetail/</v>
      </c>
      <c r="AG187" s="57"/>
      <c r="AH187" s="59"/>
      <c r="AI187" s="61" t="str">
        <f>IF(Table1[[#This Row],[Bauhaus]]="","", HYPERLINK(Table1[[#This Row],[Destination - Bauhaus]],_xlfn.CONCAT("Link (",Table1[[#This Row],[Bauhaus]],")")))</f>
        <v/>
      </c>
      <c r="AJ187" s="62" t="str">
        <f>_xlfn.CONCAT("https://www.bauhaus.ch/fr/search?query=",Table1[[#This Row],[Bauhaus]])</f>
        <v>https://www.bauhaus.ch/fr/search?query=</v>
      </c>
      <c r="AK187" s="59"/>
      <c r="AL187" s="59"/>
      <c r="AM187" s="61" t="str">
        <f>IF(Table1[[#This Row],[BricoEtLoisirs]]="","", HYPERLINK(Table1[[#This Row],[Destination - BricoEtLoisirs]],_xlfn.CONCAT("Link (",Table1[[#This Row],[BricoEtLoisirs]],")")))</f>
        <v/>
      </c>
      <c r="AN187" s="62" t="str">
        <f>_xlfn.CONCAT("https://bricoetloisirs.ch/p/",Table1[[#This Row],[BricoEtLoisirs]])</f>
        <v>https://bricoetloisirs.ch/p/</v>
      </c>
      <c r="AO187" s="57"/>
      <c r="AP187" s="59"/>
      <c r="AQ187" s="61" t="str">
        <f>IF(Table1[[#This Row],[Aliexpress]]="","", HYPERLINK(Table1[[#This Row],[Destination - Aliexpress]],_xlfn.CONCAT("Link (",Table1[[#This Row],[Aliexpress]],")")))</f>
        <v/>
      </c>
      <c r="AR187" s="62" t="str">
        <f>_xlfn.CONCAT("https://www.aliexpress.com/item/",Table1[[#This Row],[Aliexpress]],".html")</f>
        <v>https://www.aliexpress.com/item/.html</v>
      </c>
      <c r="AS187" s="57"/>
      <c r="AT187" s="59"/>
      <c r="AU187" s="61" t="str">
        <f>IF(Table1[[#This Row],[Banggood]]="","", HYPERLINK(Table1[[#This Row],[Destination - Banggood]],_xlfn.CONCAT("Link (",Table1[[#This Row],[Banggood]],")")))</f>
        <v/>
      </c>
      <c r="AV187" s="62" t="str">
        <f>_xlfn.CONCAT("https://www.banggood.com/search/",Table1[[#This Row],[Banggood]],".html")</f>
        <v>https://www.banggood.com/search/.html</v>
      </c>
      <c r="AW187" s="59" t="str">
        <f>IF(Table1[[#This Row],[Other]]&lt;&gt;"","Other","")</f>
        <v/>
      </c>
      <c r="AX187" s="57"/>
      <c r="AY187" s="59"/>
      <c r="AZ187" s="61" t="str">
        <f>IF(Table1[[#This Row],[Other]]="","",IF(Table1[[#This Row],[Destination - Other]]="","",HYPERLINK(Table1[[#This Row],[Destination - Other]],_xlfn.CONCAT("Link ("&amp;Table1[[#This Row],[Other]]&amp;")"))))</f>
        <v/>
      </c>
      <c r="BA187" s="59"/>
      <c r="BB187" s="58" t="str">
        <f>IF(AND( Table1[[#This Row],[Auto Order]]=1,Table1[[#This Row],[Obsolete]]=""),IF(Table1[[#This Row],[In stock]]&lt;Table1[[#This Row],[Min in stock]],1,""),"")</f>
        <v/>
      </c>
      <c r="BC187" s="64"/>
      <c r="BD187" s="66" t="str">
        <f>IF(Table1[[#This Row],[Obsolete]],Table1[[#This Row],[Art. Number]],"")</f>
        <v/>
      </c>
    </row>
    <row r="188" spans="1:56" x14ac:dyDescent="0.25">
      <c r="A188" s="65" t="s">
        <v>26</v>
      </c>
      <c r="B188" s="57" t="s">
        <v>1096</v>
      </c>
      <c r="C188" s="57" t="s">
        <v>1097</v>
      </c>
      <c r="D188" s="57" t="s">
        <v>1098</v>
      </c>
      <c r="E188" s="57" t="s">
        <v>151</v>
      </c>
      <c r="F188" s="58">
        <v>19</v>
      </c>
      <c r="G188" s="58"/>
      <c r="H188" s="58"/>
      <c r="I18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2380458</v>
      </c>
      <c r="J18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3.7999999999999999E-2</v>
      </c>
      <c r="K18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18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(2380458)</v>
      </c>
      <c r="M188" s="57"/>
      <c r="N188" s="59"/>
      <c r="O188" s="61" t="str">
        <f>IF(Table1[[#This Row],[Digikey]]="","", HYPERLINK(Table1[[#This Row],[Destination - Digikey]],_xlfn.CONCAT("Link (",Table1[[#This Row],[Digikey]],")")))</f>
        <v/>
      </c>
      <c r="P188" s="62" t="str">
        <f>_xlfn.CONCAT("https://www.digikey.ch/products/en?keywords=",Table1[[#This Row],[Digikey]])</f>
        <v>https://www.digikey.ch/products/en?keywords=</v>
      </c>
      <c r="Q188" s="57" t="s">
        <v>2421</v>
      </c>
      <c r="R188" s="59">
        <v>3.7999999999999999E-2</v>
      </c>
      <c r="S188" s="61" t="str">
        <f>IF(Table1[[#This Row],[Farnell]]="","", HYPERLINK(Table1[[#This Row],[Destination - Farnell]],_xlfn.CONCAT("Link (",Table1[[#This Row],[Farnell]],")")))</f>
        <v>Link (2380458)</v>
      </c>
      <c r="T188" s="62" t="str">
        <f>_xlfn.CONCAT("https://ch.farnell.com/fr-CH/",Table1[[#This Row],[Farnell]])</f>
        <v>https://ch.farnell.com/fr-CH/2380458</v>
      </c>
      <c r="U188" s="57"/>
      <c r="V188" s="59"/>
      <c r="W188" s="61" t="str">
        <f>IF(Table1[[#This Row],[Distrelec]]="","", HYPERLINK(Table1[[#This Row],[Destination - Distrelec]],_xlfn.CONCAT("Link (",Table1[[#This Row],[Distrelec]],")")))</f>
        <v/>
      </c>
      <c r="X188" s="62" t="str">
        <f>_xlfn.CONCAT("https://www.distrelec.ch/search?q=",Table1[[#This Row],[Distrelec]])</f>
        <v>https://www.distrelec.ch/search?q=</v>
      </c>
      <c r="Y188" s="57"/>
      <c r="Z188" s="59"/>
      <c r="AA188" s="61" t="str">
        <f>IF(Table1[[#This Row],[Conrad]]="","", HYPERLINK(Table1[[#This Row],[Destination - Conrad]],_xlfn.CONCAT("Link (",Table1[[#This Row],[Conrad]],")")))</f>
        <v/>
      </c>
      <c r="AB188" s="62"/>
      <c r="AC188" s="57"/>
      <c r="AD188" s="59"/>
      <c r="AE188" s="61" t="str">
        <f>IF(Table1[[#This Row],[Mouser]]="","", HYPERLINK(Table1[[#This Row],[Destination - Mouser]],_xlfn.CONCAT("Link (",Table1[[#This Row],[Mouser]],")")))</f>
        <v/>
      </c>
      <c r="AF188" s="62" t="str">
        <f>_xlfn.CONCAT("https://www.mouser.ch/ProductDetail/",Table1[[#This Row],[Mouser]])</f>
        <v>https://www.mouser.ch/ProductDetail/</v>
      </c>
      <c r="AG188" s="57"/>
      <c r="AH188" s="59"/>
      <c r="AI188" s="61" t="str">
        <f>IF(Table1[[#This Row],[Bauhaus]]="","", HYPERLINK(Table1[[#This Row],[Destination - Bauhaus]],_xlfn.CONCAT("Link (",Table1[[#This Row],[Bauhaus]],")")))</f>
        <v/>
      </c>
      <c r="AJ188" s="62" t="str">
        <f>_xlfn.CONCAT("https://www.bauhaus.ch/fr/search?query=",Table1[[#This Row],[Bauhaus]])</f>
        <v>https://www.bauhaus.ch/fr/search?query=</v>
      </c>
      <c r="AK188" s="59"/>
      <c r="AL188" s="59"/>
      <c r="AM188" s="61" t="str">
        <f>IF(Table1[[#This Row],[BricoEtLoisirs]]="","", HYPERLINK(Table1[[#This Row],[Destination - BricoEtLoisirs]],_xlfn.CONCAT("Link (",Table1[[#This Row],[BricoEtLoisirs]],")")))</f>
        <v/>
      </c>
      <c r="AN188" s="62" t="str">
        <f>_xlfn.CONCAT("https://bricoetloisirs.ch/p/",Table1[[#This Row],[BricoEtLoisirs]])</f>
        <v>https://bricoetloisirs.ch/p/</v>
      </c>
      <c r="AO188" s="57"/>
      <c r="AP188" s="59"/>
      <c r="AQ188" s="61" t="str">
        <f>IF(Table1[[#This Row],[Aliexpress]]="","", HYPERLINK(Table1[[#This Row],[Destination - Aliexpress]],_xlfn.CONCAT("Link (",Table1[[#This Row],[Aliexpress]],")")))</f>
        <v/>
      </c>
      <c r="AR188" s="62" t="str">
        <f>_xlfn.CONCAT("https://www.aliexpress.com/item/",Table1[[#This Row],[Aliexpress]],".html")</f>
        <v>https://www.aliexpress.com/item/.html</v>
      </c>
      <c r="AS188" s="57"/>
      <c r="AT188" s="59"/>
      <c r="AU188" s="61" t="str">
        <f>IF(Table1[[#This Row],[Banggood]]="","", HYPERLINK(Table1[[#This Row],[Destination - Banggood]],_xlfn.CONCAT("Link (",Table1[[#This Row],[Banggood]],")")))</f>
        <v/>
      </c>
      <c r="AV188" s="62" t="str">
        <f>_xlfn.CONCAT("https://www.banggood.com/search/",Table1[[#This Row],[Banggood]],".html")</f>
        <v>https://www.banggood.com/search/.html</v>
      </c>
      <c r="AW188" s="59" t="str">
        <f>IF(Table1[[#This Row],[Other]]&lt;&gt;"","Other","")</f>
        <v/>
      </c>
      <c r="AX188" s="57"/>
      <c r="AY188" s="59"/>
      <c r="AZ188" s="61" t="str">
        <f>IF(Table1[[#This Row],[Other]]="","",IF(Table1[[#This Row],[Destination - Other]]="","",HYPERLINK(Table1[[#This Row],[Destination - Other]],_xlfn.CONCAT("Link ("&amp;Table1[[#This Row],[Other]]&amp;")"))))</f>
        <v/>
      </c>
      <c r="BA188" s="59"/>
      <c r="BB188" s="58" t="str">
        <f>IF(AND( Table1[[#This Row],[Auto Order]]=1,Table1[[#This Row],[Obsolete]]=""),IF(Table1[[#This Row],[In stock]]&lt;Table1[[#This Row],[Min in stock]],1,""),"")</f>
        <v/>
      </c>
      <c r="BC188" s="64"/>
      <c r="BD188" s="66" t="str">
        <f>IF(Table1[[#This Row],[Obsolete]],Table1[[#This Row],[Art. Number]],"")</f>
        <v/>
      </c>
    </row>
    <row r="189" spans="1:56" x14ac:dyDescent="0.25">
      <c r="A189" s="65" t="s">
        <v>1103</v>
      </c>
      <c r="B189" s="57" t="s">
        <v>168</v>
      </c>
      <c r="C189" s="57" t="s">
        <v>1104</v>
      </c>
      <c r="D189" s="57" t="s">
        <v>1105</v>
      </c>
      <c r="E189" s="57" t="s">
        <v>151</v>
      </c>
      <c r="F189" s="58">
        <v>10</v>
      </c>
      <c r="G189" s="58">
        <v>10</v>
      </c>
      <c r="H189" s="58">
        <v>1</v>
      </c>
      <c r="I18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RHM10KADCT-ND</v>
      </c>
      <c r="J18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18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8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(RHM10KADCT-ND)</v>
      </c>
      <c r="M189" s="57" t="s">
        <v>1106</v>
      </c>
      <c r="N189" s="59">
        <v>0.13</v>
      </c>
      <c r="O189" s="61" t="str">
        <f>IF(Table1[[#This Row],[Digikey]]="","", HYPERLINK(Table1[[#This Row],[Destination - Digikey]],_xlfn.CONCAT("Link (",Table1[[#This Row],[Digikey]],")")))</f>
        <v>Link (RHM10KADCT-ND)</v>
      </c>
      <c r="P189" s="62" t="str">
        <f>_xlfn.CONCAT("https://www.digikey.ch/products/en?keywords=",Table1[[#This Row],[Digikey]])</f>
        <v>https://www.digikey.ch/products/en?keywords=RHM10KADCT-ND</v>
      </c>
      <c r="Q189" s="57"/>
      <c r="R189" s="59"/>
      <c r="S189" s="61" t="str">
        <f>IF(Table1[[#This Row],[Farnell]]="","", HYPERLINK(Table1[[#This Row],[Destination - Farnell]],_xlfn.CONCAT("Link (",Table1[[#This Row],[Farnell]],")")))</f>
        <v/>
      </c>
      <c r="T189" s="62" t="str">
        <f>_xlfn.CONCAT("https://ch.farnell.com/fr-CH/",Table1[[#This Row],[Farnell]])</f>
        <v>https://ch.farnell.com/fr-CH/</v>
      </c>
      <c r="U189" s="57"/>
      <c r="V189" s="59"/>
      <c r="W189" s="61" t="str">
        <f>IF(Table1[[#This Row],[Distrelec]]="","", HYPERLINK(Table1[[#This Row],[Destination - Distrelec]],_xlfn.CONCAT("Link (",Table1[[#This Row],[Distrelec]],")")))</f>
        <v/>
      </c>
      <c r="X189" s="62" t="str">
        <f>_xlfn.CONCAT("https://www.distrelec.ch/search?q=",Table1[[#This Row],[Distrelec]])</f>
        <v>https://www.distrelec.ch/search?q=</v>
      </c>
      <c r="Y189" s="57"/>
      <c r="Z189" s="59"/>
      <c r="AA189" s="61" t="str">
        <f>IF(Table1[[#This Row],[Conrad]]="","", HYPERLINK(Table1[[#This Row],[Destination - Conrad]],_xlfn.CONCAT("Link (",Table1[[#This Row],[Conrad]],")")))</f>
        <v/>
      </c>
      <c r="AB189" s="62"/>
      <c r="AC189" s="57"/>
      <c r="AD189" s="59"/>
      <c r="AE189" s="61" t="str">
        <f>IF(Table1[[#This Row],[Mouser]]="","", HYPERLINK(Table1[[#This Row],[Destination - Mouser]],_xlfn.CONCAT("Link (",Table1[[#This Row],[Mouser]],")")))</f>
        <v/>
      </c>
      <c r="AF189" s="62" t="str">
        <f>_xlfn.CONCAT("https://www.mouser.ch/ProductDetail/",Table1[[#This Row],[Mouser]])</f>
        <v>https://www.mouser.ch/ProductDetail/</v>
      </c>
      <c r="AG189" s="57"/>
      <c r="AH189" s="59"/>
      <c r="AI189" s="61" t="str">
        <f>IF(Table1[[#This Row],[Bauhaus]]="","", HYPERLINK(Table1[[#This Row],[Destination - Bauhaus]],_xlfn.CONCAT("Link (",Table1[[#This Row],[Bauhaus]],")")))</f>
        <v/>
      </c>
      <c r="AJ189" s="62" t="str">
        <f>_xlfn.CONCAT("https://www.bauhaus.ch/fr/search?query=",Table1[[#This Row],[Bauhaus]])</f>
        <v>https://www.bauhaus.ch/fr/search?query=</v>
      </c>
      <c r="AK189" s="59"/>
      <c r="AL189" s="59"/>
      <c r="AM189" s="61" t="str">
        <f>IF(Table1[[#This Row],[BricoEtLoisirs]]="","", HYPERLINK(Table1[[#This Row],[Destination - BricoEtLoisirs]],_xlfn.CONCAT("Link (",Table1[[#This Row],[BricoEtLoisirs]],")")))</f>
        <v/>
      </c>
      <c r="AN189" s="62" t="str">
        <f>_xlfn.CONCAT("https://bricoetloisirs.ch/p/",Table1[[#This Row],[BricoEtLoisirs]])</f>
        <v>https://bricoetloisirs.ch/p/</v>
      </c>
      <c r="AO189" s="57"/>
      <c r="AP189" s="59"/>
      <c r="AQ189" s="61" t="str">
        <f>IF(Table1[[#This Row],[Aliexpress]]="","", HYPERLINK(Table1[[#This Row],[Destination - Aliexpress]],_xlfn.CONCAT("Link (",Table1[[#This Row],[Aliexpress]],")")))</f>
        <v/>
      </c>
      <c r="AR189" s="62" t="str">
        <f>_xlfn.CONCAT("https://www.aliexpress.com/item/",Table1[[#This Row],[Aliexpress]],".html")</f>
        <v>https://www.aliexpress.com/item/.html</v>
      </c>
      <c r="AS189" s="57"/>
      <c r="AT189" s="59"/>
      <c r="AU189" s="61" t="str">
        <f>IF(Table1[[#This Row],[Banggood]]="","", HYPERLINK(Table1[[#This Row],[Destination - Banggood]],_xlfn.CONCAT("Link (",Table1[[#This Row],[Banggood]],")")))</f>
        <v/>
      </c>
      <c r="AV189" s="62" t="str">
        <f>_xlfn.CONCAT("https://www.banggood.com/search/",Table1[[#This Row],[Banggood]],".html")</f>
        <v>https://www.banggood.com/search/.html</v>
      </c>
      <c r="AW189" s="59" t="str">
        <f>IF(Table1[[#This Row],[Other]]&lt;&gt;"","Other","")</f>
        <v/>
      </c>
      <c r="AX189" s="57"/>
      <c r="AY189" s="59"/>
      <c r="AZ189" s="61" t="str">
        <f>IF(Table1[[#This Row],[Other]]="","",IF(Table1[[#This Row],[Destination - Other]]="","",HYPERLINK(Table1[[#This Row],[Destination - Other]],_xlfn.CONCAT("Link ("&amp;Table1[[#This Row],[Other]]&amp;")"))))</f>
        <v/>
      </c>
      <c r="BA189" s="59"/>
      <c r="BB189" s="58" t="str">
        <f>IF(AND( Table1[[#This Row],[Auto Order]]=1,Table1[[#This Row],[Obsolete]]=""),IF(Table1[[#This Row],[In stock]]&lt;Table1[[#This Row],[Min in stock]],1,""),"")</f>
        <v/>
      </c>
      <c r="BC189" s="64"/>
      <c r="BD189" s="66" t="str">
        <f>IF(Table1[[#This Row],[Obsolete]],Table1[[#This Row],[Art. Number]],"")</f>
        <v/>
      </c>
    </row>
    <row r="190" spans="1:56" x14ac:dyDescent="0.25">
      <c r="A190" s="65" t="s">
        <v>1110</v>
      </c>
      <c r="B190" s="57" t="s">
        <v>168</v>
      </c>
      <c r="C190" s="57" t="s">
        <v>1111</v>
      </c>
      <c r="D190" s="57" t="s">
        <v>1112</v>
      </c>
      <c r="E190" s="57" t="s">
        <v>151</v>
      </c>
      <c r="F190" s="58">
        <v>10</v>
      </c>
      <c r="G190" s="58">
        <v>10</v>
      </c>
      <c r="H190" s="58">
        <v>1</v>
      </c>
      <c r="I19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RHM100KADCT-ND</v>
      </c>
      <c r="J19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19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(RHM100KADCT-ND)</v>
      </c>
      <c r="M190" s="57" t="s">
        <v>1113</v>
      </c>
      <c r="N190" s="59">
        <v>0.13</v>
      </c>
      <c r="O190" s="61" t="str">
        <f>IF(Table1[[#This Row],[Digikey]]="","", HYPERLINK(Table1[[#This Row],[Destination - Digikey]],_xlfn.CONCAT("Link (",Table1[[#This Row],[Digikey]],")")))</f>
        <v>Link (RHM100KADCT-ND)</v>
      </c>
      <c r="P190" s="62" t="str">
        <f>_xlfn.CONCAT("https://www.digikey.ch/products/en?keywords=",Table1[[#This Row],[Digikey]])</f>
        <v>https://www.digikey.ch/products/en?keywords=RHM100KADCT-ND</v>
      </c>
      <c r="Q190" s="57"/>
      <c r="R190" s="59"/>
      <c r="S190" s="61" t="str">
        <f>IF(Table1[[#This Row],[Farnell]]="","", HYPERLINK(Table1[[#This Row],[Destination - Farnell]],_xlfn.CONCAT("Link (",Table1[[#This Row],[Farnell]],")")))</f>
        <v/>
      </c>
      <c r="T190" s="62" t="str">
        <f>_xlfn.CONCAT("https://ch.farnell.com/fr-CH/",Table1[[#This Row],[Farnell]])</f>
        <v>https://ch.farnell.com/fr-CH/</v>
      </c>
      <c r="U190" s="57"/>
      <c r="V190" s="59"/>
      <c r="W190" s="61" t="str">
        <f>IF(Table1[[#This Row],[Distrelec]]="","", HYPERLINK(Table1[[#This Row],[Destination - Distrelec]],_xlfn.CONCAT("Link (",Table1[[#This Row],[Distrelec]],")")))</f>
        <v/>
      </c>
      <c r="X190" s="62" t="str">
        <f>_xlfn.CONCAT("https://www.distrelec.ch/search?q=",Table1[[#This Row],[Distrelec]])</f>
        <v>https://www.distrelec.ch/search?q=</v>
      </c>
      <c r="Y190" s="57"/>
      <c r="Z190" s="59"/>
      <c r="AA190" s="61" t="str">
        <f>IF(Table1[[#This Row],[Conrad]]="","", HYPERLINK(Table1[[#This Row],[Destination - Conrad]],_xlfn.CONCAT("Link (",Table1[[#This Row],[Conrad]],")")))</f>
        <v/>
      </c>
      <c r="AB190" s="62"/>
      <c r="AC190" s="57"/>
      <c r="AD190" s="59"/>
      <c r="AE190" s="61" t="str">
        <f>IF(Table1[[#This Row],[Mouser]]="","", HYPERLINK(Table1[[#This Row],[Destination - Mouser]],_xlfn.CONCAT("Link (",Table1[[#This Row],[Mouser]],")")))</f>
        <v/>
      </c>
      <c r="AF190" s="62" t="str">
        <f>_xlfn.CONCAT("https://www.mouser.ch/ProductDetail/",Table1[[#This Row],[Mouser]])</f>
        <v>https://www.mouser.ch/ProductDetail/</v>
      </c>
      <c r="AG190" s="57"/>
      <c r="AH190" s="59"/>
      <c r="AI190" s="61" t="str">
        <f>IF(Table1[[#This Row],[Bauhaus]]="","", HYPERLINK(Table1[[#This Row],[Destination - Bauhaus]],_xlfn.CONCAT("Link (",Table1[[#This Row],[Bauhaus]],")")))</f>
        <v/>
      </c>
      <c r="AJ190" s="62" t="str">
        <f>_xlfn.CONCAT("https://www.bauhaus.ch/fr/search?query=",Table1[[#This Row],[Bauhaus]])</f>
        <v>https://www.bauhaus.ch/fr/search?query=</v>
      </c>
      <c r="AK190" s="59"/>
      <c r="AL190" s="59"/>
      <c r="AM190" s="61" t="str">
        <f>IF(Table1[[#This Row],[BricoEtLoisirs]]="","", HYPERLINK(Table1[[#This Row],[Destination - BricoEtLoisirs]],_xlfn.CONCAT("Link (",Table1[[#This Row],[BricoEtLoisirs]],")")))</f>
        <v/>
      </c>
      <c r="AN190" s="62" t="str">
        <f>_xlfn.CONCAT("https://bricoetloisirs.ch/p/",Table1[[#This Row],[BricoEtLoisirs]])</f>
        <v>https://bricoetloisirs.ch/p/</v>
      </c>
      <c r="AO190" s="57"/>
      <c r="AP190" s="59"/>
      <c r="AQ190" s="61" t="str">
        <f>IF(Table1[[#This Row],[Aliexpress]]="","", HYPERLINK(Table1[[#This Row],[Destination - Aliexpress]],_xlfn.CONCAT("Link (",Table1[[#This Row],[Aliexpress]],")")))</f>
        <v/>
      </c>
      <c r="AR190" s="62" t="str">
        <f>_xlfn.CONCAT("https://www.aliexpress.com/item/",Table1[[#This Row],[Aliexpress]],".html")</f>
        <v>https://www.aliexpress.com/item/.html</v>
      </c>
      <c r="AS190" s="57"/>
      <c r="AT190" s="59"/>
      <c r="AU190" s="61" t="str">
        <f>IF(Table1[[#This Row],[Banggood]]="","", HYPERLINK(Table1[[#This Row],[Destination - Banggood]],_xlfn.CONCAT("Link (",Table1[[#This Row],[Banggood]],")")))</f>
        <v/>
      </c>
      <c r="AV190" s="62" t="str">
        <f>_xlfn.CONCAT("https://www.banggood.com/search/",Table1[[#This Row],[Banggood]],".html")</f>
        <v>https://www.banggood.com/search/.html</v>
      </c>
      <c r="AW190" s="59" t="str">
        <f>IF(Table1[[#This Row],[Other]]&lt;&gt;"","Other","")</f>
        <v/>
      </c>
      <c r="AX190" s="57"/>
      <c r="AY190" s="59"/>
      <c r="AZ190" s="61" t="str">
        <f>IF(Table1[[#This Row],[Other]]="","",IF(Table1[[#This Row],[Destination - Other]]="","",HYPERLINK(Table1[[#This Row],[Destination - Other]],_xlfn.CONCAT("Link ("&amp;Table1[[#This Row],[Other]]&amp;")"))))</f>
        <v/>
      </c>
      <c r="BA190" s="59"/>
      <c r="BB190" s="58" t="str">
        <f>IF(AND( Table1[[#This Row],[Auto Order]]=1,Table1[[#This Row],[Obsolete]]=""),IF(Table1[[#This Row],[In stock]]&lt;Table1[[#This Row],[Min in stock]],1,""),"")</f>
        <v/>
      </c>
      <c r="BC190" s="64"/>
      <c r="BD190" s="66" t="str">
        <f>IF(Table1[[#This Row],[Obsolete]],Table1[[#This Row],[Art. Number]],"")</f>
        <v/>
      </c>
    </row>
    <row r="191" spans="1:56" x14ac:dyDescent="0.25">
      <c r="A191" s="65" t="s">
        <v>1117</v>
      </c>
      <c r="B191" s="57" t="s">
        <v>168</v>
      </c>
      <c r="C191" s="57" t="s">
        <v>97</v>
      </c>
      <c r="D191" s="57" t="s">
        <v>1118</v>
      </c>
      <c r="E191" s="57" t="s">
        <v>151</v>
      </c>
      <c r="F191" s="58">
        <v>0</v>
      </c>
      <c r="G191" s="58"/>
      <c r="H191" s="58"/>
      <c r="I19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RHM10DCT-ND</v>
      </c>
      <c r="J19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(RHM10DCT-ND)</v>
      </c>
      <c r="M191" s="57" t="s">
        <v>1119</v>
      </c>
      <c r="N191" s="59">
        <v>0.1</v>
      </c>
      <c r="O191" s="61" t="str">
        <f>IF(Table1[[#This Row],[Digikey]]="","", HYPERLINK(Table1[[#This Row],[Destination - Digikey]],_xlfn.CONCAT("Link (",Table1[[#This Row],[Digikey]],")")))</f>
        <v>Link (RHM10DCT-ND)</v>
      </c>
      <c r="P191" s="62" t="str">
        <f>_xlfn.CONCAT("https://www.digikey.ch/products/en?keywords=",Table1[[#This Row],[Digikey]])</f>
        <v>https://www.digikey.ch/products/en?keywords=RHM10DCT-ND</v>
      </c>
      <c r="Q191" s="57"/>
      <c r="R191" s="59"/>
      <c r="S191" s="61" t="str">
        <f>IF(Table1[[#This Row],[Farnell]]="","", HYPERLINK(Table1[[#This Row],[Destination - Farnell]],_xlfn.CONCAT("Link (",Table1[[#This Row],[Farnell]],")")))</f>
        <v/>
      </c>
      <c r="T191" s="62" t="str">
        <f>_xlfn.CONCAT("https://ch.farnell.com/fr-CH/",Table1[[#This Row],[Farnell]])</f>
        <v>https://ch.farnell.com/fr-CH/</v>
      </c>
      <c r="U191" s="57"/>
      <c r="V191" s="59"/>
      <c r="W191" s="61" t="str">
        <f>IF(Table1[[#This Row],[Distrelec]]="","", HYPERLINK(Table1[[#This Row],[Destination - Distrelec]],_xlfn.CONCAT("Link (",Table1[[#This Row],[Distrelec]],")")))</f>
        <v/>
      </c>
      <c r="X191" s="62" t="str">
        <f>_xlfn.CONCAT("https://www.distrelec.ch/search?q=",Table1[[#This Row],[Distrelec]])</f>
        <v>https://www.distrelec.ch/search?q=</v>
      </c>
      <c r="Y191" s="57"/>
      <c r="Z191" s="59"/>
      <c r="AA191" s="61" t="str">
        <f>IF(Table1[[#This Row],[Conrad]]="","", HYPERLINK(Table1[[#This Row],[Destination - Conrad]],_xlfn.CONCAT("Link (",Table1[[#This Row],[Conrad]],")")))</f>
        <v/>
      </c>
      <c r="AB191" s="62"/>
      <c r="AC191" s="57"/>
      <c r="AD191" s="59"/>
      <c r="AE191" s="61" t="str">
        <f>IF(Table1[[#This Row],[Mouser]]="","", HYPERLINK(Table1[[#This Row],[Destination - Mouser]],_xlfn.CONCAT("Link (",Table1[[#This Row],[Mouser]],")")))</f>
        <v/>
      </c>
      <c r="AF191" s="62" t="str">
        <f>_xlfn.CONCAT("https://www.mouser.ch/ProductDetail/",Table1[[#This Row],[Mouser]])</f>
        <v>https://www.mouser.ch/ProductDetail/</v>
      </c>
      <c r="AG191" s="57"/>
      <c r="AH191" s="59"/>
      <c r="AI191" s="61" t="str">
        <f>IF(Table1[[#This Row],[Bauhaus]]="","", HYPERLINK(Table1[[#This Row],[Destination - Bauhaus]],_xlfn.CONCAT("Link (",Table1[[#This Row],[Bauhaus]],")")))</f>
        <v/>
      </c>
      <c r="AJ191" s="62" t="str">
        <f>_xlfn.CONCAT("https://www.bauhaus.ch/fr/search?query=",Table1[[#This Row],[Bauhaus]])</f>
        <v>https://www.bauhaus.ch/fr/search?query=</v>
      </c>
      <c r="AK191" s="59"/>
      <c r="AL191" s="59"/>
      <c r="AM191" s="61" t="str">
        <f>IF(Table1[[#This Row],[BricoEtLoisirs]]="","", HYPERLINK(Table1[[#This Row],[Destination - BricoEtLoisirs]],_xlfn.CONCAT("Link (",Table1[[#This Row],[BricoEtLoisirs]],")")))</f>
        <v/>
      </c>
      <c r="AN191" s="62" t="str">
        <f>_xlfn.CONCAT("https://bricoetloisirs.ch/p/",Table1[[#This Row],[BricoEtLoisirs]])</f>
        <v>https://bricoetloisirs.ch/p/</v>
      </c>
      <c r="AO191" s="57"/>
      <c r="AP191" s="59"/>
      <c r="AQ191" s="61" t="str">
        <f>IF(Table1[[#This Row],[Aliexpress]]="","", HYPERLINK(Table1[[#This Row],[Destination - Aliexpress]],_xlfn.CONCAT("Link (",Table1[[#This Row],[Aliexpress]],")")))</f>
        <v/>
      </c>
      <c r="AR191" s="62" t="str">
        <f>_xlfn.CONCAT("https://www.aliexpress.com/item/",Table1[[#This Row],[Aliexpress]],".html")</f>
        <v>https://www.aliexpress.com/item/.html</v>
      </c>
      <c r="AS191" s="57"/>
      <c r="AT191" s="59"/>
      <c r="AU191" s="61" t="str">
        <f>IF(Table1[[#This Row],[Banggood]]="","", HYPERLINK(Table1[[#This Row],[Destination - Banggood]],_xlfn.CONCAT("Link (",Table1[[#This Row],[Banggood]],")")))</f>
        <v/>
      </c>
      <c r="AV191" s="62" t="str">
        <f>_xlfn.CONCAT("https://www.banggood.com/search/",Table1[[#This Row],[Banggood]],".html")</f>
        <v>https://www.banggood.com/search/.html</v>
      </c>
      <c r="AW191" s="59" t="str">
        <f>IF(Table1[[#This Row],[Other]]&lt;&gt;"","Other","")</f>
        <v/>
      </c>
      <c r="AX191" s="57"/>
      <c r="AY191" s="59"/>
      <c r="AZ191" s="61" t="str">
        <f>IF(Table1[[#This Row],[Other]]="","",IF(Table1[[#This Row],[Destination - Other]]="","",HYPERLINK(Table1[[#This Row],[Destination - Other]],_xlfn.CONCAT("Link ("&amp;Table1[[#This Row],[Other]]&amp;")"))))</f>
        <v/>
      </c>
      <c r="BA191" s="59"/>
      <c r="BB191" s="58" t="str">
        <f>IF(AND( Table1[[#This Row],[Auto Order]]=1,Table1[[#This Row],[Obsolete]]=""),IF(Table1[[#This Row],[In stock]]&lt;Table1[[#This Row],[Min in stock]],1,""),"")</f>
        <v/>
      </c>
      <c r="BC191" s="64"/>
      <c r="BD191" s="66" t="str">
        <f>IF(Table1[[#This Row],[Obsolete]],Table1[[#This Row],[Art. Number]],"")</f>
        <v/>
      </c>
    </row>
    <row r="192" spans="1:56" x14ac:dyDescent="0.25">
      <c r="A192" s="65" t="s">
        <v>1123</v>
      </c>
      <c r="B192" s="57" t="s">
        <v>168</v>
      </c>
      <c r="C192" s="57" t="s">
        <v>97</v>
      </c>
      <c r="D192" s="57" t="s">
        <v>1124</v>
      </c>
      <c r="E192" s="57" t="s">
        <v>151</v>
      </c>
      <c r="F192" s="58">
        <v>0</v>
      </c>
      <c r="G192" s="58"/>
      <c r="H192" s="58"/>
      <c r="I19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RHM100DCT-ND</v>
      </c>
      <c r="J19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(RHM100DCT-ND)</v>
      </c>
      <c r="M192" s="57" t="s">
        <v>1125</v>
      </c>
      <c r="N192" s="59">
        <v>0.1</v>
      </c>
      <c r="O192" s="61" t="str">
        <f>IF(Table1[[#This Row],[Digikey]]="","", HYPERLINK(Table1[[#This Row],[Destination - Digikey]],_xlfn.CONCAT("Link (",Table1[[#This Row],[Digikey]],")")))</f>
        <v>Link (RHM100DCT-ND)</v>
      </c>
      <c r="P192" s="62" t="str">
        <f>_xlfn.CONCAT("https://www.digikey.ch/products/en?keywords=",Table1[[#This Row],[Digikey]])</f>
        <v>https://www.digikey.ch/products/en?keywords=RHM100DCT-ND</v>
      </c>
      <c r="Q192" s="57"/>
      <c r="R192" s="59"/>
      <c r="S192" s="61" t="str">
        <f>IF(Table1[[#This Row],[Farnell]]="","", HYPERLINK(Table1[[#This Row],[Destination - Farnell]],_xlfn.CONCAT("Link (",Table1[[#This Row],[Farnell]],")")))</f>
        <v/>
      </c>
      <c r="T192" s="62" t="str">
        <f>_xlfn.CONCAT("https://ch.farnell.com/fr-CH/",Table1[[#This Row],[Farnell]])</f>
        <v>https://ch.farnell.com/fr-CH/</v>
      </c>
      <c r="U192" s="57"/>
      <c r="V192" s="59"/>
      <c r="W192" s="61" t="str">
        <f>IF(Table1[[#This Row],[Distrelec]]="","", HYPERLINK(Table1[[#This Row],[Destination - Distrelec]],_xlfn.CONCAT("Link (",Table1[[#This Row],[Distrelec]],")")))</f>
        <v/>
      </c>
      <c r="X192" s="62" t="str">
        <f>_xlfn.CONCAT("https://www.distrelec.ch/search?q=",Table1[[#This Row],[Distrelec]])</f>
        <v>https://www.distrelec.ch/search?q=</v>
      </c>
      <c r="Y192" s="57"/>
      <c r="Z192" s="59"/>
      <c r="AA192" s="61" t="str">
        <f>IF(Table1[[#This Row],[Conrad]]="","", HYPERLINK(Table1[[#This Row],[Destination - Conrad]],_xlfn.CONCAT("Link (",Table1[[#This Row],[Conrad]],")")))</f>
        <v/>
      </c>
      <c r="AB192" s="62"/>
      <c r="AC192" s="57"/>
      <c r="AD192" s="59"/>
      <c r="AE192" s="61" t="str">
        <f>IF(Table1[[#This Row],[Mouser]]="","", HYPERLINK(Table1[[#This Row],[Destination - Mouser]],_xlfn.CONCAT("Link (",Table1[[#This Row],[Mouser]],")")))</f>
        <v/>
      </c>
      <c r="AF192" s="62" t="str">
        <f>_xlfn.CONCAT("https://www.mouser.ch/ProductDetail/",Table1[[#This Row],[Mouser]])</f>
        <v>https://www.mouser.ch/ProductDetail/</v>
      </c>
      <c r="AG192" s="57"/>
      <c r="AH192" s="59"/>
      <c r="AI192" s="61" t="str">
        <f>IF(Table1[[#This Row],[Bauhaus]]="","", HYPERLINK(Table1[[#This Row],[Destination - Bauhaus]],_xlfn.CONCAT("Link (",Table1[[#This Row],[Bauhaus]],")")))</f>
        <v/>
      </c>
      <c r="AJ192" s="62" t="str">
        <f>_xlfn.CONCAT("https://www.bauhaus.ch/fr/search?query=",Table1[[#This Row],[Bauhaus]])</f>
        <v>https://www.bauhaus.ch/fr/search?query=</v>
      </c>
      <c r="AK192" s="59"/>
      <c r="AL192" s="59"/>
      <c r="AM192" s="61" t="str">
        <f>IF(Table1[[#This Row],[BricoEtLoisirs]]="","", HYPERLINK(Table1[[#This Row],[Destination - BricoEtLoisirs]],_xlfn.CONCAT("Link (",Table1[[#This Row],[BricoEtLoisirs]],")")))</f>
        <v/>
      </c>
      <c r="AN192" s="62" t="str">
        <f>_xlfn.CONCAT("https://bricoetloisirs.ch/p/",Table1[[#This Row],[BricoEtLoisirs]])</f>
        <v>https://bricoetloisirs.ch/p/</v>
      </c>
      <c r="AO192" s="57"/>
      <c r="AP192" s="59"/>
      <c r="AQ192" s="61" t="str">
        <f>IF(Table1[[#This Row],[Aliexpress]]="","", HYPERLINK(Table1[[#This Row],[Destination - Aliexpress]],_xlfn.CONCAT("Link (",Table1[[#This Row],[Aliexpress]],")")))</f>
        <v/>
      </c>
      <c r="AR192" s="62" t="str">
        <f>_xlfn.CONCAT("https://www.aliexpress.com/item/",Table1[[#This Row],[Aliexpress]],".html")</f>
        <v>https://www.aliexpress.com/item/.html</v>
      </c>
      <c r="AS192" s="57"/>
      <c r="AT192" s="59"/>
      <c r="AU192" s="61" t="str">
        <f>IF(Table1[[#This Row],[Banggood]]="","", HYPERLINK(Table1[[#This Row],[Destination - Banggood]],_xlfn.CONCAT("Link (",Table1[[#This Row],[Banggood]],")")))</f>
        <v/>
      </c>
      <c r="AV192" s="62" t="str">
        <f>_xlfn.CONCAT("https://www.banggood.com/search/",Table1[[#This Row],[Banggood]],".html")</f>
        <v>https://www.banggood.com/search/.html</v>
      </c>
      <c r="AW192" s="59" t="str">
        <f>IF(Table1[[#This Row],[Other]]&lt;&gt;"","Other","")</f>
        <v/>
      </c>
      <c r="AX192" s="57"/>
      <c r="AY192" s="59"/>
      <c r="AZ192" s="61" t="str">
        <f>IF(Table1[[#This Row],[Other]]="","",IF(Table1[[#This Row],[Destination - Other]]="","",HYPERLINK(Table1[[#This Row],[Destination - Other]],_xlfn.CONCAT("Link ("&amp;Table1[[#This Row],[Other]]&amp;")"))))</f>
        <v/>
      </c>
      <c r="BA192" s="59"/>
      <c r="BB192" s="58" t="str">
        <f>IF(AND( Table1[[#This Row],[Auto Order]]=1,Table1[[#This Row],[Obsolete]]=""),IF(Table1[[#This Row],[In stock]]&lt;Table1[[#This Row],[Min in stock]],1,""),"")</f>
        <v/>
      </c>
      <c r="BC192" s="64"/>
      <c r="BD192" s="66" t="str">
        <f>IF(Table1[[#This Row],[Obsolete]],Table1[[#This Row],[Art. Number]],"")</f>
        <v/>
      </c>
    </row>
    <row r="193" spans="1:56" x14ac:dyDescent="0.25">
      <c r="A193" s="65" t="s">
        <v>176</v>
      </c>
      <c r="B193" s="57" t="s">
        <v>168</v>
      </c>
      <c r="C193" s="57" t="s">
        <v>1129</v>
      </c>
      <c r="D193" s="57" t="s">
        <v>1130</v>
      </c>
      <c r="E193" s="57" t="s">
        <v>151</v>
      </c>
      <c r="F193" s="58">
        <v>90</v>
      </c>
      <c r="G193" s="58">
        <v>10</v>
      </c>
      <c r="H193" s="58">
        <v>1</v>
      </c>
      <c r="I19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RHM1.0KDCT-ND</v>
      </c>
      <c r="J19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(RHM1.0KDCT-ND)</v>
      </c>
      <c r="M193" s="57" t="s">
        <v>1131</v>
      </c>
      <c r="N193" s="59">
        <v>0.1</v>
      </c>
      <c r="O193" s="61" t="str">
        <f>IF(Table1[[#This Row],[Digikey]]="","", HYPERLINK(Table1[[#This Row],[Destination - Digikey]],_xlfn.CONCAT("Link (",Table1[[#This Row],[Digikey]],")")))</f>
        <v>Link (RHM1.0KDCT-ND)</v>
      </c>
      <c r="P193" s="62" t="str">
        <f>_xlfn.CONCAT("https://www.digikey.ch/products/en?keywords=",Table1[[#This Row],[Digikey]])</f>
        <v>https://www.digikey.ch/products/en?keywords=RHM1.0KDCT-ND</v>
      </c>
      <c r="Q193" s="57"/>
      <c r="R193" s="59"/>
      <c r="S193" s="61" t="str">
        <f>IF(Table1[[#This Row],[Farnell]]="","", HYPERLINK(Table1[[#This Row],[Destination - Farnell]],_xlfn.CONCAT("Link (",Table1[[#This Row],[Farnell]],")")))</f>
        <v/>
      </c>
      <c r="T193" s="62" t="str">
        <f>_xlfn.CONCAT("https://ch.farnell.com/fr-CH/",Table1[[#This Row],[Farnell]])</f>
        <v>https://ch.farnell.com/fr-CH/</v>
      </c>
      <c r="U193" s="57"/>
      <c r="V193" s="59"/>
      <c r="W193" s="61" t="str">
        <f>IF(Table1[[#This Row],[Distrelec]]="","", HYPERLINK(Table1[[#This Row],[Destination - Distrelec]],_xlfn.CONCAT("Link (",Table1[[#This Row],[Distrelec]],")")))</f>
        <v/>
      </c>
      <c r="X193" s="62" t="str">
        <f>_xlfn.CONCAT("https://www.distrelec.ch/search?q=",Table1[[#This Row],[Distrelec]])</f>
        <v>https://www.distrelec.ch/search?q=</v>
      </c>
      <c r="Y193" s="57"/>
      <c r="Z193" s="59"/>
      <c r="AA193" s="61" t="str">
        <f>IF(Table1[[#This Row],[Conrad]]="","", HYPERLINK(Table1[[#This Row],[Destination - Conrad]],_xlfn.CONCAT("Link (",Table1[[#This Row],[Conrad]],")")))</f>
        <v/>
      </c>
      <c r="AB193" s="62"/>
      <c r="AC193" s="57"/>
      <c r="AD193" s="59"/>
      <c r="AE193" s="61" t="str">
        <f>IF(Table1[[#This Row],[Mouser]]="","", HYPERLINK(Table1[[#This Row],[Destination - Mouser]],_xlfn.CONCAT("Link (",Table1[[#This Row],[Mouser]],")")))</f>
        <v/>
      </c>
      <c r="AF193" s="62" t="str">
        <f>_xlfn.CONCAT("https://www.mouser.ch/ProductDetail/",Table1[[#This Row],[Mouser]])</f>
        <v>https://www.mouser.ch/ProductDetail/</v>
      </c>
      <c r="AG193" s="57"/>
      <c r="AH193" s="59"/>
      <c r="AI193" s="61" t="str">
        <f>IF(Table1[[#This Row],[Bauhaus]]="","", HYPERLINK(Table1[[#This Row],[Destination - Bauhaus]],_xlfn.CONCAT("Link (",Table1[[#This Row],[Bauhaus]],")")))</f>
        <v/>
      </c>
      <c r="AJ193" s="62" t="str">
        <f>_xlfn.CONCAT("https://www.bauhaus.ch/fr/search?query=",Table1[[#This Row],[Bauhaus]])</f>
        <v>https://www.bauhaus.ch/fr/search?query=</v>
      </c>
      <c r="AK193" s="59"/>
      <c r="AL193" s="59"/>
      <c r="AM193" s="61" t="str">
        <f>IF(Table1[[#This Row],[BricoEtLoisirs]]="","", HYPERLINK(Table1[[#This Row],[Destination - BricoEtLoisirs]],_xlfn.CONCAT("Link (",Table1[[#This Row],[BricoEtLoisirs]],")")))</f>
        <v/>
      </c>
      <c r="AN193" s="62" t="str">
        <f>_xlfn.CONCAT("https://bricoetloisirs.ch/p/",Table1[[#This Row],[BricoEtLoisirs]])</f>
        <v>https://bricoetloisirs.ch/p/</v>
      </c>
      <c r="AO193" s="57"/>
      <c r="AP193" s="59"/>
      <c r="AQ193" s="61" t="str">
        <f>IF(Table1[[#This Row],[Aliexpress]]="","", HYPERLINK(Table1[[#This Row],[Destination - Aliexpress]],_xlfn.CONCAT("Link (",Table1[[#This Row],[Aliexpress]],")")))</f>
        <v/>
      </c>
      <c r="AR193" s="62" t="str">
        <f>_xlfn.CONCAT("https://www.aliexpress.com/item/",Table1[[#This Row],[Aliexpress]],".html")</f>
        <v>https://www.aliexpress.com/item/.html</v>
      </c>
      <c r="AS193" s="57"/>
      <c r="AT193" s="59"/>
      <c r="AU193" s="61" t="str">
        <f>IF(Table1[[#This Row],[Banggood]]="","", HYPERLINK(Table1[[#This Row],[Destination - Banggood]],_xlfn.CONCAT("Link (",Table1[[#This Row],[Banggood]],")")))</f>
        <v/>
      </c>
      <c r="AV193" s="62" t="str">
        <f>_xlfn.CONCAT("https://www.banggood.com/search/",Table1[[#This Row],[Banggood]],".html")</f>
        <v>https://www.banggood.com/search/.html</v>
      </c>
      <c r="AW193" s="59" t="str">
        <f>IF(Table1[[#This Row],[Other]]&lt;&gt;"","Other","")</f>
        <v/>
      </c>
      <c r="AX193" s="57"/>
      <c r="AY193" s="59"/>
      <c r="AZ193" s="61" t="str">
        <f>IF(Table1[[#This Row],[Other]]="","",IF(Table1[[#This Row],[Destination - Other]]="","",HYPERLINK(Table1[[#This Row],[Destination - Other]],_xlfn.CONCAT("Link ("&amp;Table1[[#This Row],[Other]]&amp;")"))))</f>
        <v/>
      </c>
      <c r="BA193" s="59"/>
      <c r="BB193" s="58" t="str">
        <f>IF(AND( Table1[[#This Row],[Auto Order]]=1,Table1[[#This Row],[Obsolete]]=""),IF(Table1[[#This Row],[In stock]]&lt;Table1[[#This Row],[Min in stock]],1,""),"")</f>
        <v/>
      </c>
      <c r="BC193" s="64"/>
      <c r="BD193" s="66" t="str">
        <f>IF(Table1[[#This Row],[Obsolete]],Table1[[#This Row],[Art. Number]],"")</f>
        <v/>
      </c>
    </row>
    <row r="194" spans="1:56" x14ac:dyDescent="0.25">
      <c r="A194" s="65" t="s">
        <v>180</v>
      </c>
      <c r="B194" s="57" t="s">
        <v>168</v>
      </c>
      <c r="C194" s="57" t="s">
        <v>1135</v>
      </c>
      <c r="D194" s="57" t="s">
        <v>1136</v>
      </c>
      <c r="E194" s="57" t="s">
        <v>151</v>
      </c>
      <c r="F194" s="58">
        <v>9</v>
      </c>
      <c r="G194" s="58"/>
      <c r="H194" s="58"/>
      <c r="I19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RHM10KDCT-ND</v>
      </c>
      <c r="J19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8.4000000000000005E-2</v>
      </c>
      <c r="K19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(RHM10KDCT-ND)</v>
      </c>
      <c r="M194" s="57" t="s">
        <v>1137</v>
      </c>
      <c r="N194" s="59">
        <v>8.4000000000000005E-2</v>
      </c>
      <c r="O194" s="61" t="str">
        <f>IF(Table1[[#This Row],[Digikey]]="","", HYPERLINK(Table1[[#This Row],[Destination - Digikey]],_xlfn.CONCAT("Link (",Table1[[#This Row],[Digikey]],")")))</f>
        <v>Link (RHM10KDCT-ND)</v>
      </c>
      <c r="P194" s="62" t="str">
        <f>_xlfn.CONCAT("https://www.digikey.ch/products/en?keywords=",Table1[[#This Row],[Digikey]])</f>
        <v>https://www.digikey.ch/products/en?keywords=RHM10KDCT-ND</v>
      </c>
      <c r="Q194" s="57"/>
      <c r="R194" s="59"/>
      <c r="S194" s="61" t="str">
        <f>IF(Table1[[#This Row],[Farnell]]="","", HYPERLINK(Table1[[#This Row],[Destination - Farnell]],_xlfn.CONCAT("Link (",Table1[[#This Row],[Farnell]],")")))</f>
        <v/>
      </c>
      <c r="T194" s="62" t="str">
        <f>_xlfn.CONCAT("https://ch.farnell.com/fr-CH/",Table1[[#This Row],[Farnell]])</f>
        <v>https://ch.farnell.com/fr-CH/</v>
      </c>
      <c r="U194" s="57"/>
      <c r="V194" s="59"/>
      <c r="W194" s="61" t="str">
        <f>IF(Table1[[#This Row],[Distrelec]]="","", HYPERLINK(Table1[[#This Row],[Destination - Distrelec]],_xlfn.CONCAT("Link (",Table1[[#This Row],[Distrelec]],")")))</f>
        <v/>
      </c>
      <c r="X194" s="62" t="str">
        <f>_xlfn.CONCAT("https://www.distrelec.ch/search?q=",Table1[[#This Row],[Distrelec]])</f>
        <v>https://www.distrelec.ch/search?q=</v>
      </c>
      <c r="Y194" s="57"/>
      <c r="Z194" s="59"/>
      <c r="AA194" s="61" t="str">
        <f>IF(Table1[[#This Row],[Conrad]]="","", HYPERLINK(Table1[[#This Row],[Destination - Conrad]],_xlfn.CONCAT("Link (",Table1[[#This Row],[Conrad]],")")))</f>
        <v/>
      </c>
      <c r="AB194" s="62"/>
      <c r="AC194" s="57"/>
      <c r="AD194" s="59"/>
      <c r="AE194" s="61" t="str">
        <f>IF(Table1[[#This Row],[Mouser]]="","", HYPERLINK(Table1[[#This Row],[Destination - Mouser]],_xlfn.CONCAT("Link (",Table1[[#This Row],[Mouser]],")")))</f>
        <v/>
      </c>
      <c r="AF194" s="62" t="str">
        <f>_xlfn.CONCAT("https://www.mouser.ch/ProductDetail/",Table1[[#This Row],[Mouser]])</f>
        <v>https://www.mouser.ch/ProductDetail/</v>
      </c>
      <c r="AG194" s="57"/>
      <c r="AH194" s="59"/>
      <c r="AI194" s="61" t="str">
        <f>IF(Table1[[#This Row],[Bauhaus]]="","", HYPERLINK(Table1[[#This Row],[Destination - Bauhaus]],_xlfn.CONCAT("Link (",Table1[[#This Row],[Bauhaus]],")")))</f>
        <v/>
      </c>
      <c r="AJ194" s="62" t="str">
        <f>_xlfn.CONCAT("https://www.bauhaus.ch/fr/search?query=",Table1[[#This Row],[Bauhaus]])</f>
        <v>https://www.bauhaus.ch/fr/search?query=</v>
      </c>
      <c r="AK194" s="59"/>
      <c r="AL194" s="59"/>
      <c r="AM194" s="61" t="str">
        <f>IF(Table1[[#This Row],[BricoEtLoisirs]]="","", HYPERLINK(Table1[[#This Row],[Destination - BricoEtLoisirs]],_xlfn.CONCAT("Link (",Table1[[#This Row],[BricoEtLoisirs]],")")))</f>
        <v/>
      </c>
      <c r="AN194" s="62" t="str">
        <f>_xlfn.CONCAT("https://bricoetloisirs.ch/p/",Table1[[#This Row],[BricoEtLoisirs]])</f>
        <v>https://bricoetloisirs.ch/p/</v>
      </c>
      <c r="AO194" s="57"/>
      <c r="AP194" s="59"/>
      <c r="AQ194" s="61" t="str">
        <f>IF(Table1[[#This Row],[Aliexpress]]="","", HYPERLINK(Table1[[#This Row],[Destination - Aliexpress]],_xlfn.CONCAT("Link (",Table1[[#This Row],[Aliexpress]],")")))</f>
        <v/>
      </c>
      <c r="AR194" s="62" t="str">
        <f>_xlfn.CONCAT("https://www.aliexpress.com/item/",Table1[[#This Row],[Aliexpress]],".html")</f>
        <v>https://www.aliexpress.com/item/.html</v>
      </c>
      <c r="AS194" s="57"/>
      <c r="AT194" s="59"/>
      <c r="AU194" s="61" t="str">
        <f>IF(Table1[[#This Row],[Banggood]]="","", HYPERLINK(Table1[[#This Row],[Destination - Banggood]],_xlfn.CONCAT("Link (",Table1[[#This Row],[Banggood]],")")))</f>
        <v/>
      </c>
      <c r="AV194" s="62" t="str">
        <f>_xlfn.CONCAT("https://www.banggood.com/search/",Table1[[#This Row],[Banggood]],".html")</f>
        <v>https://www.banggood.com/search/.html</v>
      </c>
      <c r="AW194" s="59" t="str">
        <f>IF(Table1[[#This Row],[Other]]&lt;&gt;"","Other","")</f>
        <v/>
      </c>
      <c r="AX194" s="57"/>
      <c r="AY194" s="59"/>
      <c r="AZ194" s="61" t="str">
        <f>IF(Table1[[#This Row],[Other]]="","",IF(Table1[[#This Row],[Destination - Other]]="","",HYPERLINK(Table1[[#This Row],[Destination - Other]],_xlfn.CONCAT("Link ("&amp;Table1[[#This Row],[Other]]&amp;")"))))</f>
        <v/>
      </c>
      <c r="BA194" s="59"/>
      <c r="BB194" s="58" t="str">
        <f>IF(AND( Table1[[#This Row],[Auto Order]]=1,Table1[[#This Row],[Obsolete]]=""),IF(Table1[[#This Row],[In stock]]&lt;Table1[[#This Row],[Min in stock]],1,""),"")</f>
        <v/>
      </c>
      <c r="BC194" s="64"/>
      <c r="BD194" s="66" t="str">
        <f>IF(Table1[[#This Row],[Obsolete]],Table1[[#This Row],[Art. Number]],"")</f>
        <v/>
      </c>
    </row>
    <row r="195" spans="1:56" x14ac:dyDescent="0.25">
      <c r="A195" s="65" t="s">
        <v>1141</v>
      </c>
      <c r="B195" s="57" t="s">
        <v>168</v>
      </c>
      <c r="C195" s="57" t="s">
        <v>97</v>
      </c>
      <c r="D195" s="57" t="s">
        <v>1142</v>
      </c>
      <c r="E195" s="57" t="s">
        <v>151</v>
      </c>
      <c r="F195" s="58">
        <v>0</v>
      </c>
      <c r="G195" s="58"/>
      <c r="H195" s="58"/>
      <c r="I19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RHM100KDCT-ND</v>
      </c>
      <c r="J19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(RHM100KDCT-ND)</v>
      </c>
      <c r="M195" s="57" t="s">
        <v>1143</v>
      </c>
      <c r="N195" s="59">
        <v>0.1</v>
      </c>
      <c r="O195" s="61" t="str">
        <f>IF(Table1[[#This Row],[Digikey]]="","", HYPERLINK(Table1[[#This Row],[Destination - Digikey]],_xlfn.CONCAT("Link (",Table1[[#This Row],[Digikey]],")")))</f>
        <v>Link (RHM100KDCT-ND)</v>
      </c>
      <c r="P195" s="62" t="str">
        <f>_xlfn.CONCAT("https://www.digikey.ch/products/en?keywords=",Table1[[#This Row],[Digikey]])</f>
        <v>https://www.digikey.ch/products/en?keywords=RHM100KDCT-ND</v>
      </c>
      <c r="Q195" s="57"/>
      <c r="R195" s="59"/>
      <c r="S195" s="61" t="str">
        <f>IF(Table1[[#This Row],[Farnell]]="","", HYPERLINK(Table1[[#This Row],[Destination - Farnell]],_xlfn.CONCAT("Link (",Table1[[#This Row],[Farnell]],")")))</f>
        <v/>
      </c>
      <c r="T195" s="62" t="str">
        <f>_xlfn.CONCAT("https://ch.farnell.com/fr-CH/",Table1[[#This Row],[Farnell]])</f>
        <v>https://ch.farnell.com/fr-CH/</v>
      </c>
      <c r="U195" s="57"/>
      <c r="V195" s="59"/>
      <c r="W195" s="61" t="str">
        <f>IF(Table1[[#This Row],[Distrelec]]="","", HYPERLINK(Table1[[#This Row],[Destination - Distrelec]],_xlfn.CONCAT("Link (",Table1[[#This Row],[Distrelec]],")")))</f>
        <v/>
      </c>
      <c r="X195" s="62" t="str">
        <f>_xlfn.CONCAT("https://www.distrelec.ch/search?q=",Table1[[#This Row],[Distrelec]])</f>
        <v>https://www.distrelec.ch/search?q=</v>
      </c>
      <c r="Y195" s="57"/>
      <c r="Z195" s="59"/>
      <c r="AA195" s="61" t="str">
        <f>IF(Table1[[#This Row],[Conrad]]="","", HYPERLINK(Table1[[#This Row],[Destination - Conrad]],_xlfn.CONCAT("Link (",Table1[[#This Row],[Conrad]],")")))</f>
        <v/>
      </c>
      <c r="AB195" s="62"/>
      <c r="AC195" s="57"/>
      <c r="AD195" s="59"/>
      <c r="AE195" s="61" t="str">
        <f>IF(Table1[[#This Row],[Mouser]]="","", HYPERLINK(Table1[[#This Row],[Destination - Mouser]],_xlfn.CONCAT("Link (",Table1[[#This Row],[Mouser]],")")))</f>
        <v/>
      </c>
      <c r="AF195" s="62" t="str">
        <f>_xlfn.CONCAT("https://www.mouser.ch/ProductDetail/",Table1[[#This Row],[Mouser]])</f>
        <v>https://www.mouser.ch/ProductDetail/</v>
      </c>
      <c r="AG195" s="57"/>
      <c r="AH195" s="59"/>
      <c r="AI195" s="61" t="str">
        <f>IF(Table1[[#This Row],[Bauhaus]]="","", HYPERLINK(Table1[[#This Row],[Destination - Bauhaus]],_xlfn.CONCAT("Link (",Table1[[#This Row],[Bauhaus]],")")))</f>
        <v/>
      </c>
      <c r="AJ195" s="62" t="str">
        <f>_xlfn.CONCAT("https://www.bauhaus.ch/fr/search?query=",Table1[[#This Row],[Bauhaus]])</f>
        <v>https://www.bauhaus.ch/fr/search?query=</v>
      </c>
      <c r="AK195" s="59"/>
      <c r="AL195" s="59"/>
      <c r="AM195" s="61" t="str">
        <f>IF(Table1[[#This Row],[BricoEtLoisirs]]="","", HYPERLINK(Table1[[#This Row],[Destination - BricoEtLoisirs]],_xlfn.CONCAT("Link (",Table1[[#This Row],[BricoEtLoisirs]],")")))</f>
        <v/>
      </c>
      <c r="AN195" s="62" t="str">
        <f>_xlfn.CONCAT("https://bricoetloisirs.ch/p/",Table1[[#This Row],[BricoEtLoisirs]])</f>
        <v>https://bricoetloisirs.ch/p/</v>
      </c>
      <c r="AO195" s="57"/>
      <c r="AP195" s="59"/>
      <c r="AQ195" s="61" t="str">
        <f>IF(Table1[[#This Row],[Aliexpress]]="","", HYPERLINK(Table1[[#This Row],[Destination - Aliexpress]],_xlfn.CONCAT("Link (",Table1[[#This Row],[Aliexpress]],")")))</f>
        <v/>
      </c>
      <c r="AR195" s="62" t="str">
        <f>_xlfn.CONCAT("https://www.aliexpress.com/item/",Table1[[#This Row],[Aliexpress]],".html")</f>
        <v>https://www.aliexpress.com/item/.html</v>
      </c>
      <c r="AS195" s="57"/>
      <c r="AT195" s="59"/>
      <c r="AU195" s="61" t="str">
        <f>IF(Table1[[#This Row],[Banggood]]="","", HYPERLINK(Table1[[#This Row],[Destination - Banggood]],_xlfn.CONCAT("Link (",Table1[[#This Row],[Banggood]],")")))</f>
        <v/>
      </c>
      <c r="AV195" s="62" t="str">
        <f>_xlfn.CONCAT("https://www.banggood.com/search/",Table1[[#This Row],[Banggood]],".html")</f>
        <v>https://www.banggood.com/search/.html</v>
      </c>
      <c r="AW195" s="59" t="str">
        <f>IF(Table1[[#This Row],[Other]]&lt;&gt;"","Other","")</f>
        <v/>
      </c>
      <c r="AX195" s="57"/>
      <c r="AY195" s="59"/>
      <c r="AZ195" s="61" t="str">
        <f>IF(Table1[[#This Row],[Other]]="","",IF(Table1[[#This Row],[Destination - Other]]="","",HYPERLINK(Table1[[#This Row],[Destination - Other]],_xlfn.CONCAT("Link ("&amp;Table1[[#This Row],[Other]]&amp;")"))))</f>
        <v/>
      </c>
      <c r="BA195" s="59"/>
      <c r="BB195" s="58" t="str">
        <f>IF(AND( Table1[[#This Row],[Auto Order]]=1,Table1[[#This Row],[Obsolete]]=""),IF(Table1[[#This Row],[In stock]]&lt;Table1[[#This Row],[Min in stock]],1,""),"")</f>
        <v/>
      </c>
      <c r="BC195" s="64"/>
      <c r="BD195" s="66" t="str">
        <f>IF(Table1[[#This Row],[Obsolete]],Table1[[#This Row],[Art. Number]],"")</f>
        <v/>
      </c>
    </row>
    <row r="196" spans="1:56" x14ac:dyDescent="0.25">
      <c r="A196" s="65" t="s">
        <v>189</v>
      </c>
      <c r="B196" s="57" t="s">
        <v>168</v>
      </c>
      <c r="C196" s="57" t="s">
        <v>1147</v>
      </c>
      <c r="D196" s="57" t="s">
        <v>1148</v>
      </c>
      <c r="E196" s="57" t="s">
        <v>151</v>
      </c>
      <c r="F196" s="58">
        <v>8</v>
      </c>
      <c r="G196" s="58"/>
      <c r="H196" s="58"/>
      <c r="I19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RHM1MDCT-ND</v>
      </c>
      <c r="J19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(RHM1MDCT-ND)</v>
      </c>
      <c r="M196" s="57" t="s">
        <v>1149</v>
      </c>
      <c r="N196" s="59">
        <v>0.1</v>
      </c>
      <c r="O196" s="61" t="str">
        <f>IF(Table1[[#This Row],[Digikey]]="","", HYPERLINK(Table1[[#This Row],[Destination - Digikey]],_xlfn.CONCAT("Link (",Table1[[#This Row],[Digikey]],")")))</f>
        <v>Link (RHM1MDCT-ND)</v>
      </c>
      <c r="P196" s="62" t="str">
        <f>_xlfn.CONCAT("https://www.digikey.ch/products/en?keywords=",Table1[[#This Row],[Digikey]])</f>
        <v>https://www.digikey.ch/products/en?keywords=RHM1MDCT-ND</v>
      </c>
      <c r="Q196" s="57"/>
      <c r="R196" s="59"/>
      <c r="S196" s="61" t="str">
        <f>IF(Table1[[#This Row],[Farnell]]="","", HYPERLINK(Table1[[#This Row],[Destination - Farnell]],_xlfn.CONCAT("Link (",Table1[[#This Row],[Farnell]],")")))</f>
        <v/>
      </c>
      <c r="T196" s="62" t="str">
        <f>_xlfn.CONCAT("https://ch.farnell.com/fr-CH/",Table1[[#This Row],[Farnell]])</f>
        <v>https://ch.farnell.com/fr-CH/</v>
      </c>
      <c r="U196" s="57"/>
      <c r="V196" s="59"/>
      <c r="W196" s="61" t="str">
        <f>IF(Table1[[#This Row],[Distrelec]]="","", HYPERLINK(Table1[[#This Row],[Destination - Distrelec]],_xlfn.CONCAT("Link (",Table1[[#This Row],[Distrelec]],")")))</f>
        <v/>
      </c>
      <c r="X196" s="62" t="str">
        <f>_xlfn.CONCAT("https://www.distrelec.ch/search?q=",Table1[[#This Row],[Distrelec]])</f>
        <v>https://www.distrelec.ch/search?q=</v>
      </c>
      <c r="Y196" s="57"/>
      <c r="Z196" s="59"/>
      <c r="AA196" s="61" t="str">
        <f>IF(Table1[[#This Row],[Conrad]]="","", HYPERLINK(Table1[[#This Row],[Destination - Conrad]],_xlfn.CONCAT("Link (",Table1[[#This Row],[Conrad]],")")))</f>
        <v/>
      </c>
      <c r="AB196" s="62"/>
      <c r="AC196" s="57"/>
      <c r="AD196" s="59"/>
      <c r="AE196" s="61" t="str">
        <f>IF(Table1[[#This Row],[Mouser]]="","", HYPERLINK(Table1[[#This Row],[Destination - Mouser]],_xlfn.CONCAT("Link (",Table1[[#This Row],[Mouser]],")")))</f>
        <v/>
      </c>
      <c r="AF196" s="62" t="str">
        <f>_xlfn.CONCAT("https://www.mouser.ch/ProductDetail/",Table1[[#This Row],[Mouser]])</f>
        <v>https://www.mouser.ch/ProductDetail/</v>
      </c>
      <c r="AG196" s="57"/>
      <c r="AH196" s="59"/>
      <c r="AI196" s="61" t="str">
        <f>IF(Table1[[#This Row],[Bauhaus]]="","", HYPERLINK(Table1[[#This Row],[Destination - Bauhaus]],_xlfn.CONCAT("Link (",Table1[[#This Row],[Bauhaus]],")")))</f>
        <v/>
      </c>
      <c r="AJ196" s="62" t="str">
        <f>_xlfn.CONCAT("https://www.bauhaus.ch/fr/search?query=",Table1[[#This Row],[Bauhaus]])</f>
        <v>https://www.bauhaus.ch/fr/search?query=</v>
      </c>
      <c r="AK196" s="59"/>
      <c r="AL196" s="59"/>
      <c r="AM196" s="61" t="str">
        <f>IF(Table1[[#This Row],[BricoEtLoisirs]]="","", HYPERLINK(Table1[[#This Row],[Destination - BricoEtLoisirs]],_xlfn.CONCAT("Link (",Table1[[#This Row],[BricoEtLoisirs]],")")))</f>
        <v/>
      </c>
      <c r="AN196" s="62" t="str">
        <f>_xlfn.CONCAT("https://bricoetloisirs.ch/p/",Table1[[#This Row],[BricoEtLoisirs]])</f>
        <v>https://bricoetloisirs.ch/p/</v>
      </c>
      <c r="AO196" s="57"/>
      <c r="AP196" s="59"/>
      <c r="AQ196" s="61" t="str">
        <f>IF(Table1[[#This Row],[Aliexpress]]="","", HYPERLINK(Table1[[#This Row],[Destination - Aliexpress]],_xlfn.CONCAT("Link (",Table1[[#This Row],[Aliexpress]],")")))</f>
        <v/>
      </c>
      <c r="AR196" s="62" t="str">
        <f>_xlfn.CONCAT("https://www.aliexpress.com/item/",Table1[[#This Row],[Aliexpress]],".html")</f>
        <v>https://www.aliexpress.com/item/.html</v>
      </c>
      <c r="AS196" s="57"/>
      <c r="AT196" s="59"/>
      <c r="AU196" s="61" t="str">
        <f>IF(Table1[[#This Row],[Banggood]]="","", HYPERLINK(Table1[[#This Row],[Destination - Banggood]],_xlfn.CONCAT("Link (",Table1[[#This Row],[Banggood]],")")))</f>
        <v/>
      </c>
      <c r="AV196" s="62" t="str">
        <f>_xlfn.CONCAT("https://www.banggood.com/search/",Table1[[#This Row],[Banggood]],".html")</f>
        <v>https://www.banggood.com/search/.html</v>
      </c>
      <c r="AW196" s="59" t="str">
        <f>IF(Table1[[#This Row],[Other]]&lt;&gt;"","Other","")</f>
        <v/>
      </c>
      <c r="AX196" s="57"/>
      <c r="AY196" s="59"/>
      <c r="AZ196" s="61" t="str">
        <f>IF(Table1[[#This Row],[Other]]="","",IF(Table1[[#This Row],[Destination - Other]]="","",HYPERLINK(Table1[[#This Row],[Destination - Other]],_xlfn.CONCAT("Link ("&amp;Table1[[#This Row],[Other]]&amp;")"))))</f>
        <v/>
      </c>
      <c r="BA196" s="59"/>
      <c r="BB196" s="58" t="str">
        <f>IF(AND( Table1[[#This Row],[Auto Order]]=1,Table1[[#This Row],[Obsolete]]=""),IF(Table1[[#This Row],[In stock]]&lt;Table1[[#This Row],[Min in stock]],1,""),"")</f>
        <v/>
      </c>
      <c r="BC196" s="64"/>
      <c r="BD196" s="66" t="str">
        <f>IF(Table1[[#This Row],[Obsolete]],Table1[[#This Row],[Art. Number]],"")</f>
        <v/>
      </c>
    </row>
    <row r="197" spans="1:56" x14ac:dyDescent="0.25">
      <c r="A197" s="65" t="s">
        <v>1153</v>
      </c>
      <c r="B197" s="57" t="s">
        <v>168</v>
      </c>
      <c r="C197" s="57" t="s">
        <v>97</v>
      </c>
      <c r="D197" s="57" t="s">
        <v>1154</v>
      </c>
      <c r="E197" s="57" t="s">
        <v>151</v>
      </c>
      <c r="F197" s="58">
        <v>0</v>
      </c>
      <c r="G197" s="58"/>
      <c r="H197" s="58"/>
      <c r="I19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RHM10MDCT-ND</v>
      </c>
      <c r="J19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(RHM10MDCT-ND)</v>
      </c>
      <c r="M197" s="57" t="s">
        <v>1155</v>
      </c>
      <c r="N197" s="59">
        <v>0.1</v>
      </c>
      <c r="O197" s="61" t="str">
        <f>IF(Table1[[#This Row],[Digikey]]="","", HYPERLINK(Table1[[#This Row],[Destination - Digikey]],_xlfn.CONCAT("Link (",Table1[[#This Row],[Digikey]],")")))</f>
        <v>Link (RHM10MDCT-ND)</v>
      </c>
      <c r="P197" s="62" t="str">
        <f>_xlfn.CONCAT("https://www.digikey.ch/products/en?keywords=",Table1[[#This Row],[Digikey]])</f>
        <v>https://www.digikey.ch/products/en?keywords=RHM10MDCT-ND</v>
      </c>
      <c r="Q197" s="57"/>
      <c r="R197" s="59"/>
      <c r="S197" s="61" t="str">
        <f>IF(Table1[[#This Row],[Farnell]]="","", HYPERLINK(Table1[[#This Row],[Destination - Farnell]],_xlfn.CONCAT("Link (",Table1[[#This Row],[Farnell]],")")))</f>
        <v/>
      </c>
      <c r="T197" s="62" t="str">
        <f>_xlfn.CONCAT("https://ch.farnell.com/fr-CH/",Table1[[#This Row],[Farnell]])</f>
        <v>https://ch.farnell.com/fr-CH/</v>
      </c>
      <c r="U197" s="57"/>
      <c r="V197" s="59"/>
      <c r="W197" s="61" t="str">
        <f>IF(Table1[[#This Row],[Distrelec]]="","", HYPERLINK(Table1[[#This Row],[Destination - Distrelec]],_xlfn.CONCAT("Link (",Table1[[#This Row],[Distrelec]],")")))</f>
        <v/>
      </c>
      <c r="X197" s="62" t="str">
        <f>_xlfn.CONCAT("https://www.distrelec.ch/search?q=",Table1[[#This Row],[Distrelec]])</f>
        <v>https://www.distrelec.ch/search?q=</v>
      </c>
      <c r="Y197" s="57"/>
      <c r="Z197" s="59"/>
      <c r="AA197" s="61" t="str">
        <f>IF(Table1[[#This Row],[Conrad]]="","", HYPERLINK(Table1[[#This Row],[Destination - Conrad]],_xlfn.CONCAT("Link (",Table1[[#This Row],[Conrad]],")")))</f>
        <v/>
      </c>
      <c r="AB197" s="62"/>
      <c r="AC197" s="57"/>
      <c r="AD197" s="59"/>
      <c r="AE197" s="61" t="str">
        <f>IF(Table1[[#This Row],[Mouser]]="","", HYPERLINK(Table1[[#This Row],[Destination - Mouser]],_xlfn.CONCAT("Link (",Table1[[#This Row],[Mouser]],")")))</f>
        <v/>
      </c>
      <c r="AF197" s="62" t="str">
        <f>_xlfn.CONCAT("https://www.mouser.ch/ProductDetail/",Table1[[#This Row],[Mouser]])</f>
        <v>https://www.mouser.ch/ProductDetail/</v>
      </c>
      <c r="AG197" s="57"/>
      <c r="AH197" s="59"/>
      <c r="AI197" s="61" t="str">
        <f>IF(Table1[[#This Row],[Bauhaus]]="","", HYPERLINK(Table1[[#This Row],[Destination - Bauhaus]],_xlfn.CONCAT("Link (",Table1[[#This Row],[Bauhaus]],")")))</f>
        <v/>
      </c>
      <c r="AJ197" s="62" t="str">
        <f>_xlfn.CONCAT("https://www.bauhaus.ch/fr/search?query=",Table1[[#This Row],[Bauhaus]])</f>
        <v>https://www.bauhaus.ch/fr/search?query=</v>
      </c>
      <c r="AK197" s="59"/>
      <c r="AL197" s="59"/>
      <c r="AM197" s="61" t="str">
        <f>IF(Table1[[#This Row],[BricoEtLoisirs]]="","", HYPERLINK(Table1[[#This Row],[Destination - BricoEtLoisirs]],_xlfn.CONCAT("Link (",Table1[[#This Row],[BricoEtLoisirs]],")")))</f>
        <v/>
      </c>
      <c r="AN197" s="62" t="str">
        <f>_xlfn.CONCAT("https://bricoetloisirs.ch/p/",Table1[[#This Row],[BricoEtLoisirs]])</f>
        <v>https://bricoetloisirs.ch/p/</v>
      </c>
      <c r="AO197" s="57"/>
      <c r="AP197" s="59"/>
      <c r="AQ197" s="61" t="str">
        <f>IF(Table1[[#This Row],[Aliexpress]]="","", HYPERLINK(Table1[[#This Row],[Destination - Aliexpress]],_xlfn.CONCAT("Link (",Table1[[#This Row],[Aliexpress]],")")))</f>
        <v/>
      </c>
      <c r="AR197" s="62" t="str">
        <f>_xlfn.CONCAT("https://www.aliexpress.com/item/",Table1[[#This Row],[Aliexpress]],".html")</f>
        <v>https://www.aliexpress.com/item/.html</v>
      </c>
      <c r="AS197" s="57"/>
      <c r="AT197" s="59"/>
      <c r="AU197" s="61" t="str">
        <f>IF(Table1[[#This Row],[Banggood]]="","", HYPERLINK(Table1[[#This Row],[Destination - Banggood]],_xlfn.CONCAT("Link (",Table1[[#This Row],[Banggood]],")")))</f>
        <v/>
      </c>
      <c r="AV197" s="62" t="str">
        <f>_xlfn.CONCAT("https://www.banggood.com/search/",Table1[[#This Row],[Banggood]],".html")</f>
        <v>https://www.banggood.com/search/.html</v>
      </c>
      <c r="AW197" s="59" t="str">
        <f>IF(Table1[[#This Row],[Other]]&lt;&gt;"","Other","")</f>
        <v/>
      </c>
      <c r="AX197" s="57"/>
      <c r="AY197" s="59"/>
      <c r="AZ197" s="61" t="str">
        <f>IF(Table1[[#This Row],[Other]]="","",IF(Table1[[#This Row],[Destination - Other]]="","",HYPERLINK(Table1[[#This Row],[Destination - Other]],_xlfn.CONCAT("Link ("&amp;Table1[[#This Row],[Other]]&amp;")"))))</f>
        <v/>
      </c>
      <c r="BA197" s="59"/>
      <c r="BB197" s="58" t="str">
        <f>IF(AND( Table1[[#This Row],[Auto Order]]=1,Table1[[#This Row],[Obsolete]]=""),IF(Table1[[#This Row],[In stock]]&lt;Table1[[#This Row],[Min in stock]],1,""),"")</f>
        <v/>
      </c>
      <c r="BC197" s="64"/>
      <c r="BD197" s="66" t="str">
        <f>IF(Table1[[#This Row],[Obsolete]],Table1[[#This Row],[Art. Number]],"")</f>
        <v/>
      </c>
    </row>
    <row r="198" spans="1:56" x14ac:dyDescent="0.25">
      <c r="A198" s="65" t="s">
        <v>1159</v>
      </c>
      <c r="B198" s="57" t="s">
        <v>168</v>
      </c>
      <c r="C198" s="57" t="s">
        <v>97</v>
      </c>
      <c r="D198" s="57" t="s">
        <v>1160</v>
      </c>
      <c r="E198" s="57" t="s">
        <v>151</v>
      </c>
      <c r="F198" s="58">
        <v>0</v>
      </c>
      <c r="G198" s="58"/>
      <c r="H198" s="58"/>
      <c r="I19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RHM11DCT-ND</v>
      </c>
      <c r="J19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(RHM11DCT-ND)</v>
      </c>
      <c r="M198" s="57" t="s">
        <v>1161</v>
      </c>
      <c r="N198" s="59">
        <v>0.1</v>
      </c>
      <c r="O198" s="61" t="str">
        <f>IF(Table1[[#This Row],[Digikey]]="","", HYPERLINK(Table1[[#This Row],[Destination - Digikey]],_xlfn.CONCAT("Link (",Table1[[#This Row],[Digikey]],")")))</f>
        <v>Link (RHM11DCT-ND)</v>
      </c>
      <c r="P198" s="62" t="str">
        <f>_xlfn.CONCAT("https://www.digikey.ch/products/en?keywords=",Table1[[#This Row],[Digikey]])</f>
        <v>https://www.digikey.ch/products/en?keywords=RHM11DCT-ND</v>
      </c>
      <c r="Q198" s="57"/>
      <c r="R198" s="59"/>
      <c r="S198" s="61" t="str">
        <f>IF(Table1[[#This Row],[Farnell]]="","", HYPERLINK(Table1[[#This Row],[Destination - Farnell]],_xlfn.CONCAT("Link (",Table1[[#This Row],[Farnell]],")")))</f>
        <v/>
      </c>
      <c r="T198" s="62" t="str">
        <f>_xlfn.CONCAT("https://ch.farnell.com/fr-CH/",Table1[[#This Row],[Farnell]])</f>
        <v>https://ch.farnell.com/fr-CH/</v>
      </c>
      <c r="U198" s="57"/>
      <c r="V198" s="59"/>
      <c r="W198" s="61" t="str">
        <f>IF(Table1[[#This Row],[Distrelec]]="","", HYPERLINK(Table1[[#This Row],[Destination - Distrelec]],_xlfn.CONCAT("Link (",Table1[[#This Row],[Distrelec]],")")))</f>
        <v/>
      </c>
      <c r="X198" s="62" t="str">
        <f>_xlfn.CONCAT("https://www.distrelec.ch/search?q=",Table1[[#This Row],[Distrelec]])</f>
        <v>https://www.distrelec.ch/search?q=</v>
      </c>
      <c r="Y198" s="57"/>
      <c r="Z198" s="59"/>
      <c r="AA198" s="61" t="str">
        <f>IF(Table1[[#This Row],[Conrad]]="","", HYPERLINK(Table1[[#This Row],[Destination - Conrad]],_xlfn.CONCAT("Link (",Table1[[#This Row],[Conrad]],")")))</f>
        <v/>
      </c>
      <c r="AB198" s="62"/>
      <c r="AC198" s="57"/>
      <c r="AD198" s="59"/>
      <c r="AE198" s="61" t="str">
        <f>IF(Table1[[#This Row],[Mouser]]="","", HYPERLINK(Table1[[#This Row],[Destination - Mouser]],_xlfn.CONCAT("Link (",Table1[[#This Row],[Mouser]],")")))</f>
        <v/>
      </c>
      <c r="AF198" s="62" t="str">
        <f>_xlfn.CONCAT("https://www.mouser.ch/ProductDetail/",Table1[[#This Row],[Mouser]])</f>
        <v>https://www.mouser.ch/ProductDetail/</v>
      </c>
      <c r="AG198" s="57"/>
      <c r="AH198" s="59"/>
      <c r="AI198" s="61" t="str">
        <f>IF(Table1[[#This Row],[Bauhaus]]="","", HYPERLINK(Table1[[#This Row],[Destination - Bauhaus]],_xlfn.CONCAT("Link (",Table1[[#This Row],[Bauhaus]],")")))</f>
        <v/>
      </c>
      <c r="AJ198" s="62" t="str">
        <f>_xlfn.CONCAT("https://www.bauhaus.ch/fr/search?query=",Table1[[#This Row],[Bauhaus]])</f>
        <v>https://www.bauhaus.ch/fr/search?query=</v>
      </c>
      <c r="AK198" s="59"/>
      <c r="AL198" s="59"/>
      <c r="AM198" s="61" t="str">
        <f>IF(Table1[[#This Row],[BricoEtLoisirs]]="","", HYPERLINK(Table1[[#This Row],[Destination - BricoEtLoisirs]],_xlfn.CONCAT("Link (",Table1[[#This Row],[BricoEtLoisirs]],")")))</f>
        <v/>
      </c>
      <c r="AN198" s="62" t="str">
        <f>_xlfn.CONCAT("https://bricoetloisirs.ch/p/",Table1[[#This Row],[BricoEtLoisirs]])</f>
        <v>https://bricoetloisirs.ch/p/</v>
      </c>
      <c r="AO198" s="57"/>
      <c r="AP198" s="59"/>
      <c r="AQ198" s="61" t="str">
        <f>IF(Table1[[#This Row],[Aliexpress]]="","", HYPERLINK(Table1[[#This Row],[Destination - Aliexpress]],_xlfn.CONCAT("Link (",Table1[[#This Row],[Aliexpress]],")")))</f>
        <v/>
      </c>
      <c r="AR198" s="62" t="str">
        <f>_xlfn.CONCAT("https://www.aliexpress.com/item/",Table1[[#This Row],[Aliexpress]],".html")</f>
        <v>https://www.aliexpress.com/item/.html</v>
      </c>
      <c r="AS198" s="57"/>
      <c r="AT198" s="59"/>
      <c r="AU198" s="61" t="str">
        <f>IF(Table1[[#This Row],[Banggood]]="","", HYPERLINK(Table1[[#This Row],[Destination - Banggood]],_xlfn.CONCAT("Link (",Table1[[#This Row],[Banggood]],")")))</f>
        <v/>
      </c>
      <c r="AV198" s="62" t="str">
        <f>_xlfn.CONCAT("https://www.banggood.com/search/",Table1[[#This Row],[Banggood]],".html")</f>
        <v>https://www.banggood.com/search/.html</v>
      </c>
      <c r="AW198" s="59" t="str">
        <f>IF(Table1[[#This Row],[Other]]&lt;&gt;"","Other","")</f>
        <v/>
      </c>
      <c r="AX198" s="57"/>
      <c r="AY198" s="59"/>
      <c r="AZ198" s="61" t="str">
        <f>IF(Table1[[#This Row],[Other]]="","",IF(Table1[[#This Row],[Destination - Other]]="","",HYPERLINK(Table1[[#This Row],[Destination - Other]],_xlfn.CONCAT("Link ("&amp;Table1[[#This Row],[Other]]&amp;")"))))</f>
        <v/>
      </c>
      <c r="BA198" s="59"/>
      <c r="BB198" s="58" t="str">
        <f>IF(AND( Table1[[#This Row],[Auto Order]]=1,Table1[[#This Row],[Obsolete]]=""),IF(Table1[[#This Row],[In stock]]&lt;Table1[[#This Row],[Min in stock]],1,""),"")</f>
        <v/>
      </c>
      <c r="BC198" s="64"/>
      <c r="BD198" s="66" t="str">
        <f>IF(Table1[[#This Row],[Obsolete]],Table1[[#This Row],[Art. Number]],"")</f>
        <v/>
      </c>
    </row>
    <row r="199" spans="1:56" x14ac:dyDescent="0.25">
      <c r="A199" s="65" t="s">
        <v>1165</v>
      </c>
      <c r="B199" s="57" t="s">
        <v>168</v>
      </c>
      <c r="C199" s="57" t="s">
        <v>97</v>
      </c>
      <c r="D199" s="57" t="s">
        <v>1166</v>
      </c>
      <c r="E199" s="57" t="s">
        <v>151</v>
      </c>
      <c r="F199" s="58">
        <v>0</v>
      </c>
      <c r="G199" s="58"/>
      <c r="H199" s="58"/>
      <c r="I19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RHM110DCT-ND</v>
      </c>
      <c r="J19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19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19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(RHM110DCT-ND)</v>
      </c>
      <c r="M199" s="57" t="s">
        <v>1167</v>
      </c>
      <c r="N199" s="59">
        <v>0.1</v>
      </c>
      <c r="O199" s="61" t="str">
        <f>IF(Table1[[#This Row],[Digikey]]="","", HYPERLINK(Table1[[#This Row],[Destination - Digikey]],_xlfn.CONCAT("Link (",Table1[[#This Row],[Digikey]],")")))</f>
        <v>Link (RHM110DCT-ND)</v>
      </c>
      <c r="P199" s="62" t="str">
        <f>_xlfn.CONCAT("https://www.digikey.ch/products/en?keywords=",Table1[[#This Row],[Digikey]])</f>
        <v>https://www.digikey.ch/products/en?keywords=RHM110DCT-ND</v>
      </c>
      <c r="Q199" s="57"/>
      <c r="R199" s="59"/>
      <c r="S199" s="61" t="str">
        <f>IF(Table1[[#This Row],[Farnell]]="","", HYPERLINK(Table1[[#This Row],[Destination - Farnell]],_xlfn.CONCAT("Link (",Table1[[#This Row],[Farnell]],")")))</f>
        <v/>
      </c>
      <c r="T199" s="62" t="str">
        <f>_xlfn.CONCAT("https://ch.farnell.com/fr-CH/",Table1[[#This Row],[Farnell]])</f>
        <v>https://ch.farnell.com/fr-CH/</v>
      </c>
      <c r="U199" s="57"/>
      <c r="V199" s="59"/>
      <c r="W199" s="61" t="str">
        <f>IF(Table1[[#This Row],[Distrelec]]="","", HYPERLINK(Table1[[#This Row],[Destination - Distrelec]],_xlfn.CONCAT("Link (",Table1[[#This Row],[Distrelec]],")")))</f>
        <v/>
      </c>
      <c r="X199" s="62" t="str">
        <f>_xlfn.CONCAT("https://www.distrelec.ch/search?q=",Table1[[#This Row],[Distrelec]])</f>
        <v>https://www.distrelec.ch/search?q=</v>
      </c>
      <c r="Y199" s="57"/>
      <c r="Z199" s="59"/>
      <c r="AA199" s="61" t="str">
        <f>IF(Table1[[#This Row],[Conrad]]="","", HYPERLINK(Table1[[#This Row],[Destination - Conrad]],_xlfn.CONCAT("Link (",Table1[[#This Row],[Conrad]],")")))</f>
        <v/>
      </c>
      <c r="AB199" s="62"/>
      <c r="AC199" s="57"/>
      <c r="AD199" s="59"/>
      <c r="AE199" s="61" t="str">
        <f>IF(Table1[[#This Row],[Mouser]]="","", HYPERLINK(Table1[[#This Row],[Destination - Mouser]],_xlfn.CONCAT("Link (",Table1[[#This Row],[Mouser]],")")))</f>
        <v/>
      </c>
      <c r="AF199" s="62" t="str">
        <f>_xlfn.CONCAT("https://www.mouser.ch/ProductDetail/",Table1[[#This Row],[Mouser]])</f>
        <v>https://www.mouser.ch/ProductDetail/</v>
      </c>
      <c r="AG199" s="57"/>
      <c r="AH199" s="59"/>
      <c r="AI199" s="61" t="str">
        <f>IF(Table1[[#This Row],[Bauhaus]]="","", HYPERLINK(Table1[[#This Row],[Destination - Bauhaus]],_xlfn.CONCAT("Link (",Table1[[#This Row],[Bauhaus]],")")))</f>
        <v/>
      </c>
      <c r="AJ199" s="62" t="str">
        <f>_xlfn.CONCAT("https://www.bauhaus.ch/fr/search?query=",Table1[[#This Row],[Bauhaus]])</f>
        <v>https://www.bauhaus.ch/fr/search?query=</v>
      </c>
      <c r="AK199" s="59"/>
      <c r="AL199" s="59"/>
      <c r="AM199" s="61" t="str">
        <f>IF(Table1[[#This Row],[BricoEtLoisirs]]="","", HYPERLINK(Table1[[#This Row],[Destination - BricoEtLoisirs]],_xlfn.CONCAT("Link (",Table1[[#This Row],[BricoEtLoisirs]],")")))</f>
        <v/>
      </c>
      <c r="AN199" s="62" t="str">
        <f>_xlfn.CONCAT("https://bricoetloisirs.ch/p/",Table1[[#This Row],[BricoEtLoisirs]])</f>
        <v>https://bricoetloisirs.ch/p/</v>
      </c>
      <c r="AO199" s="57"/>
      <c r="AP199" s="59"/>
      <c r="AQ199" s="61" t="str">
        <f>IF(Table1[[#This Row],[Aliexpress]]="","", HYPERLINK(Table1[[#This Row],[Destination - Aliexpress]],_xlfn.CONCAT("Link (",Table1[[#This Row],[Aliexpress]],")")))</f>
        <v/>
      </c>
      <c r="AR199" s="62" t="str">
        <f>_xlfn.CONCAT("https://www.aliexpress.com/item/",Table1[[#This Row],[Aliexpress]],".html")</f>
        <v>https://www.aliexpress.com/item/.html</v>
      </c>
      <c r="AS199" s="57"/>
      <c r="AT199" s="59"/>
      <c r="AU199" s="61" t="str">
        <f>IF(Table1[[#This Row],[Banggood]]="","", HYPERLINK(Table1[[#This Row],[Destination - Banggood]],_xlfn.CONCAT("Link (",Table1[[#This Row],[Banggood]],")")))</f>
        <v/>
      </c>
      <c r="AV199" s="62" t="str">
        <f>_xlfn.CONCAT("https://www.banggood.com/search/",Table1[[#This Row],[Banggood]],".html")</f>
        <v>https://www.banggood.com/search/.html</v>
      </c>
      <c r="AW199" s="59" t="str">
        <f>IF(Table1[[#This Row],[Other]]&lt;&gt;"","Other","")</f>
        <v/>
      </c>
      <c r="AX199" s="57"/>
      <c r="AY199" s="59"/>
      <c r="AZ199" s="61" t="str">
        <f>IF(Table1[[#This Row],[Other]]="","",IF(Table1[[#This Row],[Destination - Other]]="","",HYPERLINK(Table1[[#This Row],[Destination - Other]],_xlfn.CONCAT("Link ("&amp;Table1[[#This Row],[Other]]&amp;")"))))</f>
        <v/>
      </c>
      <c r="BA199" s="59"/>
      <c r="BB199" s="58" t="str">
        <f>IF(AND( Table1[[#This Row],[Auto Order]]=1,Table1[[#This Row],[Obsolete]]=""),IF(Table1[[#This Row],[In stock]]&lt;Table1[[#This Row],[Min in stock]],1,""),"")</f>
        <v/>
      </c>
      <c r="BC199" s="64"/>
      <c r="BD199" s="66" t="str">
        <f>IF(Table1[[#This Row],[Obsolete]],Table1[[#This Row],[Art. Number]],"")</f>
        <v/>
      </c>
    </row>
    <row r="200" spans="1:56" x14ac:dyDescent="0.25">
      <c r="A200" s="65" t="s">
        <v>1171</v>
      </c>
      <c r="B200" s="57" t="s">
        <v>168</v>
      </c>
      <c r="C200" s="57" t="s">
        <v>97</v>
      </c>
      <c r="D200" s="57" t="s">
        <v>1172</v>
      </c>
      <c r="E200" s="57" t="s">
        <v>151</v>
      </c>
      <c r="F200" s="58">
        <v>0</v>
      </c>
      <c r="G200" s="58"/>
      <c r="H200" s="58"/>
      <c r="I20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RHM1.1KDCT-ND</v>
      </c>
      <c r="J20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(RHM1.1KDCT-ND)</v>
      </c>
      <c r="M200" s="57" t="s">
        <v>1173</v>
      </c>
      <c r="N200" s="59">
        <v>0.1</v>
      </c>
      <c r="O200" s="61" t="str">
        <f>IF(Table1[[#This Row],[Digikey]]="","", HYPERLINK(Table1[[#This Row],[Destination - Digikey]],_xlfn.CONCAT("Link (",Table1[[#This Row],[Digikey]],")")))</f>
        <v>Link (RHM1.1KDCT-ND)</v>
      </c>
      <c r="P200" s="62" t="str">
        <f>_xlfn.CONCAT("https://www.digikey.ch/products/en?keywords=",Table1[[#This Row],[Digikey]])</f>
        <v>https://www.digikey.ch/products/en?keywords=RHM1.1KDCT-ND</v>
      </c>
      <c r="Q200" s="57"/>
      <c r="R200" s="59"/>
      <c r="S200" s="61" t="str">
        <f>IF(Table1[[#This Row],[Farnell]]="","", HYPERLINK(Table1[[#This Row],[Destination - Farnell]],_xlfn.CONCAT("Link (",Table1[[#This Row],[Farnell]],")")))</f>
        <v/>
      </c>
      <c r="T200" s="62" t="str">
        <f>_xlfn.CONCAT("https://ch.farnell.com/fr-CH/",Table1[[#This Row],[Farnell]])</f>
        <v>https://ch.farnell.com/fr-CH/</v>
      </c>
      <c r="U200" s="57"/>
      <c r="V200" s="59"/>
      <c r="W200" s="61" t="str">
        <f>IF(Table1[[#This Row],[Distrelec]]="","", HYPERLINK(Table1[[#This Row],[Destination - Distrelec]],_xlfn.CONCAT("Link (",Table1[[#This Row],[Distrelec]],")")))</f>
        <v/>
      </c>
      <c r="X200" s="62" t="str">
        <f>_xlfn.CONCAT("https://www.distrelec.ch/search?q=",Table1[[#This Row],[Distrelec]])</f>
        <v>https://www.distrelec.ch/search?q=</v>
      </c>
      <c r="Y200" s="57"/>
      <c r="Z200" s="59"/>
      <c r="AA200" s="61" t="str">
        <f>IF(Table1[[#This Row],[Conrad]]="","", HYPERLINK(Table1[[#This Row],[Destination - Conrad]],_xlfn.CONCAT("Link (",Table1[[#This Row],[Conrad]],")")))</f>
        <v/>
      </c>
      <c r="AB200" s="62"/>
      <c r="AC200" s="57"/>
      <c r="AD200" s="59"/>
      <c r="AE200" s="61" t="str">
        <f>IF(Table1[[#This Row],[Mouser]]="","", HYPERLINK(Table1[[#This Row],[Destination - Mouser]],_xlfn.CONCAT("Link (",Table1[[#This Row],[Mouser]],")")))</f>
        <v/>
      </c>
      <c r="AF200" s="62" t="str">
        <f>_xlfn.CONCAT("https://www.mouser.ch/ProductDetail/",Table1[[#This Row],[Mouser]])</f>
        <v>https://www.mouser.ch/ProductDetail/</v>
      </c>
      <c r="AG200" s="57"/>
      <c r="AH200" s="59"/>
      <c r="AI200" s="61" t="str">
        <f>IF(Table1[[#This Row],[Bauhaus]]="","", HYPERLINK(Table1[[#This Row],[Destination - Bauhaus]],_xlfn.CONCAT("Link (",Table1[[#This Row],[Bauhaus]],")")))</f>
        <v/>
      </c>
      <c r="AJ200" s="62" t="str">
        <f>_xlfn.CONCAT("https://www.bauhaus.ch/fr/search?query=",Table1[[#This Row],[Bauhaus]])</f>
        <v>https://www.bauhaus.ch/fr/search?query=</v>
      </c>
      <c r="AK200" s="59"/>
      <c r="AL200" s="59"/>
      <c r="AM200" s="61" t="str">
        <f>IF(Table1[[#This Row],[BricoEtLoisirs]]="","", HYPERLINK(Table1[[#This Row],[Destination - BricoEtLoisirs]],_xlfn.CONCAT("Link (",Table1[[#This Row],[BricoEtLoisirs]],")")))</f>
        <v/>
      </c>
      <c r="AN200" s="62" t="str">
        <f>_xlfn.CONCAT("https://bricoetloisirs.ch/p/",Table1[[#This Row],[BricoEtLoisirs]])</f>
        <v>https://bricoetloisirs.ch/p/</v>
      </c>
      <c r="AO200" s="57"/>
      <c r="AP200" s="59"/>
      <c r="AQ200" s="61" t="str">
        <f>IF(Table1[[#This Row],[Aliexpress]]="","", HYPERLINK(Table1[[#This Row],[Destination - Aliexpress]],_xlfn.CONCAT("Link (",Table1[[#This Row],[Aliexpress]],")")))</f>
        <v/>
      </c>
      <c r="AR200" s="62" t="str">
        <f>_xlfn.CONCAT("https://www.aliexpress.com/item/",Table1[[#This Row],[Aliexpress]],".html")</f>
        <v>https://www.aliexpress.com/item/.html</v>
      </c>
      <c r="AS200" s="57"/>
      <c r="AT200" s="59"/>
      <c r="AU200" s="61" t="str">
        <f>IF(Table1[[#This Row],[Banggood]]="","", HYPERLINK(Table1[[#This Row],[Destination - Banggood]],_xlfn.CONCAT("Link (",Table1[[#This Row],[Banggood]],")")))</f>
        <v/>
      </c>
      <c r="AV200" s="62" t="str">
        <f>_xlfn.CONCAT("https://www.banggood.com/search/",Table1[[#This Row],[Banggood]],".html")</f>
        <v>https://www.banggood.com/search/.html</v>
      </c>
      <c r="AW200" s="59" t="str">
        <f>IF(Table1[[#This Row],[Other]]&lt;&gt;"","Other","")</f>
        <v/>
      </c>
      <c r="AX200" s="57"/>
      <c r="AY200" s="59"/>
      <c r="AZ200" s="61" t="str">
        <f>IF(Table1[[#This Row],[Other]]="","",IF(Table1[[#This Row],[Destination - Other]]="","",HYPERLINK(Table1[[#This Row],[Destination - Other]],_xlfn.CONCAT("Link ("&amp;Table1[[#This Row],[Other]]&amp;")"))))</f>
        <v/>
      </c>
      <c r="BA200" s="59"/>
      <c r="BB200" s="58" t="str">
        <f>IF(AND( Table1[[#This Row],[Auto Order]]=1,Table1[[#This Row],[Obsolete]]=""),IF(Table1[[#This Row],[In stock]]&lt;Table1[[#This Row],[Min in stock]],1,""),"")</f>
        <v/>
      </c>
      <c r="BC200" s="64"/>
      <c r="BD200" s="66" t="str">
        <f>IF(Table1[[#This Row],[Obsolete]],Table1[[#This Row],[Art. Number]],"")</f>
        <v/>
      </c>
    </row>
    <row r="201" spans="1:56" x14ac:dyDescent="0.25">
      <c r="A201" s="65" t="s">
        <v>1177</v>
      </c>
      <c r="B201" s="57" t="s">
        <v>168</v>
      </c>
      <c r="C201" s="57" t="s">
        <v>97</v>
      </c>
      <c r="D201" s="57" t="s">
        <v>1178</v>
      </c>
      <c r="E201" s="57" t="s">
        <v>151</v>
      </c>
      <c r="F201" s="58">
        <v>0</v>
      </c>
      <c r="G201" s="58"/>
      <c r="H201" s="58"/>
      <c r="I20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RHM11KDCT-ND</v>
      </c>
      <c r="J20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(RHM11KDCT-ND)</v>
      </c>
      <c r="M201" s="57" t="s">
        <v>1179</v>
      </c>
      <c r="N201" s="59">
        <v>0.1</v>
      </c>
      <c r="O201" s="61" t="str">
        <f>IF(Table1[[#This Row],[Digikey]]="","", HYPERLINK(Table1[[#This Row],[Destination - Digikey]],_xlfn.CONCAT("Link (",Table1[[#This Row],[Digikey]],")")))</f>
        <v>Link (RHM11KDCT-ND)</v>
      </c>
      <c r="P201" s="62" t="str">
        <f>_xlfn.CONCAT("https://www.digikey.ch/products/en?keywords=",Table1[[#This Row],[Digikey]])</f>
        <v>https://www.digikey.ch/products/en?keywords=RHM11KDCT-ND</v>
      </c>
      <c r="Q201" s="57"/>
      <c r="R201" s="59"/>
      <c r="S201" s="61" t="str">
        <f>IF(Table1[[#This Row],[Farnell]]="","", HYPERLINK(Table1[[#This Row],[Destination - Farnell]],_xlfn.CONCAT("Link (",Table1[[#This Row],[Farnell]],")")))</f>
        <v/>
      </c>
      <c r="T201" s="62" t="str">
        <f>_xlfn.CONCAT("https://ch.farnell.com/fr-CH/",Table1[[#This Row],[Farnell]])</f>
        <v>https://ch.farnell.com/fr-CH/</v>
      </c>
      <c r="U201" s="57"/>
      <c r="V201" s="59"/>
      <c r="W201" s="61" t="str">
        <f>IF(Table1[[#This Row],[Distrelec]]="","", HYPERLINK(Table1[[#This Row],[Destination - Distrelec]],_xlfn.CONCAT("Link (",Table1[[#This Row],[Distrelec]],")")))</f>
        <v/>
      </c>
      <c r="X201" s="62" t="str">
        <f>_xlfn.CONCAT("https://www.distrelec.ch/search?q=",Table1[[#This Row],[Distrelec]])</f>
        <v>https://www.distrelec.ch/search?q=</v>
      </c>
      <c r="Y201" s="57"/>
      <c r="Z201" s="59"/>
      <c r="AA201" s="61" t="str">
        <f>IF(Table1[[#This Row],[Conrad]]="","", HYPERLINK(Table1[[#This Row],[Destination - Conrad]],_xlfn.CONCAT("Link (",Table1[[#This Row],[Conrad]],")")))</f>
        <v/>
      </c>
      <c r="AB201" s="62"/>
      <c r="AC201" s="57"/>
      <c r="AD201" s="59"/>
      <c r="AE201" s="61" t="str">
        <f>IF(Table1[[#This Row],[Mouser]]="","", HYPERLINK(Table1[[#This Row],[Destination - Mouser]],_xlfn.CONCAT("Link (",Table1[[#This Row],[Mouser]],")")))</f>
        <v/>
      </c>
      <c r="AF201" s="62" t="str">
        <f>_xlfn.CONCAT("https://www.mouser.ch/ProductDetail/",Table1[[#This Row],[Mouser]])</f>
        <v>https://www.mouser.ch/ProductDetail/</v>
      </c>
      <c r="AG201" s="57"/>
      <c r="AH201" s="59"/>
      <c r="AI201" s="61" t="str">
        <f>IF(Table1[[#This Row],[Bauhaus]]="","", HYPERLINK(Table1[[#This Row],[Destination - Bauhaus]],_xlfn.CONCAT("Link (",Table1[[#This Row],[Bauhaus]],")")))</f>
        <v/>
      </c>
      <c r="AJ201" s="62" t="str">
        <f>_xlfn.CONCAT("https://www.bauhaus.ch/fr/search?query=",Table1[[#This Row],[Bauhaus]])</f>
        <v>https://www.bauhaus.ch/fr/search?query=</v>
      </c>
      <c r="AK201" s="59"/>
      <c r="AL201" s="59"/>
      <c r="AM201" s="61" t="str">
        <f>IF(Table1[[#This Row],[BricoEtLoisirs]]="","", HYPERLINK(Table1[[#This Row],[Destination - BricoEtLoisirs]],_xlfn.CONCAT("Link (",Table1[[#This Row],[BricoEtLoisirs]],")")))</f>
        <v/>
      </c>
      <c r="AN201" s="62" t="str">
        <f>_xlfn.CONCAT("https://bricoetloisirs.ch/p/",Table1[[#This Row],[BricoEtLoisirs]])</f>
        <v>https://bricoetloisirs.ch/p/</v>
      </c>
      <c r="AO201" s="57"/>
      <c r="AP201" s="59"/>
      <c r="AQ201" s="61" t="str">
        <f>IF(Table1[[#This Row],[Aliexpress]]="","", HYPERLINK(Table1[[#This Row],[Destination - Aliexpress]],_xlfn.CONCAT("Link (",Table1[[#This Row],[Aliexpress]],")")))</f>
        <v/>
      </c>
      <c r="AR201" s="62" t="str">
        <f>_xlfn.CONCAT("https://www.aliexpress.com/item/",Table1[[#This Row],[Aliexpress]],".html")</f>
        <v>https://www.aliexpress.com/item/.html</v>
      </c>
      <c r="AS201" s="57"/>
      <c r="AT201" s="59"/>
      <c r="AU201" s="61" t="str">
        <f>IF(Table1[[#This Row],[Banggood]]="","", HYPERLINK(Table1[[#This Row],[Destination - Banggood]],_xlfn.CONCAT("Link (",Table1[[#This Row],[Banggood]],")")))</f>
        <v/>
      </c>
      <c r="AV201" s="62" t="str">
        <f>_xlfn.CONCAT("https://www.banggood.com/search/",Table1[[#This Row],[Banggood]],".html")</f>
        <v>https://www.banggood.com/search/.html</v>
      </c>
      <c r="AW201" s="59" t="str">
        <f>IF(Table1[[#This Row],[Other]]&lt;&gt;"","Other","")</f>
        <v/>
      </c>
      <c r="AX201" s="57"/>
      <c r="AY201" s="59"/>
      <c r="AZ201" s="61" t="str">
        <f>IF(Table1[[#This Row],[Other]]="","",IF(Table1[[#This Row],[Destination - Other]]="","",HYPERLINK(Table1[[#This Row],[Destination - Other]],_xlfn.CONCAT("Link ("&amp;Table1[[#This Row],[Other]]&amp;")"))))</f>
        <v/>
      </c>
      <c r="BA201" s="59"/>
      <c r="BB201" s="58" t="str">
        <f>IF(AND( Table1[[#This Row],[Auto Order]]=1,Table1[[#This Row],[Obsolete]]=""),IF(Table1[[#This Row],[In stock]]&lt;Table1[[#This Row],[Min in stock]],1,""),"")</f>
        <v/>
      </c>
      <c r="BC201" s="64"/>
      <c r="BD201" s="66" t="str">
        <f>IF(Table1[[#This Row],[Obsolete]],Table1[[#This Row],[Art. Number]],"")</f>
        <v/>
      </c>
    </row>
    <row r="202" spans="1:56" x14ac:dyDescent="0.25">
      <c r="A202" s="65" t="s">
        <v>1183</v>
      </c>
      <c r="B202" s="57" t="s">
        <v>168</v>
      </c>
      <c r="C202" s="57" t="s">
        <v>97</v>
      </c>
      <c r="D202" s="57" t="s">
        <v>1184</v>
      </c>
      <c r="E202" s="57" t="s">
        <v>151</v>
      </c>
      <c r="F202" s="58">
        <v>0</v>
      </c>
      <c r="G202" s="58"/>
      <c r="H202" s="58"/>
      <c r="I20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RHM110KDCT-ND</v>
      </c>
      <c r="J20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(RHM110KDCT-ND)</v>
      </c>
      <c r="M202" s="57" t="s">
        <v>1185</v>
      </c>
      <c r="N202" s="59">
        <v>0.1</v>
      </c>
      <c r="O202" s="61" t="str">
        <f>IF(Table1[[#This Row],[Digikey]]="","", HYPERLINK(Table1[[#This Row],[Destination - Digikey]],_xlfn.CONCAT("Link (",Table1[[#This Row],[Digikey]],")")))</f>
        <v>Link (RHM110KDCT-ND)</v>
      </c>
      <c r="P202" s="62" t="str">
        <f>_xlfn.CONCAT("https://www.digikey.ch/products/en?keywords=",Table1[[#This Row],[Digikey]])</f>
        <v>https://www.digikey.ch/products/en?keywords=RHM110KDCT-ND</v>
      </c>
      <c r="Q202" s="57"/>
      <c r="R202" s="59"/>
      <c r="S202" s="61" t="str">
        <f>IF(Table1[[#This Row],[Farnell]]="","", HYPERLINK(Table1[[#This Row],[Destination - Farnell]],_xlfn.CONCAT("Link (",Table1[[#This Row],[Farnell]],")")))</f>
        <v/>
      </c>
      <c r="T202" s="62" t="str">
        <f>_xlfn.CONCAT("https://ch.farnell.com/fr-CH/",Table1[[#This Row],[Farnell]])</f>
        <v>https://ch.farnell.com/fr-CH/</v>
      </c>
      <c r="U202" s="57"/>
      <c r="V202" s="59"/>
      <c r="W202" s="61" t="str">
        <f>IF(Table1[[#This Row],[Distrelec]]="","", HYPERLINK(Table1[[#This Row],[Destination - Distrelec]],_xlfn.CONCAT("Link (",Table1[[#This Row],[Distrelec]],")")))</f>
        <v/>
      </c>
      <c r="X202" s="62" t="str">
        <f>_xlfn.CONCAT("https://www.distrelec.ch/search?q=",Table1[[#This Row],[Distrelec]])</f>
        <v>https://www.distrelec.ch/search?q=</v>
      </c>
      <c r="Y202" s="57"/>
      <c r="Z202" s="59"/>
      <c r="AA202" s="61" t="str">
        <f>IF(Table1[[#This Row],[Conrad]]="","", HYPERLINK(Table1[[#This Row],[Destination - Conrad]],_xlfn.CONCAT("Link (",Table1[[#This Row],[Conrad]],")")))</f>
        <v/>
      </c>
      <c r="AB202" s="62"/>
      <c r="AC202" s="57"/>
      <c r="AD202" s="59"/>
      <c r="AE202" s="61" t="str">
        <f>IF(Table1[[#This Row],[Mouser]]="","", HYPERLINK(Table1[[#This Row],[Destination - Mouser]],_xlfn.CONCAT("Link (",Table1[[#This Row],[Mouser]],")")))</f>
        <v/>
      </c>
      <c r="AF202" s="62" t="str">
        <f>_xlfn.CONCAT("https://www.mouser.ch/ProductDetail/",Table1[[#This Row],[Mouser]])</f>
        <v>https://www.mouser.ch/ProductDetail/</v>
      </c>
      <c r="AG202" s="57"/>
      <c r="AH202" s="59"/>
      <c r="AI202" s="61" t="str">
        <f>IF(Table1[[#This Row],[Bauhaus]]="","", HYPERLINK(Table1[[#This Row],[Destination - Bauhaus]],_xlfn.CONCAT("Link (",Table1[[#This Row],[Bauhaus]],")")))</f>
        <v/>
      </c>
      <c r="AJ202" s="62" t="str">
        <f>_xlfn.CONCAT("https://www.bauhaus.ch/fr/search?query=",Table1[[#This Row],[Bauhaus]])</f>
        <v>https://www.bauhaus.ch/fr/search?query=</v>
      </c>
      <c r="AK202" s="59"/>
      <c r="AL202" s="59"/>
      <c r="AM202" s="61" t="str">
        <f>IF(Table1[[#This Row],[BricoEtLoisirs]]="","", HYPERLINK(Table1[[#This Row],[Destination - BricoEtLoisirs]],_xlfn.CONCAT("Link (",Table1[[#This Row],[BricoEtLoisirs]],")")))</f>
        <v/>
      </c>
      <c r="AN202" s="62" t="str">
        <f>_xlfn.CONCAT("https://bricoetloisirs.ch/p/",Table1[[#This Row],[BricoEtLoisirs]])</f>
        <v>https://bricoetloisirs.ch/p/</v>
      </c>
      <c r="AO202" s="57"/>
      <c r="AP202" s="59"/>
      <c r="AQ202" s="61" t="str">
        <f>IF(Table1[[#This Row],[Aliexpress]]="","", HYPERLINK(Table1[[#This Row],[Destination - Aliexpress]],_xlfn.CONCAT("Link (",Table1[[#This Row],[Aliexpress]],")")))</f>
        <v/>
      </c>
      <c r="AR202" s="62" t="str">
        <f>_xlfn.CONCAT("https://www.aliexpress.com/item/",Table1[[#This Row],[Aliexpress]],".html")</f>
        <v>https://www.aliexpress.com/item/.html</v>
      </c>
      <c r="AS202" s="57"/>
      <c r="AT202" s="59"/>
      <c r="AU202" s="61" t="str">
        <f>IF(Table1[[#This Row],[Banggood]]="","", HYPERLINK(Table1[[#This Row],[Destination - Banggood]],_xlfn.CONCAT("Link (",Table1[[#This Row],[Banggood]],")")))</f>
        <v/>
      </c>
      <c r="AV202" s="62" t="str">
        <f>_xlfn.CONCAT("https://www.banggood.com/search/",Table1[[#This Row],[Banggood]],".html")</f>
        <v>https://www.banggood.com/search/.html</v>
      </c>
      <c r="AW202" s="59" t="str">
        <f>IF(Table1[[#This Row],[Other]]&lt;&gt;"","Other","")</f>
        <v/>
      </c>
      <c r="AX202" s="57"/>
      <c r="AY202" s="59"/>
      <c r="AZ202" s="61" t="str">
        <f>IF(Table1[[#This Row],[Other]]="","",IF(Table1[[#This Row],[Destination - Other]]="","",HYPERLINK(Table1[[#This Row],[Destination - Other]],_xlfn.CONCAT("Link ("&amp;Table1[[#This Row],[Other]]&amp;")"))))</f>
        <v/>
      </c>
      <c r="BA202" s="59"/>
      <c r="BB202" s="58" t="str">
        <f>IF(AND( Table1[[#This Row],[Auto Order]]=1,Table1[[#This Row],[Obsolete]]=""),IF(Table1[[#This Row],[In stock]]&lt;Table1[[#This Row],[Min in stock]],1,""),"")</f>
        <v/>
      </c>
      <c r="BC202" s="64"/>
      <c r="BD202" s="66" t="str">
        <f>IF(Table1[[#This Row],[Obsolete]],Table1[[#This Row],[Art. Number]],"")</f>
        <v/>
      </c>
    </row>
    <row r="203" spans="1:56" x14ac:dyDescent="0.25">
      <c r="A203" s="65" t="s">
        <v>1189</v>
      </c>
      <c r="B203" s="57" t="s">
        <v>168</v>
      </c>
      <c r="C203" s="57" t="s">
        <v>97</v>
      </c>
      <c r="D203" s="57" t="s">
        <v>1190</v>
      </c>
      <c r="E203" s="57" t="s">
        <v>151</v>
      </c>
      <c r="F203" s="58">
        <v>0</v>
      </c>
      <c r="G203" s="58"/>
      <c r="H203" s="58"/>
      <c r="I20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RHM1.1MDCT-ND</v>
      </c>
      <c r="J20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(RHM1.1MDCT-ND)</v>
      </c>
      <c r="M203" s="57" t="s">
        <v>1191</v>
      </c>
      <c r="N203" s="59">
        <v>0.1</v>
      </c>
      <c r="O203" s="61" t="str">
        <f>IF(Table1[[#This Row],[Digikey]]="","", HYPERLINK(Table1[[#This Row],[Destination - Digikey]],_xlfn.CONCAT("Link (",Table1[[#This Row],[Digikey]],")")))</f>
        <v>Link (RHM1.1MDCT-ND)</v>
      </c>
      <c r="P203" s="62" t="str">
        <f>_xlfn.CONCAT("https://www.digikey.ch/products/en?keywords=",Table1[[#This Row],[Digikey]])</f>
        <v>https://www.digikey.ch/products/en?keywords=RHM1.1MDCT-ND</v>
      </c>
      <c r="Q203" s="57"/>
      <c r="R203" s="59"/>
      <c r="S203" s="61" t="str">
        <f>IF(Table1[[#This Row],[Farnell]]="","", HYPERLINK(Table1[[#This Row],[Destination - Farnell]],_xlfn.CONCAT("Link (",Table1[[#This Row],[Farnell]],")")))</f>
        <v/>
      </c>
      <c r="T203" s="62" t="str">
        <f>_xlfn.CONCAT("https://ch.farnell.com/fr-CH/",Table1[[#This Row],[Farnell]])</f>
        <v>https://ch.farnell.com/fr-CH/</v>
      </c>
      <c r="U203" s="57"/>
      <c r="V203" s="59"/>
      <c r="W203" s="61" t="str">
        <f>IF(Table1[[#This Row],[Distrelec]]="","", HYPERLINK(Table1[[#This Row],[Destination - Distrelec]],_xlfn.CONCAT("Link (",Table1[[#This Row],[Distrelec]],")")))</f>
        <v/>
      </c>
      <c r="X203" s="62" t="str">
        <f>_xlfn.CONCAT("https://www.distrelec.ch/search?q=",Table1[[#This Row],[Distrelec]])</f>
        <v>https://www.distrelec.ch/search?q=</v>
      </c>
      <c r="Y203" s="57"/>
      <c r="Z203" s="59"/>
      <c r="AA203" s="61" t="str">
        <f>IF(Table1[[#This Row],[Conrad]]="","", HYPERLINK(Table1[[#This Row],[Destination - Conrad]],_xlfn.CONCAT("Link (",Table1[[#This Row],[Conrad]],")")))</f>
        <v/>
      </c>
      <c r="AB203" s="62"/>
      <c r="AC203" s="57"/>
      <c r="AD203" s="59"/>
      <c r="AE203" s="61" t="str">
        <f>IF(Table1[[#This Row],[Mouser]]="","", HYPERLINK(Table1[[#This Row],[Destination - Mouser]],_xlfn.CONCAT("Link (",Table1[[#This Row],[Mouser]],")")))</f>
        <v/>
      </c>
      <c r="AF203" s="62" t="str">
        <f>_xlfn.CONCAT("https://www.mouser.ch/ProductDetail/",Table1[[#This Row],[Mouser]])</f>
        <v>https://www.mouser.ch/ProductDetail/</v>
      </c>
      <c r="AG203" s="57"/>
      <c r="AH203" s="59"/>
      <c r="AI203" s="61" t="str">
        <f>IF(Table1[[#This Row],[Bauhaus]]="","", HYPERLINK(Table1[[#This Row],[Destination - Bauhaus]],_xlfn.CONCAT("Link (",Table1[[#This Row],[Bauhaus]],")")))</f>
        <v/>
      </c>
      <c r="AJ203" s="62" t="str">
        <f>_xlfn.CONCAT("https://www.bauhaus.ch/fr/search?query=",Table1[[#This Row],[Bauhaus]])</f>
        <v>https://www.bauhaus.ch/fr/search?query=</v>
      </c>
      <c r="AK203" s="59"/>
      <c r="AL203" s="59"/>
      <c r="AM203" s="61" t="str">
        <f>IF(Table1[[#This Row],[BricoEtLoisirs]]="","", HYPERLINK(Table1[[#This Row],[Destination - BricoEtLoisirs]],_xlfn.CONCAT("Link (",Table1[[#This Row],[BricoEtLoisirs]],")")))</f>
        <v/>
      </c>
      <c r="AN203" s="62" t="str">
        <f>_xlfn.CONCAT("https://bricoetloisirs.ch/p/",Table1[[#This Row],[BricoEtLoisirs]])</f>
        <v>https://bricoetloisirs.ch/p/</v>
      </c>
      <c r="AO203" s="57"/>
      <c r="AP203" s="59"/>
      <c r="AQ203" s="61" t="str">
        <f>IF(Table1[[#This Row],[Aliexpress]]="","", HYPERLINK(Table1[[#This Row],[Destination - Aliexpress]],_xlfn.CONCAT("Link (",Table1[[#This Row],[Aliexpress]],")")))</f>
        <v/>
      </c>
      <c r="AR203" s="62" t="str">
        <f>_xlfn.CONCAT("https://www.aliexpress.com/item/",Table1[[#This Row],[Aliexpress]],".html")</f>
        <v>https://www.aliexpress.com/item/.html</v>
      </c>
      <c r="AS203" s="57"/>
      <c r="AT203" s="59"/>
      <c r="AU203" s="61" t="str">
        <f>IF(Table1[[#This Row],[Banggood]]="","", HYPERLINK(Table1[[#This Row],[Destination - Banggood]],_xlfn.CONCAT("Link (",Table1[[#This Row],[Banggood]],")")))</f>
        <v/>
      </c>
      <c r="AV203" s="62" t="str">
        <f>_xlfn.CONCAT("https://www.banggood.com/search/",Table1[[#This Row],[Banggood]],".html")</f>
        <v>https://www.banggood.com/search/.html</v>
      </c>
      <c r="AW203" s="59" t="str">
        <f>IF(Table1[[#This Row],[Other]]&lt;&gt;"","Other","")</f>
        <v/>
      </c>
      <c r="AX203" s="57"/>
      <c r="AY203" s="59"/>
      <c r="AZ203" s="61" t="str">
        <f>IF(Table1[[#This Row],[Other]]="","",IF(Table1[[#This Row],[Destination - Other]]="","",HYPERLINK(Table1[[#This Row],[Destination - Other]],_xlfn.CONCAT("Link ("&amp;Table1[[#This Row],[Other]]&amp;")"))))</f>
        <v/>
      </c>
      <c r="BA203" s="59"/>
      <c r="BB203" s="58" t="str">
        <f>IF(AND( Table1[[#This Row],[Auto Order]]=1,Table1[[#This Row],[Obsolete]]=""),IF(Table1[[#This Row],[In stock]]&lt;Table1[[#This Row],[Min in stock]],1,""),"")</f>
        <v/>
      </c>
      <c r="BC203" s="64"/>
      <c r="BD203" s="66" t="str">
        <f>IF(Table1[[#This Row],[Obsolete]],Table1[[#This Row],[Art. Number]],"")</f>
        <v/>
      </c>
    </row>
    <row r="204" spans="1:56" x14ac:dyDescent="0.25">
      <c r="A204" s="65" t="s">
        <v>1195</v>
      </c>
      <c r="B204" s="57" t="s">
        <v>168</v>
      </c>
      <c r="C204" s="57" t="s">
        <v>97</v>
      </c>
      <c r="D204" s="57" t="s">
        <v>1196</v>
      </c>
      <c r="E204" s="57" t="s">
        <v>151</v>
      </c>
      <c r="F204" s="58">
        <v>0</v>
      </c>
      <c r="G204" s="58"/>
      <c r="H204" s="58"/>
      <c r="I20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RHM12DCT-ND</v>
      </c>
      <c r="J20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(RHM12DCT-ND)</v>
      </c>
      <c r="M204" s="57" t="s">
        <v>1197</v>
      </c>
      <c r="N204" s="59">
        <v>0.1</v>
      </c>
      <c r="O204" s="61" t="str">
        <f>IF(Table1[[#This Row],[Digikey]]="","", HYPERLINK(Table1[[#This Row],[Destination - Digikey]],_xlfn.CONCAT("Link (",Table1[[#This Row],[Digikey]],")")))</f>
        <v>Link (RHM12DCT-ND)</v>
      </c>
      <c r="P204" s="62" t="str">
        <f>_xlfn.CONCAT("https://www.digikey.ch/products/en?keywords=",Table1[[#This Row],[Digikey]])</f>
        <v>https://www.digikey.ch/products/en?keywords=RHM12DCT-ND</v>
      </c>
      <c r="Q204" s="57"/>
      <c r="R204" s="59"/>
      <c r="S204" s="61" t="str">
        <f>IF(Table1[[#This Row],[Farnell]]="","", HYPERLINK(Table1[[#This Row],[Destination - Farnell]],_xlfn.CONCAT("Link (",Table1[[#This Row],[Farnell]],")")))</f>
        <v/>
      </c>
      <c r="T204" s="62" t="str">
        <f>_xlfn.CONCAT("https://ch.farnell.com/fr-CH/",Table1[[#This Row],[Farnell]])</f>
        <v>https://ch.farnell.com/fr-CH/</v>
      </c>
      <c r="U204" s="57"/>
      <c r="V204" s="59"/>
      <c r="W204" s="61" t="str">
        <f>IF(Table1[[#This Row],[Distrelec]]="","", HYPERLINK(Table1[[#This Row],[Destination - Distrelec]],_xlfn.CONCAT("Link (",Table1[[#This Row],[Distrelec]],")")))</f>
        <v/>
      </c>
      <c r="X204" s="62" t="str">
        <f>_xlfn.CONCAT("https://www.distrelec.ch/search?q=",Table1[[#This Row],[Distrelec]])</f>
        <v>https://www.distrelec.ch/search?q=</v>
      </c>
      <c r="Y204" s="57"/>
      <c r="Z204" s="59"/>
      <c r="AA204" s="61" t="str">
        <f>IF(Table1[[#This Row],[Conrad]]="","", HYPERLINK(Table1[[#This Row],[Destination - Conrad]],_xlfn.CONCAT("Link (",Table1[[#This Row],[Conrad]],")")))</f>
        <v/>
      </c>
      <c r="AB204" s="62"/>
      <c r="AC204" s="57"/>
      <c r="AD204" s="59"/>
      <c r="AE204" s="61" t="str">
        <f>IF(Table1[[#This Row],[Mouser]]="","", HYPERLINK(Table1[[#This Row],[Destination - Mouser]],_xlfn.CONCAT("Link (",Table1[[#This Row],[Mouser]],")")))</f>
        <v/>
      </c>
      <c r="AF204" s="62" t="str">
        <f>_xlfn.CONCAT("https://www.mouser.ch/ProductDetail/",Table1[[#This Row],[Mouser]])</f>
        <v>https://www.mouser.ch/ProductDetail/</v>
      </c>
      <c r="AG204" s="57"/>
      <c r="AH204" s="59"/>
      <c r="AI204" s="61" t="str">
        <f>IF(Table1[[#This Row],[Bauhaus]]="","", HYPERLINK(Table1[[#This Row],[Destination - Bauhaus]],_xlfn.CONCAT("Link (",Table1[[#This Row],[Bauhaus]],")")))</f>
        <v/>
      </c>
      <c r="AJ204" s="62" t="str">
        <f>_xlfn.CONCAT("https://www.bauhaus.ch/fr/search?query=",Table1[[#This Row],[Bauhaus]])</f>
        <v>https://www.bauhaus.ch/fr/search?query=</v>
      </c>
      <c r="AK204" s="59"/>
      <c r="AL204" s="59"/>
      <c r="AM204" s="61" t="str">
        <f>IF(Table1[[#This Row],[BricoEtLoisirs]]="","", HYPERLINK(Table1[[#This Row],[Destination - BricoEtLoisirs]],_xlfn.CONCAT("Link (",Table1[[#This Row],[BricoEtLoisirs]],")")))</f>
        <v/>
      </c>
      <c r="AN204" s="62" t="str">
        <f>_xlfn.CONCAT("https://bricoetloisirs.ch/p/",Table1[[#This Row],[BricoEtLoisirs]])</f>
        <v>https://bricoetloisirs.ch/p/</v>
      </c>
      <c r="AO204" s="57"/>
      <c r="AP204" s="59"/>
      <c r="AQ204" s="61" t="str">
        <f>IF(Table1[[#This Row],[Aliexpress]]="","", HYPERLINK(Table1[[#This Row],[Destination - Aliexpress]],_xlfn.CONCAT("Link (",Table1[[#This Row],[Aliexpress]],")")))</f>
        <v/>
      </c>
      <c r="AR204" s="62" t="str">
        <f>_xlfn.CONCAT("https://www.aliexpress.com/item/",Table1[[#This Row],[Aliexpress]],".html")</f>
        <v>https://www.aliexpress.com/item/.html</v>
      </c>
      <c r="AS204" s="57"/>
      <c r="AT204" s="59"/>
      <c r="AU204" s="61" t="str">
        <f>IF(Table1[[#This Row],[Banggood]]="","", HYPERLINK(Table1[[#This Row],[Destination - Banggood]],_xlfn.CONCAT("Link (",Table1[[#This Row],[Banggood]],")")))</f>
        <v/>
      </c>
      <c r="AV204" s="62" t="str">
        <f>_xlfn.CONCAT("https://www.banggood.com/search/",Table1[[#This Row],[Banggood]],".html")</f>
        <v>https://www.banggood.com/search/.html</v>
      </c>
      <c r="AW204" s="59" t="str">
        <f>IF(Table1[[#This Row],[Other]]&lt;&gt;"","Other","")</f>
        <v/>
      </c>
      <c r="AX204" s="57"/>
      <c r="AY204" s="59"/>
      <c r="AZ204" s="61" t="str">
        <f>IF(Table1[[#This Row],[Other]]="","",IF(Table1[[#This Row],[Destination - Other]]="","",HYPERLINK(Table1[[#This Row],[Destination - Other]],_xlfn.CONCAT("Link ("&amp;Table1[[#This Row],[Other]]&amp;")"))))</f>
        <v/>
      </c>
      <c r="BA204" s="59"/>
      <c r="BB204" s="58" t="str">
        <f>IF(AND( Table1[[#This Row],[Auto Order]]=1,Table1[[#This Row],[Obsolete]]=""),IF(Table1[[#This Row],[In stock]]&lt;Table1[[#This Row],[Min in stock]],1,""),"")</f>
        <v/>
      </c>
      <c r="BC204" s="64"/>
      <c r="BD204" s="66" t="str">
        <f>IF(Table1[[#This Row],[Obsolete]],Table1[[#This Row],[Art. Number]],"")</f>
        <v/>
      </c>
    </row>
    <row r="205" spans="1:56" x14ac:dyDescent="0.25">
      <c r="A205" s="65" t="s">
        <v>182</v>
      </c>
      <c r="B205" s="57" t="s">
        <v>168</v>
      </c>
      <c r="C205" s="57" t="s">
        <v>1201</v>
      </c>
      <c r="D205" s="57" t="s">
        <v>1202</v>
      </c>
      <c r="E205" s="57" t="s">
        <v>151</v>
      </c>
      <c r="F205" s="58">
        <v>8</v>
      </c>
      <c r="G205" s="58"/>
      <c r="H205" s="58"/>
      <c r="I20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RHM120DCT-ND</v>
      </c>
      <c r="J20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(RHM120DCT-ND)</v>
      </c>
      <c r="M205" s="57" t="s">
        <v>1203</v>
      </c>
      <c r="N205" s="59">
        <v>0.1</v>
      </c>
      <c r="O205" s="61" t="str">
        <f>IF(Table1[[#This Row],[Digikey]]="","", HYPERLINK(Table1[[#This Row],[Destination - Digikey]],_xlfn.CONCAT("Link (",Table1[[#This Row],[Digikey]],")")))</f>
        <v>Link (RHM120DCT-ND)</v>
      </c>
      <c r="P205" s="62" t="str">
        <f>_xlfn.CONCAT("https://www.digikey.ch/products/en?keywords=",Table1[[#This Row],[Digikey]])</f>
        <v>https://www.digikey.ch/products/en?keywords=RHM120DCT-ND</v>
      </c>
      <c r="Q205" s="57"/>
      <c r="R205" s="59"/>
      <c r="S205" s="61" t="str">
        <f>IF(Table1[[#This Row],[Farnell]]="","", HYPERLINK(Table1[[#This Row],[Destination - Farnell]],_xlfn.CONCAT("Link (",Table1[[#This Row],[Farnell]],")")))</f>
        <v/>
      </c>
      <c r="T205" s="62" t="str">
        <f>_xlfn.CONCAT("https://ch.farnell.com/fr-CH/",Table1[[#This Row],[Farnell]])</f>
        <v>https://ch.farnell.com/fr-CH/</v>
      </c>
      <c r="U205" s="57"/>
      <c r="V205" s="59"/>
      <c r="W205" s="61" t="str">
        <f>IF(Table1[[#This Row],[Distrelec]]="","", HYPERLINK(Table1[[#This Row],[Destination - Distrelec]],_xlfn.CONCAT("Link (",Table1[[#This Row],[Distrelec]],")")))</f>
        <v/>
      </c>
      <c r="X205" s="62" t="str">
        <f>_xlfn.CONCAT("https://www.distrelec.ch/search?q=",Table1[[#This Row],[Distrelec]])</f>
        <v>https://www.distrelec.ch/search?q=</v>
      </c>
      <c r="Y205" s="57"/>
      <c r="Z205" s="59"/>
      <c r="AA205" s="61" t="str">
        <f>IF(Table1[[#This Row],[Conrad]]="","", HYPERLINK(Table1[[#This Row],[Destination - Conrad]],_xlfn.CONCAT("Link (",Table1[[#This Row],[Conrad]],")")))</f>
        <v/>
      </c>
      <c r="AB205" s="62"/>
      <c r="AC205" s="57"/>
      <c r="AD205" s="59"/>
      <c r="AE205" s="61" t="str">
        <f>IF(Table1[[#This Row],[Mouser]]="","", HYPERLINK(Table1[[#This Row],[Destination - Mouser]],_xlfn.CONCAT("Link (",Table1[[#This Row],[Mouser]],")")))</f>
        <v/>
      </c>
      <c r="AF205" s="62" t="str">
        <f>_xlfn.CONCAT("https://www.mouser.ch/ProductDetail/",Table1[[#This Row],[Mouser]])</f>
        <v>https://www.mouser.ch/ProductDetail/</v>
      </c>
      <c r="AG205" s="57"/>
      <c r="AH205" s="59"/>
      <c r="AI205" s="61" t="str">
        <f>IF(Table1[[#This Row],[Bauhaus]]="","", HYPERLINK(Table1[[#This Row],[Destination - Bauhaus]],_xlfn.CONCAT("Link (",Table1[[#This Row],[Bauhaus]],")")))</f>
        <v/>
      </c>
      <c r="AJ205" s="62" t="str">
        <f>_xlfn.CONCAT("https://www.bauhaus.ch/fr/search?query=",Table1[[#This Row],[Bauhaus]])</f>
        <v>https://www.bauhaus.ch/fr/search?query=</v>
      </c>
      <c r="AK205" s="59"/>
      <c r="AL205" s="59"/>
      <c r="AM205" s="61" t="str">
        <f>IF(Table1[[#This Row],[BricoEtLoisirs]]="","", HYPERLINK(Table1[[#This Row],[Destination - BricoEtLoisirs]],_xlfn.CONCAT("Link (",Table1[[#This Row],[BricoEtLoisirs]],")")))</f>
        <v/>
      </c>
      <c r="AN205" s="62" t="str">
        <f>_xlfn.CONCAT("https://bricoetloisirs.ch/p/",Table1[[#This Row],[BricoEtLoisirs]])</f>
        <v>https://bricoetloisirs.ch/p/</v>
      </c>
      <c r="AO205" s="57"/>
      <c r="AP205" s="59"/>
      <c r="AQ205" s="61" t="str">
        <f>IF(Table1[[#This Row],[Aliexpress]]="","", HYPERLINK(Table1[[#This Row],[Destination - Aliexpress]],_xlfn.CONCAT("Link (",Table1[[#This Row],[Aliexpress]],")")))</f>
        <v/>
      </c>
      <c r="AR205" s="62" t="str">
        <f>_xlfn.CONCAT("https://www.aliexpress.com/item/",Table1[[#This Row],[Aliexpress]],".html")</f>
        <v>https://www.aliexpress.com/item/.html</v>
      </c>
      <c r="AS205" s="57"/>
      <c r="AT205" s="59"/>
      <c r="AU205" s="61" t="str">
        <f>IF(Table1[[#This Row],[Banggood]]="","", HYPERLINK(Table1[[#This Row],[Destination - Banggood]],_xlfn.CONCAT("Link (",Table1[[#This Row],[Banggood]],")")))</f>
        <v/>
      </c>
      <c r="AV205" s="62" t="str">
        <f>_xlfn.CONCAT("https://www.banggood.com/search/",Table1[[#This Row],[Banggood]],".html")</f>
        <v>https://www.banggood.com/search/.html</v>
      </c>
      <c r="AW205" s="59" t="str">
        <f>IF(Table1[[#This Row],[Other]]&lt;&gt;"","Other","")</f>
        <v/>
      </c>
      <c r="AX205" s="57"/>
      <c r="AY205" s="59"/>
      <c r="AZ205" s="61" t="str">
        <f>IF(Table1[[#This Row],[Other]]="","",IF(Table1[[#This Row],[Destination - Other]]="","",HYPERLINK(Table1[[#This Row],[Destination - Other]],_xlfn.CONCAT("Link ("&amp;Table1[[#This Row],[Other]]&amp;")"))))</f>
        <v/>
      </c>
      <c r="BA205" s="59"/>
      <c r="BB205" s="58" t="str">
        <f>IF(AND( Table1[[#This Row],[Auto Order]]=1,Table1[[#This Row],[Obsolete]]=""),IF(Table1[[#This Row],[In stock]]&lt;Table1[[#This Row],[Min in stock]],1,""),"")</f>
        <v/>
      </c>
      <c r="BC205" s="64"/>
      <c r="BD205" s="66" t="str">
        <f>IF(Table1[[#This Row],[Obsolete]],Table1[[#This Row],[Art. Number]],"")</f>
        <v/>
      </c>
    </row>
    <row r="206" spans="1:56" x14ac:dyDescent="0.25">
      <c r="A206" s="65" t="s">
        <v>1207</v>
      </c>
      <c r="B206" s="57" t="s">
        <v>168</v>
      </c>
      <c r="C206" s="57" t="s">
        <v>1208</v>
      </c>
      <c r="D206" s="57" t="s">
        <v>1209</v>
      </c>
      <c r="E206" s="57" t="s">
        <v>151</v>
      </c>
      <c r="F206" s="58">
        <v>10</v>
      </c>
      <c r="G206" s="58">
        <v>10</v>
      </c>
      <c r="H206" s="58">
        <v>1</v>
      </c>
      <c r="I20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RHM1.2KDCT-ND</v>
      </c>
      <c r="J20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(RHM1.2KDCT-ND)</v>
      </c>
      <c r="M206" s="57" t="s">
        <v>1210</v>
      </c>
      <c r="N206" s="59">
        <v>0.1</v>
      </c>
      <c r="O206" s="61" t="str">
        <f>IF(Table1[[#This Row],[Digikey]]="","", HYPERLINK(Table1[[#This Row],[Destination - Digikey]],_xlfn.CONCAT("Link (",Table1[[#This Row],[Digikey]],")")))</f>
        <v>Link (RHM1.2KDCT-ND)</v>
      </c>
      <c r="P206" s="62" t="str">
        <f>_xlfn.CONCAT("https://www.digikey.ch/products/en?keywords=",Table1[[#This Row],[Digikey]])</f>
        <v>https://www.digikey.ch/products/en?keywords=RHM1.2KDCT-ND</v>
      </c>
      <c r="Q206" s="57"/>
      <c r="R206" s="59"/>
      <c r="S206" s="61" t="str">
        <f>IF(Table1[[#This Row],[Farnell]]="","", HYPERLINK(Table1[[#This Row],[Destination - Farnell]],_xlfn.CONCAT("Link (",Table1[[#This Row],[Farnell]],")")))</f>
        <v/>
      </c>
      <c r="T206" s="62" t="str">
        <f>_xlfn.CONCAT("https://ch.farnell.com/fr-CH/",Table1[[#This Row],[Farnell]])</f>
        <v>https://ch.farnell.com/fr-CH/</v>
      </c>
      <c r="U206" s="57"/>
      <c r="V206" s="59"/>
      <c r="W206" s="61" t="str">
        <f>IF(Table1[[#This Row],[Distrelec]]="","", HYPERLINK(Table1[[#This Row],[Destination - Distrelec]],_xlfn.CONCAT("Link (",Table1[[#This Row],[Distrelec]],")")))</f>
        <v/>
      </c>
      <c r="X206" s="62" t="str">
        <f>_xlfn.CONCAT("https://www.distrelec.ch/search?q=",Table1[[#This Row],[Distrelec]])</f>
        <v>https://www.distrelec.ch/search?q=</v>
      </c>
      <c r="Y206" s="57"/>
      <c r="Z206" s="59"/>
      <c r="AA206" s="61" t="str">
        <f>IF(Table1[[#This Row],[Conrad]]="","", HYPERLINK(Table1[[#This Row],[Destination - Conrad]],_xlfn.CONCAT("Link (",Table1[[#This Row],[Conrad]],")")))</f>
        <v/>
      </c>
      <c r="AB206" s="62"/>
      <c r="AC206" s="57"/>
      <c r="AD206" s="59"/>
      <c r="AE206" s="61" t="str">
        <f>IF(Table1[[#This Row],[Mouser]]="","", HYPERLINK(Table1[[#This Row],[Destination - Mouser]],_xlfn.CONCAT("Link (",Table1[[#This Row],[Mouser]],")")))</f>
        <v/>
      </c>
      <c r="AF206" s="62" t="str">
        <f>_xlfn.CONCAT("https://www.mouser.ch/ProductDetail/",Table1[[#This Row],[Mouser]])</f>
        <v>https://www.mouser.ch/ProductDetail/</v>
      </c>
      <c r="AG206" s="57"/>
      <c r="AH206" s="59"/>
      <c r="AI206" s="61" t="str">
        <f>IF(Table1[[#This Row],[Bauhaus]]="","", HYPERLINK(Table1[[#This Row],[Destination - Bauhaus]],_xlfn.CONCAT("Link (",Table1[[#This Row],[Bauhaus]],")")))</f>
        <v/>
      </c>
      <c r="AJ206" s="62" t="str">
        <f>_xlfn.CONCAT("https://www.bauhaus.ch/fr/search?query=",Table1[[#This Row],[Bauhaus]])</f>
        <v>https://www.bauhaus.ch/fr/search?query=</v>
      </c>
      <c r="AK206" s="59"/>
      <c r="AL206" s="59"/>
      <c r="AM206" s="61" t="str">
        <f>IF(Table1[[#This Row],[BricoEtLoisirs]]="","", HYPERLINK(Table1[[#This Row],[Destination - BricoEtLoisirs]],_xlfn.CONCAT("Link (",Table1[[#This Row],[BricoEtLoisirs]],")")))</f>
        <v/>
      </c>
      <c r="AN206" s="62" t="str">
        <f>_xlfn.CONCAT("https://bricoetloisirs.ch/p/",Table1[[#This Row],[BricoEtLoisirs]])</f>
        <v>https://bricoetloisirs.ch/p/</v>
      </c>
      <c r="AO206" s="57"/>
      <c r="AP206" s="59"/>
      <c r="AQ206" s="61" t="str">
        <f>IF(Table1[[#This Row],[Aliexpress]]="","", HYPERLINK(Table1[[#This Row],[Destination - Aliexpress]],_xlfn.CONCAT("Link (",Table1[[#This Row],[Aliexpress]],")")))</f>
        <v/>
      </c>
      <c r="AR206" s="62" t="str">
        <f>_xlfn.CONCAT("https://www.aliexpress.com/item/",Table1[[#This Row],[Aliexpress]],".html")</f>
        <v>https://www.aliexpress.com/item/.html</v>
      </c>
      <c r="AS206" s="57"/>
      <c r="AT206" s="59"/>
      <c r="AU206" s="61" t="str">
        <f>IF(Table1[[#This Row],[Banggood]]="","", HYPERLINK(Table1[[#This Row],[Destination - Banggood]],_xlfn.CONCAT("Link (",Table1[[#This Row],[Banggood]],")")))</f>
        <v/>
      </c>
      <c r="AV206" s="62" t="str">
        <f>_xlfn.CONCAT("https://www.banggood.com/search/",Table1[[#This Row],[Banggood]],".html")</f>
        <v>https://www.banggood.com/search/.html</v>
      </c>
      <c r="AW206" s="59" t="str">
        <f>IF(Table1[[#This Row],[Other]]&lt;&gt;"","Other","")</f>
        <v/>
      </c>
      <c r="AX206" s="57"/>
      <c r="AY206" s="59"/>
      <c r="AZ206" s="61" t="str">
        <f>IF(Table1[[#This Row],[Other]]="","",IF(Table1[[#This Row],[Destination - Other]]="","",HYPERLINK(Table1[[#This Row],[Destination - Other]],_xlfn.CONCAT("Link ("&amp;Table1[[#This Row],[Other]]&amp;")"))))</f>
        <v/>
      </c>
      <c r="BA206" s="59"/>
      <c r="BB206" s="58" t="str">
        <f>IF(AND( Table1[[#This Row],[Auto Order]]=1,Table1[[#This Row],[Obsolete]]=""),IF(Table1[[#This Row],[In stock]]&lt;Table1[[#This Row],[Min in stock]],1,""),"")</f>
        <v/>
      </c>
      <c r="BC206" s="64"/>
      <c r="BD206" s="66" t="str">
        <f>IF(Table1[[#This Row],[Obsolete]],Table1[[#This Row],[Art. Number]],"")</f>
        <v/>
      </c>
    </row>
    <row r="207" spans="1:56" x14ac:dyDescent="0.25">
      <c r="A207" s="65" t="s">
        <v>1214</v>
      </c>
      <c r="B207" s="57" t="s">
        <v>168</v>
      </c>
      <c r="C207" s="57" t="s">
        <v>97</v>
      </c>
      <c r="D207" s="57" t="s">
        <v>1215</v>
      </c>
      <c r="E207" s="57" t="s">
        <v>151</v>
      </c>
      <c r="F207" s="58">
        <v>0</v>
      </c>
      <c r="G207" s="58"/>
      <c r="H207" s="58"/>
      <c r="I20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RHM12KDCT-ND</v>
      </c>
      <c r="J20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(RHM12KDCT-ND)</v>
      </c>
      <c r="M207" s="57" t="s">
        <v>1216</v>
      </c>
      <c r="N207" s="59">
        <v>0.1</v>
      </c>
      <c r="O207" s="61" t="str">
        <f>IF(Table1[[#This Row],[Digikey]]="","", HYPERLINK(Table1[[#This Row],[Destination - Digikey]],_xlfn.CONCAT("Link (",Table1[[#This Row],[Digikey]],")")))</f>
        <v>Link (RHM12KDCT-ND)</v>
      </c>
      <c r="P207" s="62" t="str">
        <f>_xlfn.CONCAT("https://www.digikey.ch/products/en?keywords=",Table1[[#This Row],[Digikey]])</f>
        <v>https://www.digikey.ch/products/en?keywords=RHM12KDCT-ND</v>
      </c>
      <c r="Q207" s="57"/>
      <c r="R207" s="59"/>
      <c r="S207" s="61" t="str">
        <f>IF(Table1[[#This Row],[Farnell]]="","", HYPERLINK(Table1[[#This Row],[Destination - Farnell]],_xlfn.CONCAT("Link (",Table1[[#This Row],[Farnell]],")")))</f>
        <v/>
      </c>
      <c r="T207" s="62" t="str">
        <f>_xlfn.CONCAT("https://ch.farnell.com/fr-CH/",Table1[[#This Row],[Farnell]])</f>
        <v>https://ch.farnell.com/fr-CH/</v>
      </c>
      <c r="U207" s="57"/>
      <c r="V207" s="59"/>
      <c r="W207" s="61" t="str">
        <f>IF(Table1[[#This Row],[Distrelec]]="","", HYPERLINK(Table1[[#This Row],[Destination - Distrelec]],_xlfn.CONCAT("Link (",Table1[[#This Row],[Distrelec]],")")))</f>
        <v/>
      </c>
      <c r="X207" s="62" t="str">
        <f>_xlfn.CONCAT("https://www.distrelec.ch/search?q=",Table1[[#This Row],[Distrelec]])</f>
        <v>https://www.distrelec.ch/search?q=</v>
      </c>
      <c r="Y207" s="57"/>
      <c r="Z207" s="59"/>
      <c r="AA207" s="61" t="str">
        <f>IF(Table1[[#This Row],[Conrad]]="","", HYPERLINK(Table1[[#This Row],[Destination - Conrad]],_xlfn.CONCAT("Link (",Table1[[#This Row],[Conrad]],")")))</f>
        <v/>
      </c>
      <c r="AB207" s="62"/>
      <c r="AC207" s="57"/>
      <c r="AD207" s="59"/>
      <c r="AE207" s="61" t="str">
        <f>IF(Table1[[#This Row],[Mouser]]="","", HYPERLINK(Table1[[#This Row],[Destination - Mouser]],_xlfn.CONCAT("Link (",Table1[[#This Row],[Mouser]],")")))</f>
        <v/>
      </c>
      <c r="AF207" s="62" t="str">
        <f>_xlfn.CONCAT("https://www.mouser.ch/ProductDetail/",Table1[[#This Row],[Mouser]])</f>
        <v>https://www.mouser.ch/ProductDetail/</v>
      </c>
      <c r="AG207" s="57"/>
      <c r="AH207" s="59"/>
      <c r="AI207" s="61" t="str">
        <f>IF(Table1[[#This Row],[Bauhaus]]="","", HYPERLINK(Table1[[#This Row],[Destination - Bauhaus]],_xlfn.CONCAT("Link (",Table1[[#This Row],[Bauhaus]],")")))</f>
        <v/>
      </c>
      <c r="AJ207" s="62" t="str">
        <f>_xlfn.CONCAT("https://www.bauhaus.ch/fr/search?query=",Table1[[#This Row],[Bauhaus]])</f>
        <v>https://www.bauhaus.ch/fr/search?query=</v>
      </c>
      <c r="AK207" s="59"/>
      <c r="AL207" s="59"/>
      <c r="AM207" s="61" t="str">
        <f>IF(Table1[[#This Row],[BricoEtLoisirs]]="","", HYPERLINK(Table1[[#This Row],[Destination - BricoEtLoisirs]],_xlfn.CONCAT("Link (",Table1[[#This Row],[BricoEtLoisirs]],")")))</f>
        <v/>
      </c>
      <c r="AN207" s="62" t="str">
        <f>_xlfn.CONCAT("https://bricoetloisirs.ch/p/",Table1[[#This Row],[BricoEtLoisirs]])</f>
        <v>https://bricoetloisirs.ch/p/</v>
      </c>
      <c r="AO207" s="57"/>
      <c r="AP207" s="59"/>
      <c r="AQ207" s="61" t="str">
        <f>IF(Table1[[#This Row],[Aliexpress]]="","", HYPERLINK(Table1[[#This Row],[Destination - Aliexpress]],_xlfn.CONCAT("Link (",Table1[[#This Row],[Aliexpress]],")")))</f>
        <v/>
      </c>
      <c r="AR207" s="62" t="str">
        <f>_xlfn.CONCAT("https://www.aliexpress.com/item/",Table1[[#This Row],[Aliexpress]],".html")</f>
        <v>https://www.aliexpress.com/item/.html</v>
      </c>
      <c r="AS207" s="57"/>
      <c r="AT207" s="59"/>
      <c r="AU207" s="61" t="str">
        <f>IF(Table1[[#This Row],[Banggood]]="","", HYPERLINK(Table1[[#This Row],[Destination - Banggood]],_xlfn.CONCAT("Link (",Table1[[#This Row],[Banggood]],")")))</f>
        <v/>
      </c>
      <c r="AV207" s="62" t="str">
        <f>_xlfn.CONCAT("https://www.banggood.com/search/",Table1[[#This Row],[Banggood]],".html")</f>
        <v>https://www.banggood.com/search/.html</v>
      </c>
      <c r="AW207" s="59" t="str">
        <f>IF(Table1[[#This Row],[Other]]&lt;&gt;"","Other","")</f>
        <v/>
      </c>
      <c r="AX207" s="57"/>
      <c r="AY207" s="59"/>
      <c r="AZ207" s="61" t="str">
        <f>IF(Table1[[#This Row],[Other]]="","",IF(Table1[[#This Row],[Destination - Other]]="","",HYPERLINK(Table1[[#This Row],[Destination - Other]],_xlfn.CONCAT("Link ("&amp;Table1[[#This Row],[Other]]&amp;")"))))</f>
        <v/>
      </c>
      <c r="BA207" s="59"/>
      <c r="BB207" s="58" t="str">
        <f>IF(AND( Table1[[#This Row],[Auto Order]]=1,Table1[[#This Row],[Obsolete]]=""),IF(Table1[[#This Row],[In stock]]&lt;Table1[[#This Row],[Min in stock]],1,""),"")</f>
        <v/>
      </c>
      <c r="BC207" s="64"/>
      <c r="BD207" s="66" t="str">
        <f>IF(Table1[[#This Row],[Obsolete]],Table1[[#This Row],[Art. Number]],"")</f>
        <v/>
      </c>
    </row>
    <row r="208" spans="1:56" x14ac:dyDescent="0.25">
      <c r="A208" s="65" t="s">
        <v>1220</v>
      </c>
      <c r="B208" s="57" t="s">
        <v>168</v>
      </c>
      <c r="C208" s="57" t="s">
        <v>97</v>
      </c>
      <c r="D208" s="57" t="s">
        <v>1221</v>
      </c>
      <c r="E208" s="57" t="s">
        <v>151</v>
      </c>
      <c r="F208" s="58">
        <v>0</v>
      </c>
      <c r="G208" s="58"/>
      <c r="H208" s="58"/>
      <c r="I20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RHM120KDCT-ND</v>
      </c>
      <c r="J20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(RHM120KDCT-ND)</v>
      </c>
      <c r="M208" s="57" t="s">
        <v>1222</v>
      </c>
      <c r="N208" s="59">
        <v>0.1</v>
      </c>
      <c r="O208" s="61" t="str">
        <f>IF(Table1[[#This Row],[Digikey]]="","", HYPERLINK(Table1[[#This Row],[Destination - Digikey]],_xlfn.CONCAT("Link (",Table1[[#This Row],[Digikey]],")")))</f>
        <v>Link (RHM120KDCT-ND)</v>
      </c>
      <c r="P208" s="62" t="str">
        <f>_xlfn.CONCAT("https://www.digikey.ch/products/en?keywords=",Table1[[#This Row],[Digikey]])</f>
        <v>https://www.digikey.ch/products/en?keywords=RHM120KDCT-ND</v>
      </c>
      <c r="Q208" s="57"/>
      <c r="R208" s="59"/>
      <c r="S208" s="61" t="str">
        <f>IF(Table1[[#This Row],[Farnell]]="","", HYPERLINK(Table1[[#This Row],[Destination - Farnell]],_xlfn.CONCAT("Link (",Table1[[#This Row],[Farnell]],")")))</f>
        <v/>
      </c>
      <c r="T208" s="62" t="str">
        <f>_xlfn.CONCAT("https://ch.farnell.com/fr-CH/",Table1[[#This Row],[Farnell]])</f>
        <v>https://ch.farnell.com/fr-CH/</v>
      </c>
      <c r="U208" s="57"/>
      <c r="V208" s="59"/>
      <c r="W208" s="61" t="str">
        <f>IF(Table1[[#This Row],[Distrelec]]="","", HYPERLINK(Table1[[#This Row],[Destination - Distrelec]],_xlfn.CONCAT("Link (",Table1[[#This Row],[Distrelec]],")")))</f>
        <v/>
      </c>
      <c r="X208" s="62" t="str">
        <f>_xlfn.CONCAT("https://www.distrelec.ch/search?q=",Table1[[#This Row],[Distrelec]])</f>
        <v>https://www.distrelec.ch/search?q=</v>
      </c>
      <c r="Y208" s="57"/>
      <c r="Z208" s="59"/>
      <c r="AA208" s="61" t="str">
        <f>IF(Table1[[#This Row],[Conrad]]="","", HYPERLINK(Table1[[#This Row],[Destination - Conrad]],_xlfn.CONCAT("Link (",Table1[[#This Row],[Conrad]],")")))</f>
        <v/>
      </c>
      <c r="AB208" s="62"/>
      <c r="AC208" s="57"/>
      <c r="AD208" s="59"/>
      <c r="AE208" s="61" t="str">
        <f>IF(Table1[[#This Row],[Mouser]]="","", HYPERLINK(Table1[[#This Row],[Destination - Mouser]],_xlfn.CONCAT("Link (",Table1[[#This Row],[Mouser]],")")))</f>
        <v/>
      </c>
      <c r="AF208" s="62" t="str">
        <f>_xlfn.CONCAT("https://www.mouser.ch/ProductDetail/",Table1[[#This Row],[Mouser]])</f>
        <v>https://www.mouser.ch/ProductDetail/</v>
      </c>
      <c r="AG208" s="57"/>
      <c r="AH208" s="59"/>
      <c r="AI208" s="61" t="str">
        <f>IF(Table1[[#This Row],[Bauhaus]]="","", HYPERLINK(Table1[[#This Row],[Destination - Bauhaus]],_xlfn.CONCAT("Link (",Table1[[#This Row],[Bauhaus]],")")))</f>
        <v/>
      </c>
      <c r="AJ208" s="62" t="str">
        <f>_xlfn.CONCAT("https://www.bauhaus.ch/fr/search?query=",Table1[[#This Row],[Bauhaus]])</f>
        <v>https://www.bauhaus.ch/fr/search?query=</v>
      </c>
      <c r="AK208" s="59"/>
      <c r="AL208" s="59"/>
      <c r="AM208" s="61" t="str">
        <f>IF(Table1[[#This Row],[BricoEtLoisirs]]="","", HYPERLINK(Table1[[#This Row],[Destination - BricoEtLoisirs]],_xlfn.CONCAT("Link (",Table1[[#This Row],[BricoEtLoisirs]],")")))</f>
        <v/>
      </c>
      <c r="AN208" s="62" t="str">
        <f>_xlfn.CONCAT("https://bricoetloisirs.ch/p/",Table1[[#This Row],[BricoEtLoisirs]])</f>
        <v>https://bricoetloisirs.ch/p/</v>
      </c>
      <c r="AO208" s="57"/>
      <c r="AP208" s="59"/>
      <c r="AQ208" s="61" t="str">
        <f>IF(Table1[[#This Row],[Aliexpress]]="","", HYPERLINK(Table1[[#This Row],[Destination - Aliexpress]],_xlfn.CONCAT("Link (",Table1[[#This Row],[Aliexpress]],")")))</f>
        <v/>
      </c>
      <c r="AR208" s="62" t="str">
        <f>_xlfn.CONCAT("https://www.aliexpress.com/item/",Table1[[#This Row],[Aliexpress]],".html")</f>
        <v>https://www.aliexpress.com/item/.html</v>
      </c>
      <c r="AS208" s="57"/>
      <c r="AT208" s="59"/>
      <c r="AU208" s="61" t="str">
        <f>IF(Table1[[#This Row],[Banggood]]="","", HYPERLINK(Table1[[#This Row],[Destination - Banggood]],_xlfn.CONCAT("Link (",Table1[[#This Row],[Banggood]],")")))</f>
        <v/>
      </c>
      <c r="AV208" s="62" t="str">
        <f>_xlfn.CONCAT("https://www.banggood.com/search/",Table1[[#This Row],[Banggood]],".html")</f>
        <v>https://www.banggood.com/search/.html</v>
      </c>
      <c r="AW208" s="59" t="str">
        <f>IF(Table1[[#This Row],[Other]]&lt;&gt;"","Other","")</f>
        <v/>
      </c>
      <c r="AX208" s="57"/>
      <c r="AY208" s="59"/>
      <c r="AZ208" s="61" t="str">
        <f>IF(Table1[[#This Row],[Other]]="","",IF(Table1[[#This Row],[Destination - Other]]="","",HYPERLINK(Table1[[#This Row],[Destination - Other]],_xlfn.CONCAT("Link ("&amp;Table1[[#This Row],[Other]]&amp;")"))))</f>
        <v/>
      </c>
      <c r="BA208" s="59"/>
      <c r="BB208" s="58" t="str">
        <f>IF(AND( Table1[[#This Row],[Auto Order]]=1,Table1[[#This Row],[Obsolete]]=""),IF(Table1[[#This Row],[In stock]]&lt;Table1[[#This Row],[Min in stock]],1,""),"")</f>
        <v/>
      </c>
      <c r="BC208" s="64"/>
      <c r="BD208" s="66" t="str">
        <f>IF(Table1[[#This Row],[Obsolete]],Table1[[#This Row],[Art. Number]],"")</f>
        <v/>
      </c>
    </row>
    <row r="209" spans="1:56" x14ac:dyDescent="0.25">
      <c r="A209" s="65" t="s">
        <v>1226</v>
      </c>
      <c r="B209" s="57" t="s">
        <v>168</v>
      </c>
      <c r="C209" s="57" t="s">
        <v>97</v>
      </c>
      <c r="D209" s="57" t="s">
        <v>1227</v>
      </c>
      <c r="E209" s="57" t="s">
        <v>151</v>
      </c>
      <c r="F209" s="58">
        <v>0</v>
      </c>
      <c r="G209" s="58"/>
      <c r="H209" s="58"/>
      <c r="I20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RHM1.2MDCT-ND</v>
      </c>
      <c r="J20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0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0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(RHM1.2MDCT-ND)</v>
      </c>
      <c r="M209" s="57" t="s">
        <v>1228</v>
      </c>
      <c r="N209" s="59">
        <v>0.1</v>
      </c>
      <c r="O209" s="61" t="str">
        <f>IF(Table1[[#This Row],[Digikey]]="","", HYPERLINK(Table1[[#This Row],[Destination - Digikey]],_xlfn.CONCAT("Link (",Table1[[#This Row],[Digikey]],")")))</f>
        <v>Link (RHM1.2MDCT-ND)</v>
      </c>
      <c r="P209" s="62" t="str">
        <f>_xlfn.CONCAT("https://www.digikey.ch/products/en?keywords=",Table1[[#This Row],[Digikey]])</f>
        <v>https://www.digikey.ch/products/en?keywords=RHM1.2MDCT-ND</v>
      </c>
      <c r="Q209" s="57"/>
      <c r="R209" s="59"/>
      <c r="S209" s="61" t="str">
        <f>IF(Table1[[#This Row],[Farnell]]="","", HYPERLINK(Table1[[#This Row],[Destination - Farnell]],_xlfn.CONCAT("Link (",Table1[[#This Row],[Farnell]],")")))</f>
        <v/>
      </c>
      <c r="T209" s="62" t="str">
        <f>_xlfn.CONCAT("https://ch.farnell.com/fr-CH/",Table1[[#This Row],[Farnell]])</f>
        <v>https://ch.farnell.com/fr-CH/</v>
      </c>
      <c r="U209" s="57"/>
      <c r="V209" s="59"/>
      <c r="W209" s="61" t="str">
        <f>IF(Table1[[#This Row],[Distrelec]]="","", HYPERLINK(Table1[[#This Row],[Destination - Distrelec]],_xlfn.CONCAT("Link (",Table1[[#This Row],[Distrelec]],")")))</f>
        <v/>
      </c>
      <c r="X209" s="62" t="str">
        <f>_xlfn.CONCAT("https://www.distrelec.ch/search?q=",Table1[[#This Row],[Distrelec]])</f>
        <v>https://www.distrelec.ch/search?q=</v>
      </c>
      <c r="Y209" s="57"/>
      <c r="Z209" s="59"/>
      <c r="AA209" s="61" t="str">
        <f>IF(Table1[[#This Row],[Conrad]]="","", HYPERLINK(Table1[[#This Row],[Destination - Conrad]],_xlfn.CONCAT("Link (",Table1[[#This Row],[Conrad]],")")))</f>
        <v/>
      </c>
      <c r="AB209" s="62"/>
      <c r="AC209" s="57"/>
      <c r="AD209" s="59"/>
      <c r="AE209" s="61" t="str">
        <f>IF(Table1[[#This Row],[Mouser]]="","", HYPERLINK(Table1[[#This Row],[Destination - Mouser]],_xlfn.CONCAT("Link (",Table1[[#This Row],[Mouser]],")")))</f>
        <v/>
      </c>
      <c r="AF209" s="62" t="str">
        <f>_xlfn.CONCAT("https://www.mouser.ch/ProductDetail/",Table1[[#This Row],[Mouser]])</f>
        <v>https://www.mouser.ch/ProductDetail/</v>
      </c>
      <c r="AG209" s="57"/>
      <c r="AH209" s="59"/>
      <c r="AI209" s="61" t="str">
        <f>IF(Table1[[#This Row],[Bauhaus]]="","", HYPERLINK(Table1[[#This Row],[Destination - Bauhaus]],_xlfn.CONCAT("Link (",Table1[[#This Row],[Bauhaus]],")")))</f>
        <v/>
      </c>
      <c r="AJ209" s="62" t="str">
        <f>_xlfn.CONCAT("https://www.bauhaus.ch/fr/search?query=",Table1[[#This Row],[Bauhaus]])</f>
        <v>https://www.bauhaus.ch/fr/search?query=</v>
      </c>
      <c r="AK209" s="59"/>
      <c r="AL209" s="59"/>
      <c r="AM209" s="61" t="str">
        <f>IF(Table1[[#This Row],[BricoEtLoisirs]]="","", HYPERLINK(Table1[[#This Row],[Destination - BricoEtLoisirs]],_xlfn.CONCAT("Link (",Table1[[#This Row],[BricoEtLoisirs]],")")))</f>
        <v/>
      </c>
      <c r="AN209" s="62" t="str">
        <f>_xlfn.CONCAT("https://bricoetloisirs.ch/p/",Table1[[#This Row],[BricoEtLoisirs]])</f>
        <v>https://bricoetloisirs.ch/p/</v>
      </c>
      <c r="AO209" s="57"/>
      <c r="AP209" s="59"/>
      <c r="AQ209" s="61" t="str">
        <f>IF(Table1[[#This Row],[Aliexpress]]="","", HYPERLINK(Table1[[#This Row],[Destination - Aliexpress]],_xlfn.CONCAT("Link (",Table1[[#This Row],[Aliexpress]],")")))</f>
        <v/>
      </c>
      <c r="AR209" s="62" t="str">
        <f>_xlfn.CONCAT("https://www.aliexpress.com/item/",Table1[[#This Row],[Aliexpress]],".html")</f>
        <v>https://www.aliexpress.com/item/.html</v>
      </c>
      <c r="AS209" s="57"/>
      <c r="AT209" s="59"/>
      <c r="AU209" s="61" t="str">
        <f>IF(Table1[[#This Row],[Banggood]]="","", HYPERLINK(Table1[[#This Row],[Destination - Banggood]],_xlfn.CONCAT("Link (",Table1[[#This Row],[Banggood]],")")))</f>
        <v/>
      </c>
      <c r="AV209" s="62" t="str">
        <f>_xlfn.CONCAT("https://www.banggood.com/search/",Table1[[#This Row],[Banggood]],".html")</f>
        <v>https://www.banggood.com/search/.html</v>
      </c>
      <c r="AW209" s="59" t="str">
        <f>IF(Table1[[#This Row],[Other]]&lt;&gt;"","Other","")</f>
        <v/>
      </c>
      <c r="AX209" s="57"/>
      <c r="AY209" s="59"/>
      <c r="AZ209" s="61" t="str">
        <f>IF(Table1[[#This Row],[Other]]="","",IF(Table1[[#This Row],[Destination - Other]]="","",HYPERLINK(Table1[[#This Row],[Destination - Other]],_xlfn.CONCAT("Link ("&amp;Table1[[#This Row],[Other]]&amp;")"))))</f>
        <v/>
      </c>
      <c r="BA209" s="59"/>
      <c r="BB209" s="58" t="str">
        <f>IF(AND( Table1[[#This Row],[Auto Order]]=1,Table1[[#This Row],[Obsolete]]=""),IF(Table1[[#This Row],[In stock]]&lt;Table1[[#This Row],[Min in stock]],1,""),"")</f>
        <v/>
      </c>
      <c r="BC209" s="64"/>
      <c r="BD209" s="66" t="str">
        <f>IF(Table1[[#This Row],[Obsolete]],Table1[[#This Row],[Art. Number]],"")</f>
        <v/>
      </c>
    </row>
    <row r="210" spans="1:56" x14ac:dyDescent="0.25">
      <c r="A210" s="65" t="s">
        <v>1232</v>
      </c>
      <c r="B210" s="57" t="s">
        <v>168</v>
      </c>
      <c r="C210" s="57" t="s">
        <v>97</v>
      </c>
      <c r="D210" s="57" t="s">
        <v>1233</v>
      </c>
      <c r="E210" s="57" t="s">
        <v>151</v>
      </c>
      <c r="F210" s="58">
        <v>0</v>
      </c>
      <c r="G210" s="58"/>
      <c r="H210" s="58"/>
      <c r="I21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RHM13DCT-ND</v>
      </c>
      <c r="J21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(RHM13DCT-ND)</v>
      </c>
      <c r="M210" s="57" t="s">
        <v>1234</v>
      </c>
      <c r="N210" s="59">
        <v>0.1</v>
      </c>
      <c r="O210" s="61" t="str">
        <f>IF(Table1[[#This Row],[Digikey]]="","", HYPERLINK(Table1[[#This Row],[Destination - Digikey]],_xlfn.CONCAT("Link (",Table1[[#This Row],[Digikey]],")")))</f>
        <v>Link (RHM13DCT-ND)</v>
      </c>
      <c r="P210" s="62" t="str">
        <f>_xlfn.CONCAT("https://www.digikey.ch/products/en?keywords=",Table1[[#This Row],[Digikey]])</f>
        <v>https://www.digikey.ch/products/en?keywords=RHM13DCT-ND</v>
      </c>
      <c r="Q210" s="57"/>
      <c r="R210" s="59"/>
      <c r="S210" s="61" t="str">
        <f>IF(Table1[[#This Row],[Farnell]]="","", HYPERLINK(Table1[[#This Row],[Destination - Farnell]],_xlfn.CONCAT("Link (",Table1[[#This Row],[Farnell]],")")))</f>
        <v/>
      </c>
      <c r="T210" s="62" t="str">
        <f>_xlfn.CONCAT("https://ch.farnell.com/fr-CH/",Table1[[#This Row],[Farnell]])</f>
        <v>https://ch.farnell.com/fr-CH/</v>
      </c>
      <c r="U210" s="57"/>
      <c r="V210" s="59"/>
      <c r="W210" s="61" t="str">
        <f>IF(Table1[[#This Row],[Distrelec]]="","", HYPERLINK(Table1[[#This Row],[Destination - Distrelec]],_xlfn.CONCAT("Link (",Table1[[#This Row],[Distrelec]],")")))</f>
        <v/>
      </c>
      <c r="X210" s="62" t="str">
        <f>_xlfn.CONCAT("https://www.distrelec.ch/search?q=",Table1[[#This Row],[Distrelec]])</f>
        <v>https://www.distrelec.ch/search?q=</v>
      </c>
      <c r="Y210" s="57"/>
      <c r="Z210" s="59"/>
      <c r="AA210" s="61" t="str">
        <f>IF(Table1[[#This Row],[Conrad]]="","", HYPERLINK(Table1[[#This Row],[Destination - Conrad]],_xlfn.CONCAT("Link (",Table1[[#This Row],[Conrad]],")")))</f>
        <v/>
      </c>
      <c r="AB210" s="62"/>
      <c r="AC210" s="57"/>
      <c r="AD210" s="59"/>
      <c r="AE210" s="61" t="str">
        <f>IF(Table1[[#This Row],[Mouser]]="","", HYPERLINK(Table1[[#This Row],[Destination - Mouser]],_xlfn.CONCAT("Link (",Table1[[#This Row],[Mouser]],")")))</f>
        <v/>
      </c>
      <c r="AF210" s="62" t="str">
        <f>_xlfn.CONCAT("https://www.mouser.ch/ProductDetail/",Table1[[#This Row],[Mouser]])</f>
        <v>https://www.mouser.ch/ProductDetail/</v>
      </c>
      <c r="AG210" s="57"/>
      <c r="AH210" s="59"/>
      <c r="AI210" s="61" t="str">
        <f>IF(Table1[[#This Row],[Bauhaus]]="","", HYPERLINK(Table1[[#This Row],[Destination - Bauhaus]],_xlfn.CONCAT("Link (",Table1[[#This Row],[Bauhaus]],")")))</f>
        <v/>
      </c>
      <c r="AJ210" s="62" t="str">
        <f>_xlfn.CONCAT("https://www.bauhaus.ch/fr/search?query=",Table1[[#This Row],[Bauhaus]])</f>
        <v>https://www.bauhaus.ch/fr/search?query=</v>
      </c>
      <c r="AK210" s="59"/>
      <c r="AL210" s="59"/>
      <c r="AM210" s="61" t="str">
        <f>IF(Table1[[#This Row],[BricoEtLoisirs]]="","", HYPERLINK(Table1[[#This Row],[Destination - BricoEtLoisirs]],_xlfn.CONCAT("Link (",Table1[[#This Row],[BricoEtLoisirs]],")")))</f>
        <v/>
      </c>
      <c r="AN210" s="62" t="str">
        <f>_xlfn.CONCAT("https://bricoetloisirs.ch/p/",Table1[[#This Row],[BricoEtLoisirs]])</f>
        <v>https://bricoetloisirs.ch/p/</v>
      </c>
      <c r="AO210" s="57"/>
      <c r="AP210" s="59"/>
      <c r="AQ210" s="61" t="str">
        <f>IF(Table1[[#This Row],[Aliexpress]]="","", HYPERLINK(Table1[[#This Row],[Destination - Aliexpress]],_xlfn.CONCAT("Link (",Table1[[#This Row],[Aliexpress]],")")))</f>
        <v/>
      </c>
      <c r="AR210" s="62" t="str">
        <f>_xlfn.CONCAT("https://www.aliexpress.com/item/",Table1[[#This Row],[Aliexpress]],".html")</f>
        <v>https://www.aliexpress.com/item/.html</v>
      </c>
      <c r="AS210" s="57"/>
      <c r="AT210" s="59"/>
      <c r="AU210" s="61" t="str">
        <f>IF(Table1[[#This Row],[Banggood]]="","", HYPERLINK(Table1[[#This Row],[Destination - Banggood]],_xlfn.CONCAT("Link (",Table1[[#This Row],[Banggood]],")")))</f>
        <v/>
      </c>
      <c r="AV210" s="62" t="str">
        <f>_xlfn.CONCAT("https://www.banggood.com/search/",Table1[[#This Row],[Banggood]],".html")</f>
        <v>https://www.banggood.com/search/.html</v>
      </c>
      <c r="AW210" s="59" t="str">
        <f>IF(Table1[[#This Row],[Other]]&lt;&gt;"","Other","")</f>
        <v/>
      </c>
      <c r="AX210" s="57"/>
      <c r="AY210" s="59"/>
      <c r="AZ210" s="61" t="str">
        <f>IF(Table1[[#This Row],[Other]]="","",IF(Table1[[#This Row],[Destination - Other]]="","",HYPERLINK(Table1[[#This Row],[Destination - Other]],_xlfn.CONCAT("Link ("&amp;Table1[[#This Row],[Other]]&amp;")"))))</f>
        <v/>
      </c>
      <c r="BA210" s="59"/>
      <c r="BB210" s="58" t="str">
        <f>IF(AND( Table1[[#This Row],[Auto Order]]=1,Table1[[#This Row],[Obsolete]]=""),IF(Table1[[#This Row],[In stock]]&lt;Table1[[#This Row],[Min in stock]],1,""),"")</f>
        <v/>
      </c>
      <c r="BC210" s="64"/>
      <c r="BD210" s="66" t="str">
        <f>IF(Table1[[#This Row],[Obsolete]],Table1[[#This Row],[Art. Number]],"")</f>
        <v/>
      </c>
    </row>
    <row r="211" spans="1:56" x14ac:dyDescent="0.25">
      <c r="A211" s="65" t="s">
        <v>1238</v>
      </c>
      <c r="B211" s="57" t="s">
        <v>168</v>
      </c>
      <c r="C211" s="57" t="s">
        <v>97</v>
      </c>
      <c r="D211" s="57" t="s">
        <v>1239</v>
      </c>
      <c r="E211" s="57" t="s">
        <v>151</v>
      </c>
      <c r="F211" s="58">
        <v>0</v>
      </c>
      <c r="G211" s="58"/>
      <c r="H211" s="58"/>
      <c r="I21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RHM130DCT-ND</v>
      </c>
      <c r="J21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(RHM130DCT-ND)</v>
      </c>
      <c r="M211" s="57" t="s">
        <v>1240</v>
      </c>
      <c r="N211" s="59">
        <v>0.1</v>
      </c>
      <c r="O211" s="61" t="str">
        <f>IF(Table1[[#This Row],[Digikey]]="","", HYPERLINK(Table1[[#This Row],[Destination - Digikey]],_xlfn.CONCAT("Link (",Table1[[#This Row],[Digikey]],")")))</f>
        <v>Link (RHM130DCT-ND)</v>
      </c>
      <c r="P211" s="62" t="str">
        <f>_xlfn.CONCAT("https://www.digikey.ch/products/en?keywords=",Table1[[#This Row],[Digikey]])</f>
        <v>https://www.digikey.ch/products/en?keywords=RHM130DCT-ND</v>
      </c>
      <c r="Q211" s="57"/>
      <c r="R211" s="59"/>
      <c r="S211" s="61" t="str">
        <f>IF(Table1[[#This Row],[Farnell]]="","", HYPERLINK(Table1[[#This Row],[Destination - Farnell]],_xlfn.CONCAT("Link (",Table1[[#This Row],[Farnell]],")")))</f>
        <v/>
      </c>
      <c r="T211" s="62" t="str">
        <f>_xlfn.CONCAT("https://ch.farnell.com/fr-CH/",Table1[[#This Row],[Farnell]])</f>
        <v>https://ch.farnell.com/fr-CH/</v>
      </c>
      <c r="U211" s="57"/>
      <c r="V211" s="59"/>
      <c r="W211" s="61" t="str">
        <f>IF(Table1[[#This Row],[Distrelec]]="","", HYPERLINK(Table1[[#This Row],[Destination - Distrelec]],_xlfn.CONCAT("Link (",Table1[[#This Row],[Distrelec]],")")))</f>
        <v/>
      </c>
      <c r="X211" s="62" t="str">
        <f>_xlfn.CONCAT("https://www.distrelec.ch/search?q=",Table1[[#This Row],[Distrelec]])</f>
        <v>https://www.distrelec.ch/search?q=</v>
      </c>
      <c r="Y211" s="57"/>
      <c r="Z211" s="59"/>
      <c r="AA211" s="61" t="str">
        <f>IF(Table1[[#This Row],[Conrad]]="","", HYPERLINK(Table1[[#This Row],[Destination - Conrad]],_xlfn.CONCAT("Link (",Table1[[#This Row],[Conrad]],")")))</f>
        <v/>
      </c>
      <c r="AB211" s="62"/>
      <c r="AC211" s="57"/>
      <c r="AD211" s="59"/>
      <c r="AE211" s="61" t="str">
        <f>IF(Table1[[#This Row],[Mouser]]="","", HYPERLINK(Table1[[#This Row],[Destination - Mouser]],_xlfn.CONCAT("Link (",Table1[[#This Row],[Mouser]],")")))</f>
        <v/>
      </c>
      <c r="AF211" s="62" t="str">
        <f>_xlfn.CONCAT("https://www.mouser.ch/ProductDetail/",Table1[[#This Row],[Mouser]])</f>
        <v>https://www.mouser.ch/ProductDetail/</v>
      </c>
      <c r="AG211" s="57"/>
      <c r="AH211" s="59"/>
      <c r="AI211" s="61" t="str">
        <f>IF(Table1[[#This Row],[Bauhaus]]="","", HYPERLINK(Table1[[#This Row],[Destination - Bauhaus]],_xlfn.CONCAT("Link (",Table1[[#This Row],[Bauhaus]],")")))</f>
        <v/>
      </c>
      <c r="AJ211" s="62" t="str">
        <f>_xlfn.CONCAT("https://www.bauhaus.ch/fr/search?query=",Table1[[#This Row],[Bauhaus]])</f>
        <v>https://www.bauhaus.ch/fr/search?query=</v>
      </c>
      <c r="AK211" s="59"/>
      <c r="AL211" s="59"/>
      <c r="AM211" s="61" t="str">
        <f>IF(Table1[[#This Row],[BricoEtLoisirs]]="","", HYPERLINK(Table1[[#This Row],[Destination - BricoEtLoisirs]],_xlfn.CONCAT("Link (",Table1[[#This Row],[BricoEtLoisirs]],")")))</f>
        <v/>
      </c>
      <c r="AN211" s="62" t="str">
        <f>_xlfn.CONCAT("https://bricoetloisirs.ch/p/",Table1[[#This Row],[BricoEtLoisirs]])</f>
        <v>https://bricoetloisirs.ch/p/</v>
      </c>
      <c r="AO211" s="57"/>
      <c r="AP211" s="59"/>
      <c r="AQ211" s="61" t="str">
        <f>IF(Table1[[#This Row],[Aliexpress]]="","", HYPERLINK(Table1[[#This Row],[Destination - Aliexpress]],_xlfn.CONCAT("Link (",Table1[[#This Row],[Aliexpress]],")")))</f>
        <v/>
      </c>
      <c r="AR211" s="62" t="str">
        <f>_xlfn.CONCAT("https://www.aliexpress.com/item/",Table1[[#This Row],[Aliexpress]],".html")</f>
        <v>https://www.aliexpress.com/item/.html</v>
      </c>
      <c r="AS211" s="57"/>
      <c r="AT211" s="59"/>
      <c r="AU211" s="61" t="str">
        <f>IF(Table1[[#This Row],[Banggood]]="","", HYPERLINK(Table1[[#This Row],[Destination - Banggood]],_xlfn.CONCAT("Link (",Table1[[#This Row],[Banggood]],")")))</f>
        <v/>
      </c>
      <c r="AV211" s="62" t="str">
        <f>_xlfn.CONCAT("https://www.banggood.com/search/",Table1[[#This Row],[Banggood]],".html")</f>
        <v>https://www.banggood.com/search/.html</v>
      </c>
      <c r="AW211" s="59" t="str">
        <f>IF(Table1[[#This Row],[Other]]&lt;&gt;"","Other","")</f>
        <v/>
      </c>
      <c r="AX211" s="57"/>
      <c r="AY211" s="59"/>
      <c r="AZ211" s="61" t="str">
        <f>IF(Table1[[#This Row],[Other]]="","",IF(Table1[[#This Row],[Destination - Other]]="","",HYPERLINK(Table1[[#This Row],[Destination - Other]],_xlfn.CONCAT("Link ("&amp;Table1[[#This Row],[Other]]&amp;")"))))</f>
        <v/>
      </c>
      <c r="BA211" s="59"/>
      <c r="BB211" s="58" t="str">
        <f>IF(AND( Table1[[#This Row],[Auto Order]]=1,Table1[[#This Row],[Obsolete]]=""),IF(Table1[[#This Row],[In stock]]&lt;Table1[[#This Row],[Min in stock]],1,""),"")</f>
        <v/>
      </c>
      <c r="BC211" s="64"/>
      <c r="BD211" s="66" t="str">
        <f>IF(Table1[[#This Row],[Obsolete]],Table1[[#This Row],[Art. Number]],"")</f>
        <v/>
      </c>
    </row>
    <row r="212" spans="1:56" x14ac:dyDescent="0.25">
      <c r="A212" s="65" t="s">
        <v>1244</v>
      </c>
      <c r="B212" s="57" t="s">
        <v>168</v>
      </c>
      <c r="C212" s="57" t="s">
        <v>97</v>
      </c>
      <c r="D212" s="57" t="s">
        <v>1245</v>
      </c>
      <c r="E212" s="57" t="s">
        <v>151</v>
      </c>
      <c r="F212" s="58">
        <v>0</v>
      </c>
      <c r="G212" s="58"/>
      <c r="H212" s="58"/>
      <c r="I21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RHM1.3KDCT-ND</v>
      </c>
      <c r="J21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(RHM1.3KDCT-ND)</v>
      </c>
      <c r="M212" s="57" t="s">
        <v>1246</v>
      </c>
      <c r="N212" s="59">
        <v>0.1</v>
      </c>
      <c r="O212" s="61" t="str">
        <f>IF(Table1[[#This Row],[Digikey]]="","", HYPERLINK(Table1[[#This Row],[Destination - Digikey]],_xlfn.CONCAT("Link (",Table1[[#This Row],[Digikey]],")")))</f>
        <v>Link (RHM1.3KDCT-ND)</v>
      </c>
      <c r="P212" s="62" t="str">
        <f>_xlfn.CONCAT("https://www.digikey.ch/products/en?keywords=",Table1[[#This Row],[Digikey]])</f>
        <v>https://www.digikey.ch/products/en?keywords=RHM1.3KDCT-ND</v>
      </c>
      <c r="Q212" s="57"/>
      <c r="R212" s="59"/>
      <c r="S212" s="61" t="str">
        <f>IF(Table1[[#This Row],[Farnell]]="","", HYPERLINK(Table1[[#This Row],[Destination - Farnell]],_xlfn.CONCAT("Link (",Table1[[#This Row],[Farnell]],")")))</f>
        <v/>
      </c>
      <c r="T212" s="62" t="str">
        <f>_xlfn.CONCAT("https://ch.farnell.com/fr-CH/",Table1[[#This Row],[Farnell]])</f>
        <v>https://ch.farnell.com/fr-CH/</v>
      </c>
      <c r="U212" s="57"/>
      <c r="V212" s="59"/>
      <c r="W212" s="61" t="str">
        <f>IF(Table1[[#This Row],[Distrelec]]="","", HYPERLINK(Table1[[#This Row],[Destination - Distrelec]],_xlfn.CONCAT("Link (",Table1[[#This Row],[Distrelec]],")")))</f>
        <v/>
      </c>
      <c r="X212" s="62" t="str">
        <f>_xlfn.CONCAT("https://www.distrelec.ch/search?q=",Table1[[#This Row],[Distrelec]])</f>
        <v>https://www.distrelec.ch/search?q=</v>
      </c>
      <c r="Y212" s="57"/>
      <c r="Z212" s="59"/>
      <c r="AA212" s="61" t="str">
        <f>IF(Table1[[#This Row],[Conrad]]="","", HYPERLINK(Table1[[#This Row],[Destination - Conrad]],_xlfn.CONCAT("Link (",Table1[[#This Row],[Conrad]],")")))</f>
        <v/>
      </c>
      <c r="AB212" s="62"/>
      <c r="AC212" s="57"/>
      <c r="AD212" s="59"/>
      <c r="AE212" s="61" t="str">
        <f>IF(Table1[[#This Row],[Mouser]]="","", HYPERLINK(Table1[[#This Row],[Destination - Mouser]],_xlfn.CONCAT("Link (",Table1[[#This Row],[Mouser]],")")))</f>
        <v/>
      </c>
      <c r="AF212" s="62" t="str">
        <f>_xlfn.CONCAT("https://www.mouser.ch/ProductDetail/",Table1[[#This Row],[Mouser]])</f>
        <v>https://www.mouser.ch/ProductDetail/</v>
      </c>
      <c r="AG212" s="57"/>
      <c r="AH212" s="59"/>
      <c r="AI212" s="61" t="str">
        <f>IF(Table1[[#This Row],[Bauhaus]]="","", HYPERLINK(Table1[[#This Row],[Destination - Bauhaus]],_xlfn.CONCAT("Link (",Table1[[#This Row],[Bauhaus]],")")))</f>
        <v/>
      </c>
      <c r="AJ212" s="62" t="str">
        <f>_xlfn.CONCAT("https://www.bauhaus.ch/fr/search?query=",Table1[[#This Row],[Bauhaus]])</f>
        <v>https://www.bauhaus.ch/fr/search?query=</v>
      </c>
      <c r="AK212" s="59"/>
      <c r="AL212" s="59"/>
      <c r="AM212" s="61" t="str">
        <f>IF(Table1[[#This Row],[BricoEtLoisirs]]="","", HYPERLINK(Table1[[#This Row],[Destination - BricoEtLoisirs]],_xlfn.CONCAT("Link (",Table1[[#This Row],[BricoEtLoisirs]],")")))</f>
        <v/>
      </c>
      <c r="AN212" s="62" t="str">
        <f>_xlfn.CONCAT("https://bricoetloisirs.ch/p/",Table1[[#This Row],[BricoEtLoisirs]])</f>
        <v>https://bricoetloisirs.ch/p/</v>
      </c>
      <c r="AO212" s="57"/>
      <c r="AP212" s="59"/>
      <c r="AQ212" s="61" t="str">
        <f>IF(Table1[[#This Row],[Aliexpress]]="","", HYPERLINK(Table1[[#This Row],[Destination - Aliexpress]],_xlfn.CONCAT("Link (",Table1[[#This Row],[Aliexpress]],")")))</f>
        <v/>
      </c>
      <c r="AR212" s="62" t="str">
        <f>_xlfn.CONCAT("https://www.aliexpress.com/item/",Table1[[#This Row],[Aliexpress]],".html")</f>
        <v>https://www.aliexpress.com/item/.html</v>
      </c>
      <c r="AS212" s="57"/>
      <c r="AT212" s="59"/>
      <c r="AU212" s="61" t="str">
        <f>IF(Table1[[#This Row],[Banggood]]="","", HYPERLINK(Table1[[#This Row],[Destination - Banggood]],_xlfn.CONCAT("Link (",Table1[[#This Row],[Banggood]],")")))</f>
        <v/>
      </c>
      <c r="AV212" s="62" t="str">
        <f>_xlfn.CONCAT("https://www.banggood.com/search/",Table1[[#This Row],[Banggood]],".html")</f>
        <v>https://www.banggood.com/search/.html</v>
      </c>
      <c r="AW212" s="59" t="str">
        <f>IF(Table1[[#This Row],[Other]]&lt;&gt;"","Other","")</f>
        <v/>
      </c>
      <c r="AX212" s="57"/>
      <c r="AY212" s="59"/>
      <c r="AZ212" s="61" t="str">
        <f>IF(Table1[[#This Row],[Other]]="","",IF(Table1[[#This Row],[Destination - Other]]="","",HYPERLINK(Table1[[#This Row],[Destination - Other]],_xlfn.CONCAT("Link ("&amp;Table1[[#This Row],[Other]]&amp;")"))))</f>
        <v/>
      </c>
      <c r="BA212" s="59"/>
      <c r="BB212" s="58" t="str">
        <f>IF(AND( Table1[[#This Row],[Auto Order]]=1,Table1[[#This Row],[Obsolete]]=""),IF(Table1[[#This Row],[In stock]]&lt;Table1[[#This Row],[Min in stock]],1,""),"")</f>
        <v/>
      </c>
      <c r="BC212" s="64"/>
      <c r="BD212" s="66" t="str">
        <f>IF(Table1[[#This Row],[Obsolete]],Table1[[#This Row],[Art. Number]],"")</f>
        <v/>
      </c>
    </row>
    <row r="213" spans="1:56" x14ac:dyDescent="0.25">
      <c r="A213" s="65" t="s">
        <v>1250</v>
      </c>
      <c r="B213" s="57" t="s">
        <v>168</v>
      </c>
      <c r="C213" s="57" t="s">
        <v>97</v>
      </c>
      <c r="D213" s="57" t="s">
        <v>1251</v>
      </c>
      <c r="E213" s="57" t="s">
        <v>151</v>
      </c>
      <c r="F213" s="58">
        <v>0</v>
      </c>
      <c r="G213" s="58"/>
      <c r="H213" s="58"/>
      <c r="I21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RHM13KDCT-ND</v>
      </c>
      <c r="J21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(RHM13KDCT-ND)</v>
      </c>
      <c r="M213" s="57" t="s">
        <v>1252</v>
      </c>
      <c r="N213" s="59">
        <v>0.1</v>
      </c>
      <c r="O213" s="61" t="str">
        <f>IF(Table1[[#This Row],[Digikey]]="","", HYPERLINK(Table1[[#This Row],[Destination - Digikey]],_xlfn.CONCAT("Link (",Table1[[#This Row],[Digikey]],")")))</f>
        <v>Link (RHM13KDCT-ND)</v>
      </c>
      <c r="P213" s="62" t="str">
        <f>_xlfn.CONCAT("https://www.digikey.ch/products/en?keywords=",Table1[[#This Row],[Digikey]])</f>
        <v>https://www.digikey.ch/products/en?keywords=RHM13KDCT-ND</v>
      </c>
      <c r="Q213" s="57"/>
      <c r="R213" s="59"/>
      <c r="S213" s="61" t="str">
        <f>IF(Table1[[#This Row],[Farnell]]="","", HYPERLINK(Table1[[#This Row],[Destination - Farnell]],_xlfn.CONCAT("Link (",Table1[[#This Row],[Farnell]],")")))</f>
        <v/>
      </c>
      <c r="T213" s="62" t="str">
        <f>_xlfn.CONCAT("https://ch.farnell.com/fr-CH/",Table1[[#This Row],[Farnell]])</f>
        <v>https://ch.farnell.com/fr-CH/</v>
      </c>
      <c r="U213" s="57"/>
      <c r="V213" s="59"/>
      <c r="W213" s="61" t="str">
        <f>IF(Table1[[#This Row],[Distrelec]]="","", HYPERLINK(Table1[[#This Row],[Destination - Distrelec]],_xlfn.CONCAT("Link (",Table1[[#This Row],[Distrelec]],")")))</f>
        <v/>
      </c>
      <c r="X213" s="62" t="str">
        <f>_xlfn.CONCAT("https://www.distrelec.ch/search?q=",Table1[[#This Row],[Distrelec]])</f>
        <v>https://www.distrelec.ch/search?q=</v>
      </c>
      <c r="Y213" s="57"/>
      <c r="Z213" s="59"/>
      <c r="AA213" s="61" t="str">
        <f>IF(Table1[[#This Row],[Conrad]]="","", HYPERLINK(Table1[[#This Row],[Destination - Conrad]],_xlfn.CONCAT("Link (",Table1[[#This Row],[Conrad]],")")))</f>
        <v/>
      </c>
      <c r="AB213" s="62"/>
      <c r="AC213" s="57"/>
      <c r="AD213" s="59"/>
      <c r="AE213" s="61" t="str">
        <f>IF(Table1[[#This Row],[Mouser]]="","", HYPERLINK(Table1[[#This Row],[Destination - Mouser]],_xlfn.CONCAT("Link (",Table1[[#This Row],[Mouser]],")")))</f>
        <v/>
      </c>
      <c r="AF213" s="62" t="str">
        <f>_xlfn.CONCAT("https://www.mouser.ch/ProductDetail/",Table1[[#This Row],[Mouser]])</f>
        <v>https://www.mouser.ch/ProductDetail/</v>
      </c>
      <c r="AG213" s="57"/>
      <c r="AH213" s="59"/>
      <c r="AI213" s="61" t="str">
        <f>IF(Table1[[#This Row],[Bauhaus]]="","", HYPERLINK(Table1[[#This Row],[Destination - Bauhaus]],_xlfn.CONCAT("Link (",Table1[[#This Row],[Bauhaus]],")")))</f>
        <v/>
      </c>
      <c r="AJ213" s="62" t="str">
        <f>_xlfn.CONCAT("https://www.bauhaus.ch/fr/search?query=",Table1[[#This Row],[Bauhaus]])</f>
        <v>https://www.bauhaus.ch/fr/search?query=</v>
      </c>
      <c r="AK213" s="59"/>
      <c r="AL213" s="59"/>
      <c r="AM213" s="61" t="str">
        <f>IF(Table1[[#This Row],[BricoEtLoisirs]]="","", HYPERLINK(Table1[[#This Row],[Destination - BricoEtLoisirs]],_xlfn.CONCAT("Link (",Table1[[#This Row],[BricoEtLoisirs]],")")))</f>
        <v/>
      </c>
      <c r="AN213" s="62" t="str">
        <f>_xlfn.CONCAT("https://bricoetloisirs.ch/p/",Table1[[#This Row],[BricoEtLoisirs]])</f>
        <v>https://bricoetloisirs.ch/p/</v>
      </c>
      <c r="AO213" s="57"/>
      <c r="AP213" s="59"/>
      <c r="AQ213" s="61" t="str">
        <f>IF(Table1[[#This Row],[Aliexpress]]="","", HYPERLINK(Table1[[#This Row],[Destination - Aliexpress]],_xlfn.CONCAT("Link (",Table1[[#This Row],[Aliexpress]],")")))</f>
        <v/>
      </c>
      <c r="AR213" s="62" t="str">
        <f>_xlfn.CONCAT("https://www.aliexpress.com/item/",Table1[[#This Row],[Aliexpress]],".html")</f>
        <v>https://www.aliexpress.com/item/.html</v>
      </c>
      <c r="AS213" s="57"/>
      <c r="AT213" s="59"/>
      <c r="AU213" s="61" t="str">
        <f>IF(Table1[[#This Row],[Banggood]]="","", HYPERLINK(Table1[[#This Row],[Destination - Banggood]],_xlfn.CONCAT("Link (",Table1[[#This Row],[Banggood]],")")))</f>
        <v/>
      </c>
      <c r="AV213" s="62" t="str">
        <f>_xlfn.CONCAT("https://www.banggood.com/search/",Table1[[#This Row],[Banggood]],".html")</f>
        <v>https://www.banggood.com/search/.html</v>
      </c>
      <c r="AW213" s="59" t="str">
        <f>IF(Table1[[#This Row],[Other]]&lt;&gt;"","Other","")</f>
        <v/>
      </c>
      <c r="AX213" s="57"/>
      <c r="AY213" s="59"/>
      <c r="AZ213" s="61" t="str">
        <f>IF(Table1[[#This Row],[Other]]="","",IF(Table1[[#This Row],[Destination - Other]]="","",HYPERLINK(Table1[[#This Row],[Destination - Other]],_xlfn.CONCAT("Link ("&amp;Table1[[#This Row],[Other]]&amp;")"))))</f>
        <v/>
      </c>
      <c r="BA213" s="59"/>
      <c r="BB213" s="58" t="str">
        <f>IF(AND( Table1[[#This Row],[Auto Order]]=1,Table1[[#This Row],[Obsolete]]=""),IF(Table1[[#This Row],[In stock]]&lt;Table1[[#This Row],[Min in stock]],1,""),"")</f>
        <v/>
      </c>
      <c r="BC213" s="64"/>
      <c r="BD213" s="66" t="str">
        <f>IF(Table1[[#This Row],[Obsolete]],Table1[[#This Row],[Art. Number]],"")</f>
        <v/>
      </c>
    </row>
    <row r="214" spans="1:56" x14ac:dyDescent="0.25">
      <c r="A214" s="65" t="s">
        <v>1256</v>
      </c>
      <c r="B214" s="57" t="s">
        <v>168</v>
      </c>
      <c r="C214" s="57" t="s">
        <v>97</v>
      </c>
      <c r="D214" s="57" t="s">
        <v>1257</v>
      </c>
      <c r="E214" s="57" t="s">
        <v>151</v>
      </c>
      <c r="F214" s="58">
        <v>0</v>
      </c>
      <c r="G214" s="58"/>
      <c r="H214" s="58"/>
      <c r="I21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RHM130KDCT-ND</v>
      </c>
      <c r="J21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(RHM130KDCT-ND)</v>
      </c>
      <c r="M214" s="57" t="s">
        <v>1258</v>
      </c>
      <c r="N214" s="59">
        <v>0.1</v>
      </c>
      <c r="O214" s="61" t="str">
        <f>IF(Table1[[#This Row],[Digikey]]="","", HYPERLINK(Table1[[#This Row],[Destination - Digikey]],_xlfn.CONCAT("Link (",Table1[[#This Row],[Digikey]],")")))</f>
        <v>Link (RHM130KDCT-ND)</v>
      </c>
      <c r="P214" s="62" t="str">
        <f>_xlfn.CONCAT("https://www.digikey.ch/products/en?keywords=",Table1[[#This Row],[Digikey]])</f>
        <v>https://www.digikey.ch/products/en?keywords=RHM130KDCT-ND</v>
      </c>
      <c r="Q214" s="57"/>
      <c r="R214" s="59"/>
      <c r="S214" s="61" t="str">
        <f>IF(Table1[[#This Row],[Farnell]]="","", HYPERLINK(Table1[[#This Row],[Destination - Farnell]],_xlfn.CONCAT("Link (",Table1[[#This Row],[Farnell]],")")))</f>
        <v/>
      </c>
      <c r="T214" s="62" t="str">
        <f>_xlfn.CONCAT("https://ch.farnell.com/fr-CH/",Table1[[#This Row],[Farnell]])</f>
        <v>https://ch.farnell.com/fr-CH/</v>
      </c>
      <c r="U214" s="57"/>
      <c r="V214" s="59"/>
      <c r="W214" s="61" t="str">
        <f>IF(Table1[[#This Row],[Distrelec]]="","", HYPERLINK(Table1[[#This Row],[Destination - Distrelec]],_xlfn.CONCAT("Link (",Table1[[#This Row],[Distrelec]],")")))</f>
        <v/>
      </c>
      <c r="X214" s="62" t="str">
        <f>_xlfn.CONCAT("https://www.distrelec.ch/search?q=",Table1[[#This Row],[Distrelec]])</f>
        <v>https://www.distrelec.ch/search?q=</v>
      </c>
      <c r="Y214" s="57"/>
      <c r="Z214" s="59"/>
      <c r="AA214" s="61" t="str">
        <f>IF(Table1[[#This Row],[Conrad]]="","", HYPERLINK(Table1[[#This Row],[Destination - Conrad]],_xlfn.CONCAT("Link (",Table1[[#This Row],[Conrad]],")")))</f>
        <v/>
      </c>
      <c r="AB214" s="62"/>
      <c r="AC214" s="57"/>
      <c r="AD214" s="59"/>
      <c r="AE214" s="61" t="str">
        <f>IF(Table1[[#This Row],[Mouser]]="","", HYPERLINK(Table1[[#This Row],[Destination - Mouser]],_xlfn.CONCAT("Link (",Table1[[#This Row],[Mouser]],")")))</f>
        <v/>
      </c>
      <c r="AF214" s="62" t="str">
        <f>_xlfn.CONCAT("https://www.mouser.ch/ProductDetail/",Table1[[#This Row],[Mouser]])</f>
        <v>https://www.mouser.ch/ProductDetail/</v>
      </c>
      <c r="AG214" s="57"/>
      <c r="AH214" s="59"/>
      <c r="AI214" s="61" t="str">
        <f>IF(Table1[[#This Row],[Bauhaus]]="","", HYPERLINK(Table1[[#This Row],[Destination - Bauhaus]],_xlfn.CONCAT("Link (",Table1[[#This Row],[Bauhaus]],")")))</f>
        <v/>
      </c>
      <c r="AJ214" s="62" t="str">
        <f>_xlfn.CONCAT("https://www.bauhaus.ch/fr/search?query=",Table1[[#This Row],[Bauhaus]])</f>
        <v>https://www.bauhaus.ch/fr/search?query=</v>
      </c>
      <c r="AK214" s="59"/>
      <c r="AL214" s="59"/>
      <c r="AM214" s="61" t="str">
        <f>IF(Table1[[#This Row],[BricoEtLoisirs]]="","", HYPERLINK(Table1[[#This Row],[Destination - BricoEtLoisirs]],_xlfn.CONCAT("Link (",Table1[[#This Row],[BricoEtLoisirs]],")")))</f>
        <v/>
      </c>
      <c r="AN214" s="62" t="str">
        <f>_xlfn.CONCAT("https://bricoetloisirs.ch/p/",Table1[[#This Row],[BricoEtLoisirs]])</f>
        <v>https://bricoetloisirs.ch/p/</v>
      </c>
      <c r="AO214" s="57"/>
      <c r="AP214" s="59"/>
      <c r="AQ214" s="61" t="str">
        <f>IF(Table1[[#This Row],[Aliexpress]]="","", HYPERLINK(Table1[[#This Row],[Destination - Aliexpress]],_xlfn.CONCAT("Link (",Table1[[#This Row],[Aliexpress]],")")))</f>
        <v/>
      </c>
      <c r="AR214" s="62" t="str">
        <f>_xlfn.CONCAT("https://www.aliexpress.com/item/",Table1[[#This Row],[Aliexpress]],".html")</f>
        <v>https://www.aliexpress.com/item/.html</v>
      </c>
      <c r="AS214" s="57"/>
      <c r="AT214" s="59"/>
      <c r="AU214" s="61" t="str">
        <f>IF(Table1[[#This Row],[Banggood]]="","", HYPERLINK(Table1[[#This Row],[Destination - Banggood]],_xlfn.CONCAT("Link (",Table1[[#This Row],[Banggood]],")")))</f>
        <v/>
      </c>
      <c r="AV214" s="62" t="str">
        <f>_xlfn.CONCAT("https://www.banggood.com/search/",Table1[[#This Row],[Banggood]],".html")</f>
        <v>https://www.banggood.com/search/.html</v>
      </c>
      <c r="AW214" s="59" t="str">
        <f>IF(Table1[[#This Row],[Other]]&lt;&gt;"","Other","")</f>
        <v/>
      </c>
      <c r="AX214" s="57"/>
      <c r="AY214" s="59"/>
      <c r="AZ214" s="61" t="str">
        <f>IF(Table1[[#This Row],[Other]]="","",IF(Table1[[#This Row],[Destination - Other]]="","",HYPERLINK(Table1[[#This Row],[Destination - Other]],_xlfn.CONCAT("Link ("&amp;Table1[[#This Row],[Other]]&amp;")"))))</f>
        <v/>
      </c>
      <c r="BA214" s="59"/>
      <c r="BB214" s="58" t="str">
        <f>IF(AND( Table1[[#This Row],[Auto Order]]=1,Table1[[#This Row],[Obsolete]]=""),IF(Table1[[#This Row],[In stock]]&lt;Table1[[#This Row],[Min in stock]],1,""),"")</f>
        <v/>
      </c>
      <c r="BC214" s="64"/>
      <c r="BD214" s="66" t="str">
        <f>IF(Table1[[#This Row],[Obsolete]],Table1[[#This Row],[Art. Number]],"")</f>
        <v/>
      </c>
    </row>
    <row r="215" spans="1:56" x14ac:dyDescent="0.25">
      <c r="A215" s="65" t="s">
        <v>1262</v>
      </c>
      <c r="B215" s="57" t="s">
        <v>168</v>
      </c>
      <c r="C215" s="57" t="s">
        <v>97</v>
      </c>
      <c r="D215" s="57" t="s">
        <v>1263</v>
      </c>
      <c r="E215" s="57" t="s">
        <v>151</v>
      </c>
      <c r="F215" s="58">
        <v>0</v>
      </c>
      <c r="G215" s="58"/>
      <c r="H215" s="58"/>
      <c r="I21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RHM1.3MDCT-ND</v>
      </c>
      <c r="J21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(RHM1.3MDCT-ND)</v>
      </c>
      <c r="M215" s="57" t="s">
        <v>1264</v>
      </c>
      <c r="N215" s="59">
        <v>0.1</v>
      </c>
      <c r="O215" s="61" t="str">
        <f>IF(Table1[[#This Row],[Digikey]]="","", HYPERLINK(Table1[[#This Row],[Destination - Digikey]],_xlfn.CONCAT("Link (",Table1[[#This Row],[Digikey]],")")))</f>
        <v>Link (RHM1.3MDCT-ND)</v>
      </c>
      <c r="P215" s="62" t="str">
        <f>_xlfn.CONCAT("https://www.digikey.ch/products/en?keywords=",Table1[[#This Row],[Digikey]])</f>
        <v>https://www.digikey.ch/products/en?keywords=RHM1.3MDCT-ND</v>
      </c>
      <c r="Q215" s="57"/>
      <c r="R215" s="59"/>
      <c r="S215" s="61" t="str">
        <f>IF(Table1[[#This Row],[Farnell]]="","", HYPERLINK(Table1[[#This Row],[Destination - Farnell]],_xlfn.CONCAT("Link (",Table1[[#This Row],[Farnell]],")")))</f>
        <v/>
      </c>
      <c r="T215" s="62" t="str">
        <f>_xlfn.CONCAT("https://ch.farnell.com/fr-CH/",Table1[[#This Row],[Farnell]])</f>
        <v>https://ch.farnell.com/fr-CH/</v>
      </c>
      <c r="U215" s="57"/>
      <c r="V215" s="59"/>
      <c r="W215" s="61" t="str">
        <f>IF(Table1[[#This Row],[Distrelec]]="","", HYPERLINK(Table1[[#This Row],[Destination - Distrelec]],_xlfn.CONCAT("Link (",Table1[[#This Row],[Distrelec]],")")))</f>
        <v/>
      </c>
      <c r="X215" s="62" t="str">
        <f>_xlfn.CONCAT("https://www.distrelec.ch/search?q=",Table1[[#This Row],[Distrelec]])</f>
        <v>https://www.distrelec.ch/search?q=</v>
      </c>
      <c r="Y215" s="57"/>
      <c r="Z215" s="59"/>
      <c r="AA215" s="61" t="str">
        <f>IF(Table1[[#This Row],[Conrad]]="","", HYPERLINK(Table1[[#This Row],[Destination - Conrad]],_xlfn.CONCAT("Link (",Table1[[#This Row],[Conrad]],")")))</f>
        <v/>
      </c>
      <c r="AB215" s="62"/>
      <c r="AC215" s="57"/>
      <c r="AD215" s="59"/>
      <c r="AE215" s="61" t="str">
        <f>IF(Table1[[#This Row],[Mouser]]="","", HYPERLINK(Table1[[#This Row],[Destination - Mouser]],_xlfn.CONCAT("Link (",Table1[[#This Row],[Mouser]],")")))</f>
        <v/>
      </c>
      <c r="AF215" s="62" t="str">
        <f>_xlfn.CONCAT("https://www.mouser.ch/ProductDetail/",Table1[[#This Row],[Mouser]])</f>
        <v>https://www.mouser.ch/ProductDetail/</v>
      </c>
      <c r="AG215" s="57"/>
      <c r="AH215" s="59"/>
      <c r="AI215" s="61" t="str">
        <f>IF(Table1[[#This Row],[Bauhaus]]="","", HYPERLINK(Table1[[#This Row],[Destination - Bauhaus]],_xlfn.CONCAT("Link (",Table1[[#This Row],[Bauhaus]],")")))</f>
        <v/>
      </c>
      <c r="AJ215" s="62" t="str">
        <f>_xlfn.CONCAT("https://www.bauhaus.ch/fr/search?query=",Table1[[#This Row],[Bauhaus]])</f>
        <v>https://www.bauhaus.ch/fr/search?query=</v>
      </c>
      <c r="AK215" s="59"/>
      <c r="AL215" s="59"/>
      <c r="AM215" s="61" t="str">
        <f>IF(Table1[[#This Row],[BricoEtLoisirs]]="","", HYPERLINK(Table1[[#This Row],[Destination - BricoEtLoisirs]],_xlfn.CONCAT("Link (",Table1[[#This Row],[BricoEtLoisirs]],")")))</f>
        <v/>
      </c>
      <c r="AN215" s="62" t="str">
        <f>_xlfn.CONCAT("https://bricoetloisirs.ch/p/",Table1[[#This Row],[BricoEtLoisirs]])</f>
        <v>https://bricoetloisirs.ch/p/</v>
      </c>
      <c r="AO215" s="57"/>
      <c r="AP215" s="59"/>
      <c r="AQ215" s="61" t="str">
        <f>IF(Table1[[#This Row],[Aliexpress]]="","", HYPERLINK(Table1[[#This Row],[Destination - Aliexpress]],_xlfn.CONCAT("Link (",Table1[[#This Row],[Aliexpress]],")")))</f>
        <v/>
      </c>
      <c r="AR215" s="62" t="str">
        <f>_xlfn.CONCAT("https://www.aliexpress.com/item/",Table1[[#This Row],[Aliexpress]],".html")</f>
        <v>https://www.aliexpress.com/item/.html</v>
      </c>
      <c r="AS215" s="57"/>
      <c r="AT215" s="59"/>
      <c r="AU215" s="61" t="str">
        <f>IF(Table1[[#This Row],[Banggood]]="","", HYPERLINK(Table1[[#This Row],[Destination - Banggood]],_xlfn.CONCAT("Link (",Table1[[#This Row],[Banggood]],")")))</f>
        <v/>
      </c>
      <c r="AV215" s="62" t="str">
        <f>_xlfn.CONCAT("https://www.banggood.com/search/",Table1[[#This Row],[Banggood]],".html")</f>
        <v>https://www.banggood.com/search/.html</v>
      </c>
      <c r="AW215" s="59" t="str">
        <f>IF(Table1[[#This Row],[Other]]&lt;&gt;"","Other","")</f>
        <v/>
      </c>
      <c r="AX215" s="57"/>
      <c r="AY215" s="59"/>
      <c r="AZ215" s="61" t="str">
        <f>IF(Table1[[#This Row],[Other]]="","",IF(Table1[[#This Row],[Destination - Other]]="","",HYPERLINK(Table1[[#This Row],[Destination - Other]],_xlfn.CONCAT("Link ("&amp;Table1[[#This Row],[Other]]&amp;")"))))</f>
        <v/>
      </c>
      <c r="BA215" s="59"/>
      <c r="BB215" s="58" t="str">
        <f>IF(AND( Table1[[#This Row],[Auto Order]]=1,Table1[[#This Row],[Obsolete]]=""),IF(Table1[[#This Row],[In stock]]&lt;Table1[[#This Row],[Min in stock]],1,""),"")</f>
        <v/>
      </c>
      <c r="BC215" s="64"/>
      <c r="BD215" s="66" t="str">
        <f>IF(Table1[[#This Row],[Obsolete]],Table1[[#This Row],[Art. Number]],"")</f>
        <v/>
      </c>
    </row>
    <row r="216" spans="1:56" x14ac:dyDescent="0.25">
      <c r="A216" s="65" t="s">
        <v>1268</v>
      </c>
      <c r="B216" s="57" t="s">
        <v>168</v>
      </c>
      <c r="C216" s="57" t="s">
        <v>97</v>
      </c>
      <c r="D216" s="57" t="s">
        <v>1269</v>
      </c>
      <c r="E216" s="57" t="s">
        <v>151</v>
      </c>
      <c r="F216" s="58">
        <v>0</v>
      </c>
      <c r="G216" s="58"/>
      <c r="H216" s="58"/>
      <c r="I21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RHM15DCT-ND</v>
      </c>
      <c r="J21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(RHM15DCT-ND)</v>
      </c>
      <c r="M216" s="57" t="s">
        <v>1270</v>
      </c>
      <c r="N216" s="59">
        <v>0.1</v>
      </c>
      <c r="O216" s="61" t="str">
        <f>IF(Table1[[#This Row],[Digikey]]="","", HYPERLINK(Table1[[#This Row],[Destination - Digikey]],_xlfn.CONCAT("Link (",Table1[[#This Row],[Digikey]],")")))</f>
        <v>Link (RHM15DCT-ND)</v>
      </c>
      <c r="P216" s="62" t="str">
        <f>_xlfn.CONCAT("https://www.digikey.ch/products/en?keywords=",Table1[[#This Row],[Digikey]])</f>
        <v>https://www.digikey.ch/products/en?keywords=RHM15DCT-ND</v>
      </c>
      <c r="Q216" s="57"/>
      <c r="R216" s="59"/>
      <c r="S216" s="61" t="str">
        <f>IF(Table1[[#This Row],[Farnell]]="","", HYPERLINK(Table1[[#This Row],[Destination - Farnell]],_xlfn.CONCAT("Link (",Table1[[#This Row],[Farnell]],")")))</f>
        <v/>
      </c>
      <c r="T216" s="62" t="str">
        <f>_xlfn.CONCAT("https://ch.farnell.com/fr-CH/",Table1[[#This Row],[Farnell]])</f>
        <v>https://ch.farnell.com/fr-CH/</v>
      </c>
      <c r="U216" s="57"/>
      <c r="V216" s="59"/>
      <c r="W216" s="61" t="str">
        <f>IF(Table1[[#This Row],[Distrelec]]="","", HYPERLINK(Table1[[#This Row],[Destination - Distrelec]],_xlfn.CONCAT("Link (",Table1[[#This Row],[Distrelec]],")")))</f>
        <v/>
      </c>
      <c r="X216" s="62" t="str">
        <f>_xlfn.CONCAT("https://www.distrelec.ch/search?q=",Table1[[#This Row],[Distrelec]])</f>
        <v>https://www.distrelec.ch/search?q=</v>
      </c>
      <c r="Y216" s="57"/>
      <c r="Z216" s="59"/>
      <c r="AA216" s="61" t="str">
        <f>IF(Table1[[#This Row],[Conrad]]="","", HYPERLINK(Table1[[#This Row],[Destination - Conrad]],_xlfn.CONCAT("Link (",Table1[[#This Row],[Conrad]],")")))</f>
        <v/>
      </c>
      <c r="AB216" s="62"/>
      <c r="AC216" s="57"/>
      <c r="AD216" s="59"/>
      <c r="AE216" s="61" t="str">
        <f>IF(Table1[[#This Row],[Mouser]]="","", HYPERLINK(Table1[[#This Row],[Destination - Mouser]],_xlfn.CONCAT("Link (",Table1[[#This Row],[Mouser]],")")))</f>
        <v/>
      </c>
      <c r="AF216" s="62" t="str">
        <f>_xlfn.CONCAT("https://www.mouser.ch/ProductDetail/",Table1[[#This Row],[Mouser]])</f>
        <v>https://www.mouser.ch/ProductDetail/</v>
      </c>
      <c r="AG216" s="57"/>
      <c r="AH216" s="59"/>
      <c r="AI216" s="61" t="str">
        <f>IF(Table1[[#This Row],[Bauhaus]]="","", HYPERLINK(Table1[[#This Row],[Destination - Bauhaus]],_xlfn.CONCAT("Link (",Table1[[#This Row],[Bauhaus]],")")))</f>
        <v/>
      </c>
      <c r="AJ216" s="62" t="str">
        <f>_xlfn.CONCAT("https://www.bauhaus.ch/fr/search?query=",Table1[[#This Row],[Bauhaus]])</f>
        <v>https://www.bauhaus.ch/fr/search?query=</v>
      </c>
      <c r="AK216" s="59"/>
      <c r="AL216" s="59"/>
      <c r="AM216" s="61" t="str">
        <f>IF(Table1[[#This Row],[BricoEtLoisirs]]="","", HYPERLINK(Table1[[#This Row],[Destination - BricoEtLoisirs]],_xlfn.CONCAT("Link (",Table1[[#This Row],[BricoEtLoisirs]],")")))</f>
        <v/>
      </c>
      <c r="AN216" s="62" t="str">
        <f>_xlfn.CONCAT("https://bricoetloisirs.ch/p/",Table1[[#This Row],[BricoEtLoisirs]])</f>
        <v>https://bricoetloisirs.ch/p/</v>
      </c>
      <c r="AO216" s="57"/>
      <c r="AP216" s="59"/>
      <c r="AQ216" s="61" t="str">
        <f>IF(Table1[[#This Row],[Aliexpress]]="","", HYPERLINK(Table1[[#This Row],[Destination - Aliexpress]],_xlfn.CONCAT("Link (",Table1[[#This Row],[Aliexpress]],")")))</f>
        <v/>
      </c>
      <c r="AR216" s="62" t="str">
        <f>_xlfn.CONCAT("https://www.aliexpress.com/item/",Table1[[#This Row],[Aliexpress]],".html")</f>
        <v>https://www.aliexpress.com/item/.html</v>
      </c>
      <c r="AS216" s="57"/>
      <c r="AT216" s="59"/>
      <c r="AU216" s="61" t="str">
        <f>IF(Table1[[#This Row],[Banggood]]="","", HYPERLINK(Table1[[#This Row],[Destination - Banggood]],_xlfn.CONCAT("Link (",Table1[[#This Row],[Banggood]],")")))</f>
        <v/>
      </c>
      <c r="AV216" s="62" t="str">
        <f>_xlfn.CONCAT("https://www.banggood.com/search/",Table1[[#This Row],[Banggood]],".html")</f>
        <v>https://www.banggood.com/search/.html</v>
      </c>
      <c r="AW216" s="59" t="str">
        <f>IF(Table1[[#This Row],[Other]]&lt;&gt;"","Other","")</f>
        <v/>
      </c>
      <c r="AX216" s="57"/>
      <c r="AY216" s="59"/>
      <c r="AZ216" s="61" t="str">
        <f>IF(Table1[[#This Row],[Other]]="","",IF(Table1[[#This Row],[Destination - Other]]="","",HYPERLINK(Table1[[#This Row],[Destination - Other]],_xlfn.CONCAT("Link ("&amp;Table1[[#This Row],[Other]]&amp;")"))))</f>
        <v/>
      </c>
      <c r="BA216" s="59"/>
      <c r="BB216" s="58" t="str">
        <f>IF(AND( Table1[[#This Row],[Auto Order]]=1,Table1[[#This Row],[Obsolete]]=""),IF(Table1[[#This Row],[In stock]]&lt;Table1[[#This Row],[Min in stock]],1,""),"")</f>
        <v/>
      </c>
      <c r="BC216" s="64"/>
      <c r="BD216" s="66" t="str">
        <f>IF(Table1[[#This Row],[Obsolete]],Table1[[#This Row],[Art. Number]],"")</f>
        <v/>
      </c>
    </row>
    <row r="217" spans="1:56" x14ac:dyDescent="0.25">
      <c r="A217" s="65" t="s">
        <v>183</v>
      </c>
      <c r="B217" s="57" t="s">
        <v>168</v>
      </c>
      <c r="C217" s="57" t="s">
        <v>1274</v>
      </c>
      <c r="D217" s="57" t="s">
        <v>1275</v>
      </c>
      <c r="E217" s="57" t="s">
        <v>151</v>
      </c>
      <c r="F217" s="58">
        <v>16</v>
      </c>
      <c r="G217" s="58">
        <v>10</v>
      </c>
      <c r="H217" s="58">
        <v>1</v>
      </c>
      <c r="I21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RHM150DCT-ND</v>
      </c>
      <c r="J21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(RHM150DCT-ND)</v>
      </c>
      <c r="M217" s="57" t="s">
        <v>1276</v>
      </c>
      <c r="N217" s="59">
        <v>0.1</v>
      </c>
      <c r="O217" s="61" t="str">
        <f>IF(Table1[[#This Row],[Digikey]]="","", HYPERLINK(Table1[[#This Row],[Destination - Digikey]],_xlfn.CONCAT("Link (",Table1[[#This Row],[Digikey]],")")))</f>
        <v>Link (RHM150DCT-ND)</v>
      </c>
      <c r="P217" s="62" t="str">
        <f>_xlfn.CONCAT("https://www.digikey.ch/products/en?keywords=",Table1[[#This Row],[Digikey]])</f>
        <v>https://www.digikey.ch/products/en?keywords=RHM150DCT-ND</v>
      </c>
      <c r="Q217" s="57"/>
      <c r="R217" s="59"/>
      <c r="S217" s="61" t="str">
        <f>IF(Table1[[#This Row],[Farnell]]="","", HYPERLINK(Table1[[#This Row],[Destination - Farnell]],_xlfn.CONCAT("Link (",Table1[[#This Row],[Farnell]],")")))</f>
        <v/>
      </c>
      <c r="T217" s="62" t="str">
        <f>_xlfn.CONCAT("https://ch.farnell.com/fr-CH/",Table1[[#This Row],[Farnell]])</f>
        <v>https://ch.farnell.com/fr-CH/</v>
      </c>
      <c r="U217" s="57"/>
      <c r="V217" s="59"/>
      <c r="W217" s="61" t="str">
        <f>IF(Table1[[#This Row],[Distrelec]]="","", HYPERLINK(Table1[[#This Row],[Destination - Distrelec]],_xlfn.CONCAT("Link (",Table1[[#This Row],[Distrelec]],")")))</f>
        <v/>
      </c>
      <c r="X217" s="62" t="str">
        <f>_xlfn.CONCAT("https://www.distrelec.ch/search?q=",Table1[[#This Row],[Distrelec]])</f>
        <v>https://www.distrelec.ch/search?q=</v>
      </c>
      <c r="Y217" s="57"/>
      <c r="Z217" s="59"/>
      <c r="AA217" s="61" t="str">
        <f>IF(Table1[[#This Row],[Conrad]]="","", HYPERLINK(Table1[[#This Row],[Destination - Conrad]],_xlfn.CONCAT("Link (",Table1[[#This Row],[Conrad]],")")))</f>
        <v/>
      </c>
      <c r="AB217" s="62"/>
      <c r="AC217" s="57"/>
      <c r="AD217" s="59"/>
      <c r="AE217" s="61" t="str">
        <f>IF(Table1[[#This Row],[Mouser]]="","", HYPERLINK(Table1[[#This Row],[Destination - Mouser]],_xlfn.CONCAT("Link (",Table1[[#This Row],[Mouser]],")")))</f>
        <v/>
      </c>
      <c r="AF217" s="62" t="str">
        <f>_xlfn.CONCAT("https://www.mouser.ch/ProductDetail/",Table1[[#This Row],[Mouser]])</f>
        <v>https://www.mouser.ch/ProductDetail/</v>
      </c>
      <c r="AG217" s="57"/>
      <c r="AH217" s="59"/>
      <c r="AI217" s="61" t="str">
        <f>IF(Table1[[#This Row],[Bauhaus]]="","", HYPERLINK(Table1[[#This Row],[Destination - Bauhaus]],_xlfn.CONCAT("Link (",Table1[[#This Row],[Bauhaus]],")")))</f>
        <v/>
      </c>
      <c r="AJ217" s="62" t="str">
        <f>_xlfn.CONCAT("https://www.bauhaus.ch/fr/search?query=",Table1[[#This Row],[Bauhaus]])</f>
        <v>https://www.bauhaus.ch/fr/search?query=</v>
      </c>
      <c r="AK217" s="59"/>
      <c r="AL217" s="59"/>
      <c r="AM217" s="61" t="str">
        <f>IF(Table1[[#This Row],[BricoEtLoisirs]]="","", HYPERLINK(Table1[[#This Row],[Destination - BricoEtLoisirs]],_xlfn.CONCAT("Link (",Table1[[#This Row],[BricoEtLoisirs]],")")))</f>
        <v/>
      </c>
      <c r="AN217" s="62" t="str">
        <f>_xlfn.CONCAT("https://bricoetloisirs.ch/p/",Table1[[#This Row],[BricoEtLoisirs]])</f>
        <v>https://bricoetloisirs.ch/p/</v>
      </c>
      <c r="AO217" s="57"/>
      <c r="AP217" s="59"/>
      <c r="AQ217" s="61" t="str">
        <f>IF(Table1[[#This Row],[Aliexpress]]="","", HYPERLINK(Table1[[#This Row],[Destination - Aliexpress]],_xlfn.CONCAT("Link (",Table1[[#This Row],[Aliexpress]],")")))</f>
        <v/>
      </c>
      <c r="AR217" s="62" t="str">
        <f>_xlfn.CONCAT("https://www.aliexpress.com/item/",Table1[[#This Row],[Aliexpress]],".html")</f>
        <v>https://www.aliexpress.com/item/.html</v>
      </c>
      <c r="AS217" s="57"/>
      <c r="AT217" s="59"/>
      <c r="AU217" s="61" t="str">
        <f>IF(Table1[[#This Row],[Banggood]]="","", HYPERLINK(Table1[[#This Row],[Destination - Banggood]],_xlfn.CONCAT("Link (",Table1[[#This Row],[Banggood]],")")))</f>
        <v/>
      </c>
      <c r="AV217" s="62" t="str">
        <f>_xlfn.CONCAT("https://www.banggood.com/search/",Table1[[#This Row],[Banggood]],".html")</f>
        <v>https://www.banggood.com/search/.html</v>
      </c>
      <c r="AW217" s="59" t="str">
        <f>IF(Table1[[#This Row],[Other]]&lt;&gt;"","Other","")</f>
        <v/>
      </c>
      <c r="AX217" s="57"/>
      <c r="AY217" s="59"/>
      <c r="AZ217" s="61" t="str">
        <f>IF(Table1[[#This Row],[Other]]="","",IF(Table1[[#This Row],[Destination - Other]]="","",HYPERLINK(Table1[[#This Row],[Destination - Other]],_xlfn.CONCAT("Link ("&amp;Table1[[#This Row],[Other]]&amp;")"))))</f>
        <v/>
      </c>
      <c r="BA217" s="59"/>
      <c r="BB217" s="58" t="str">
        <f>IF(AND( Table1[[#This Row],[Auto Order]]=1,Table1[[#This Row],[Obsolete]]=""),IF(Table1[[#This Row],[In stock]]&lt;Table1[[#This Row],[Min in stock]],1,""),"")</f>
        <v/>
      </c>
      <c r="BC217" s="64"/>
      <c r="BD217" s="66" t="str">
        <f>IF(Table1[[#This Row],[Obsolete]],Table1[[#This Row],[Art. Number]],"")</f>
        <v/>
      </c>
    </row>
    <row r="218" spans="1:56" x14ac:dyDescent="0.25">
      <c r="A218" s="65" t="s">
        <v>1280</v>
      </c>
      <c r="B218" s="57" t="s">
        <v>168</v>
      </c>
      <c r="C218" s="57" t="s">
        <v>1281</v>
      </c>
      <c r="D218" s="57" t="s">
        <v>1282</v>
      </c>
      <c r="E218" s="57" t="s">
        <v>151</v>
      </c>
      <c r="F218" s="58">
        <v>10</v>
      </c>
      <c r="G218" s="58">
        <v>10</v>
      </c>
      <c r="H218" s="58">
        <v>1</v>
      </c>
      <c r="I21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RHM1.5KDCT-ND</v>
      </c>
      <c r="J21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(RHM1.5KDCT-ND)</v>
      </c>
      <c r="M218" s="57" t="s">
        <v>1283</v>
      </c>
      <c r="N218" s="59">
        <v>0.1</v>
      </c>
      <c r="O218" s="61" t="str">
        <f>IF(Table1[[#This Row],[Digikey]]="","", HYPERLINK(Table1[[#This Row],[Destination - Digikey]],_xlfn.CONCAT("Link (",Table1[[#This Row],[Digikey]],")")))</f>
        <v>Link (RHM1.5KDCT-ND)</v>
      </c>
      <c r="P218" s="62" t="str">
        <f>_xlfn.CONCAT("https://www.digikey.ch/products/en?keywords=",Table1[[#This Row],[Digikey]])</f>
        <v>https://www.digikey.ch/products/en?keywords=RHM1.5KDCT-ND</v>
      </c>
      <c r="Q218" s="57"/>
      <c r="R218" s="59"/>
      <c r="S218" s="61" t="str">
        <f>IF(Table1[[#This Row],[Farnell]]="","", HYPERLINK(Table1[[#This Row],[Destination - Farnell]],_xlfn.CONCAT("Link (",Table1[[#This Row],[Farnell]],")")))</f>
        <v/>
      </c>
      <c r="T218" s="62" t="str">
        <f>_xlfn.CONCAT("https://ch.farnell.com/fr-CH/",Table1[[#This Row],[Farnell]])</f>
        <v>https://ch.farnell.com/fr-CH/</v>
      </c>
      <c r="U218" s="57"/>
      <c r="V218" s="59"/>
      <c r="W218" s="61" t="str">
        <f>IF(Table1[[#This Row],[Distrelec]]="","", HYPERLINK(Table1[[#This Row],[Destination - Distrelec]],_xlfn.CONCAT("Link (",Table1[[#This Row],[Distrelec]],")")))</f>
        <v/>
      </c>
      <c r="X218" s="62" t="str">
        <f>_xlfn.CONCAT("https://www.distrelec.ch/search?q=",Table1[[#This Row],[Distrelec]])</f>
        <v>https://www.distrelec.ch/search?q=</v>
      </c>
      <c r="Y218" s="57"/>
      <c r="Z218" s="59"/>
      <c r="AA218" s="61" t="str">
        <f>IF(Table1[[#This Row],[Conrad]]="","", HYPERLINK(Table1[[#This Row],[Destination - Conrad]],_xlfn.CONCAT("Link (",Table1[[#This Row],[Conrad]],")")))</f>
        <v/>
      </c>
      <c r="AB218" s="62"/>
      <c r="AC218" s="57"/>
      <c r="AD218" s="59"/>
      <c r="AE218" s="61" t="str">
        <f>IF(Table1[[#This Row],[Mouser]]="","", HYPERLINK(Table1[[#This Row],[Destination - Mouser]],_xlfn.CONCAT("Link (",Table1[[#This Row],[Mouser]],")")))</f>
        <v/>
      </c>
      <c r="AF218" s="62" t="str">
        <f>_xlfn.CONCAT("https://www.mouser.ch/ProductDetail/",Table1[[#This Row],[Mouser]])</f>
        <v>https://www.mouser.ch/ProductDetail/</v>
      </c>
      <c r="AG218" s="57"/>
      <c r="AH218" s="59"/>
      <c r="AI218" s="61" t="str">
        <f>IF(Table1[[#This Row],[Bauhaus]]="","", HYPERLINK(Table1[[#This Row],[Destination - Bauhaus]],_xlfn.CONCAT("Link (",Table1[[#This Row],[Bauhaus]],")")))</f>
        <v/>
      </c>
      <c r="AJ218" s="62" t="str">
        <f>_xlfn.CONCAT("https://www.bauhaus.ch/fr/search?query=",Table1[[#This Row],[Bauhaus]])</f>
        <v>https://www.bauhaus.ch/fr/search?query=</v>
      </c>
      <c r="AK218" s="59"/>
      <c r="AL218" s="59"/>
      <c r="AM218" s="61" t="str">
        <f>IF(Table1[[#This Row],[BricoEtLoisirs]]="","", HYPERLINK(Table1[[#This Row],[Destination - BricoEtLoisirs]],_xlfn.CONCAT("Link (",Table1[[#This Row],[BricoEtLoisirs]],")")))</f>
        <v/>
      </c>
      <c r="AN218" s="62" t="str">
        <f>_xlfn.CONCAT("https://bricoetloisirs.ch/p/",Table1[[#This Row],[BricoEtLoisirs]])</f>
        <v>https://bricoetloisirs.ch/p/</v>
      </c>
      <c r="AO218" s="57"/>
      <c r="AP218" s="59"/>
      <c r="AQ218" s="61" t="str">
        <f>IF(Table1[[#This Row],[Aliexpress]]="","", HYPERLINK(Table1[[#This Row],[Destination - Aliexpress]],_xlfn.CONCAT("Link (",Table1[[#This Row],[Aliexpress]],")")))</f>
        <v/>
      </c>
      <c r="AR218" s="62" t="str">
        <f>_xlfn.CONCAT("https://www.aliexpress.com/item/",Table1[[#This Row],[Aliexpress]],".html")</f>
        <v>https://www.aliexpress.com/item/.html</v>
      </c>
      <c r="AS218" s="57"/>
      <c r="AT218" s="59"/>
      <c r="AU218" s="61" t="str">
        <f>IF(Table1[[#This Row],[Banggood]]="","", HYPERLINK(Table1[[#This Row],[Destination - Banggood]],_xlfn.CONCAT("Link (",Table1[[#This Row],[Banggood]],")")))</f>
        <v/>
      </c>
      <c r="AV218" s="62" t="str">
        <f>_xlfn.CONCAT("https://www.banggood.com/search/",Table1[[#This Row],[Banggood]],".html")</f>
        <v>https://www.banggood.com/search/.html</v>
      </c>
      <c r="AW218" s="59" t="str">
        <f>IF(Table1[[#This Row],[Other]]&lt;&gt;"","Other","")</f>
        <v/>
      </c>
      <c r="AX218" s="57"/>
      <c r="AY218" s="59"/>
      <c r="AZ218" s="61" t="str">
        <f>IF(Table1[[#This Row],[Other]]="","",IF(Table1[[#This Row],[Destination - Other]]="","",HYPERLINK(Table1[[#This Row],[Destination - Other]],_xlfn.CONCAT("Link ("&amp;Table1[[#This Row],[Other]]&amp;")"))))</f>
        <v/>
      </c>
      <c r="BA218" s="59"/>
      <c r="BB218" s="58" t="str">
        <f>IF(AND( Table1[[#This Row],[Auto Order]]=1,Table1[[#This Row],[Obsolete]]=""),IF(Table1[[#This Row],[In stock]]&lt;Table1[[#This Row],[Min in stock]],1,""),"")</f>
        <v/>
      </c>
      <c r="BC218" s="64"/>
      <c r="BD218" s="66" t="str">
        <f>IF(Table1[[#This Row],[Obsolete]],Table1[[#This Row],[Art. Number]],"")</f>
        <v/>
      </c>
    </row>
    <row r="219" spans="1:56" x14ac:dyDescent="0.25">
      <c r="A219" s="65" t="s">
        <v>1287</v>
      </c>
      <c r="B219" s="57" t="s">
        <v>168</v>
      </c>
      <c r="C219" s="57" t="s">
        <v>97</v>
      </c>
      <c r="D219" s="57" t="s">
        <v>1288</v>
      </c>
      <c r="E219" s="57" t="s">
        <v>151</v>
      </c>
      <c r="F219" s="58">
        <v>0</v>
      </c>
      <c r="G219" s="58"/>
      <c r="H219" s="58"/>
      <c r="I21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RHM15KDCT-ND</v>
      </c>
      <c r="J21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1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1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(RHM15KDCT-ND)</v>
      </c>
      <c r="M219" s="57" t="s">
        <v>1289</v>
      </c>
      <c r="N219" s="59">
        <v>0.1</v>
      </c>
      <c r="O219" s="61" t="str">
        <f>IF(Table1[[#This Row],[Digikey]]="","", HYPERLINK(Table1[[#This Row],[Destination - Digikey]],_xlfn.CONCAT("Link (",Table1[[#This Row],[Digikey]],")")))</f>
        <v>Link (RHM15KDCT-ND)</v>
      </c>
      <c r="P219" s="62" t="str">
        <f>_xlfn.CONCAT("https://www.digikey.ch/products/en?keywords=",Table1[[#This Row],[Digikey]])</f>
        <v>https://www.digikey.ch/products/en?keywords=RHM15KDCT-ND</v>
      </c>
      <c r="Q219" s="57"/>
      <c r="R219" s="59"/>
      <c r="S219" s="61" t="str">
        <f>IF(Table1[[#This Row],[Farnell]]="","", HYPERLINK(Table1[[#This Row],[Destination - Farnell]],_xlfn.CONCAT("Link (",Table1[[#This Row],[Farnell]],")")))</f>
        <v/>
      </c>
      <c r="T219" s="62" t="str">
        <f>_xlfn.CONCAT("https://ch.farnell.com/fr-CH/",Table1[[#This Row],[Farnell]])</f>
        <v>https://ch.farnell.com/fr-CH/</v>
      </c>
      <c r="U219" s="57"/>
      <c r="V219" s="59"/>
      <c r="W219" s="61" t="str">
        <f>IF(Table1[[#This Row],[Distrelec]]="","", HYPERLINK(Table1[[#This Row],[Destination - Distrelec]],_xlfn.CONCAT("Link (",Table1[[#This Row],[Distrelec]],")")))</f>
        <v/>
      </c>
      <c r="X219" s="62" t="str">
        <f>_xlfn.CONCAT("https://www.distrelec.ch/search?q=",Table1[[#This Row],[Distrelec]])</f>
        <v>https://www.distrelec.ch/search?q=</v>
      </c>
      <c r="Y219" s="57"/>
      <c r="Z219" s="59"/>
      <c r="AA219" s="61" t="str">
        <f>IF(Table1[[#This Row],[Conrad]]="","", HYPERLINK(Table1[[#This Row],[Destination - Conrad]],_xlfn.CONCAT("Link (",Table1[[#This Row],[Conrad]],")")))</f>
        <v/>
      </c>
      <c r="AB219" s="62"/>
      <c r="AC219" s="57"/>
      <c r="AD219" s="59"/>
      <c r="AE219" s="61" t="str">
        <f>IF(Table1[[#This Row],[Mouser]]="","", HYPERLINK(Table1[[#This Row],[Destination - Mouser]],_xlfn.CONCAT("Link (",Table1[[#This Row],[Mouser]],")")))</f>
        <v/>
      </c>
      <c r="AF219" s="62" t="str">
        <f>_xlfn.CONCAT("https://www.mouser.ch/ProductDetail/",Table1[[#This Row],[Mouser]])</f>
        <v>https://www.mouser.ch/ProductDetail/</v>
      </c>
      <c r="AG219" s="57"/>
      <c r="AH219" s="59"/>
      <c r="AI219" s="61" t="str">
        <f>IF(Table1[[#This Row],[Bauhaus]]="","", HYPERLINK(Table1[[#This Row],[Destination - Bauhaus]],_xlfn.CONCAT("Link (",Table1[[#This Row],[Bauhaus]],")")))</f>
        <v/>
      </c>
      <c r="AJ219" s="62" t="str">
        <f>_xlfn.CONCAT("https://www.bauhaus.ch/fr/search?query=",Table1[[#This Row],[Bauhaus]])</f>
        <v>https://www.bauhaus.ch/fr/search?query=</v>
      </c>
      <c r="AK219" s="59"/>
      <c r="AL219" s="59"/>
      <c r="AM219" s="61" t="str">
        <f>IF(Table1[[#This Row],[BricoEtLoisirs]]="","", HYPERLINK(Table1[[#This Row],[Destination - BricoEtLoisirs]],_xlfn.CONCAT("Link (",Table1[[#This Row],[BricoEtLoisirs]],")")))</f>
        <v/>
      </c>
      <c r="AN219" s="62" t="str">
        <f>_xlfn.CONCAT("https://bricoetloisirs.ch/p/",Table1[[#This Row],[BricoEtLoisirs]])</f>
        <v>https://bricoetloisirs.ch/p/</v>
      </c>
      <c r="AO219" s="57"/>
      <c r="AP219" s="59"/>
      <c r="AQ219" s="61" t="str">
        <f>IF(Table1[[#This Row],[Aliexpress]]="","", HYPERLINK(Table1[[#This Row],[Destination - Aliexpress]],_xlfn.CONCAT("Link (",Table1[[#This Row],[Aliexpress]],")")))</f>
        <v/>
      </c>
      <c r="AR219" s="62" t="str">
        <f>_xlfn.CONCAT("https://www.aliexpress.com/item/",Table1[[#This Row],[Aliexpress]],".html")</f>
        <v>https://www.aliexpress.com/item/.html</v>
      </c>
      <c r="AS219" s="57"/>
      <c r="AT219" s="59"/>
      <c r="AU219" s="61" t="str">
        <f>IF(Table1[[#This Row],[Banggood]]="","", HYPERLINK(Table1[[#This Row],[Destination - Banggood]],_xlfn.CONCAT("Link (",Table1[[#This Row],[Banggood]],")")))</f>
        <v/>
      </c>
      <c r="AV219" s="62" t="str">
        <f>_xlfn.CONCAT("https://www.banggood.com/search/",Table1[[#This Row],[Banggood]],".html")</f>
        <v>https://www.banggood.com/search/.html</v>
      </c>
      <c r="AW219" s="59" t="str">
        <f>IF(Table1[[#This Row],[Other]]&lt;&gt;"","Other","")</f>
        <v/>
      </c>
      <c r="AX219" s="57"/>
      <c r="AY219" s="59"/>
      <c r="AZ219" s="61" t="str">
        <f>IF(Table1[[#This Row],[Other]]="","",IF(Table1[[#This Row],[Destination - Other]]="","",HYPERLINK(Table1[[#This Row],[Destination - Other]],_xlfn.CONCAT("Link ("&amp;Table1[[#This Row],[Other]]&amp;")"))))</f>
        <v/>
      </c>
      <c r="BA219" s="59"/>
      <c r="BB219" s="58" t="str">
        <f>IF(AND( Table1[[#This Row],[Auto Order]]=1,Table1[[#This Row],[Obsolete]]=""),IF(Table1[[#This Row],[In stock]]&lt;Table1[[#This Row],[Min in stock]],1,""),"")</f>
        <v/>
      </c>
      <c r="BC219" s="64"/>
      <c r="BD219" s="66" t="str">
        <f>IF(Table1[[#This Row],[Obsolete]],Table1[[#This Row],[Art. Number]],"")</f>
        <v/>
      </c>
    </row>
    <row r="220" spans="1:56" x14ac:dyDescent="0.25">
      <c r="A220" s="65" t="s">
        <v>1293</v>
      </c>
      <c r="B220" s="57" t="s">
        <v>168</v>
      </c>
      <c r="C220" s="57" t="s">
        <v>97</v>
      </c>
      <c r="D220" s="57" t="s">
        <v>1294</v>
      </c>
      <c r="E220" s="57" t="s">
        <v>151</v>
      </c>
      <c r="F220" s="58">
        <v>0</v>
      </c>
      <c r="G220" s="58"/>
      <c r="H220" s="58"/>
      <c r="I22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RHM150KDCT-ND</v>
      </c>
      <c r="J22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(RHM150KDCT-ND)</v>
      </c>
      <c r="M220" s="57" t="s">
        <v>1295</v>
      </c>
      <c r="N220" s="59">
        <v>0.1</v>
      </c>
      <c r="O220" s="61" t="str">
        <f>IF(Table1[[#This Row],[Digikey]]="","", HYPERLINK(Table1[[#This Row],[Destination - Digikey]],_xlfn.CONCAT("Link (",Table1[[#This Row],[Digikey]],")")))</f>
        <v>Link (RHM150KDCT-ND)</v>
      </c>
      <c r="P220" s="62" t="str">
        <f>_xlfn.CONCAT("https://www.digikey.ch/products/en?keywords=",Table1[[#This Row],[Digikey]])</f>
        <v>https://www.digikey.ch/products/en?keywords=RHM150KDCT-ND</v>
      </c>
      <c r="Q220" s="57"/>
      <c r="R220" s="59"/>
      <c r="S220" s="61" t="str">
        <f>IF(Table1[[#This Row],[Farnell]]="","", HYPERLINK(Table1[[#This Row],[Destination - Farnell]],_xlfn.CONCAT("Link (",Table1[[#This Row],[Farnell]],")")))</f>
        <v/>
      </c>
      <c r="T220" s="62" t="str">
        <f>_xlfn.CONCAT("https://ch.farnell.com/fr-CH/",Table1[[#This Row],[Farnell]])</f>
        <v>https://ch.farnell.com/fr-CH/</v>
      </c>
      <c r="U220" s="57"/>
      <c r="V220" s="59"/>
      <c r="W220" s="61" t="str">
        <f>IF(Table1[[#This Row],[Distrelec]]="","", HYPERLINK(Table1[[#This Row],[Destination - Distrelec]],_xlfn.CONCAT("Link (",Table1[[#This Row],[Distrelec]],")")))</f>
        <v/>
      </c>
      <c r="X220" s="62" t="str">
        <f>_xlfn.CONCAT("https://www.distrelec.ch/search?q=",Table1[[#This Row],[Distrelec]])</f>
        <v>https://www.distrelec.ch/search?q=</v>
      </c>
      <c r="Y220" s="57"/>
      <c r="Z220" s="59"/>
      <c r="AA220" s="61" t="str">
        <f>IF(Table1[[#This Row],[Conrad]]="","", HYPERLINK(Table1[[#This Row],[Destination - Conrad]],_xlfn.CONCAT("Link (",Table1[[#This Row],[Conrad]],")")))</f>
        <v/>
      </c>
      <c r="AB220" s="62"/>
      <c r="AC220" s="57"/>
      <c r="AD220" s="59"/>
      <c r="AE220" s="61" t="str">
        <f>IF(Table1[[#This Row],[Mouser]]="","", HYPERLINK(Table1[[#This Row],[Destination - Mouser]],_xlfn.CONCAT("Link (",Table1[[#This Row],[Mouser]],")")))</f>
        <v/>
      </c>
      <c r="AF220" s="62" t="str">
        <f>_xlfn.CONCAT("https://www.mouser.ch/ProductDetail/",Table1[[#This Row],[Mouser]])</f>
        <v>https://www.mouser.ch/ProductDetail/</v>
      </c>
      <c r="AG220" s="57"/>
      <c r="AH220" s="59"/>
      <c r="AI220" s="61" t="str">
        <f>IF(Table1[[#This Row],[Bauhaus]]="","", HYPERLINK(Table1[[#This Row],[Destination - Bauhaus]],_xlfn.CONCAT("Link (",Table1[[#This Row],[Bauhaus]],")")))</f>
        <v/>
      </c>
      <c r="AJ220" s="62" t="str">
        <f>_xlfn.CONCAT("https://www.bauhaus.ch/fr/search?query=",Table1[[#This Row],[Bauhaus]])</f>
        <v>https://www.bauhaus.ch/fr/search?query=</v>
      </c>
      <c r="AK220" s="59"/>
      <c r="AL220" s="59"/>
      <c r="AM220" s="61" t="str">
        <f>IF(Table1[[#This Row],[BricoEtLoisirs]]="","", HYPERLINK(Table1[[#This Row],[Destination - BricoEtLoisirs]],_xlfn.CONCAT("Link (",Table1[[#This Row],[BricoEtLoisirs]],")")))</f>
        <v/>
      </c>
      <c r="AN220" s="62" t="str">
        <f>_xlfn.CONCAT("https://bricoetloisirs.ch/p/",Table1[[#This Row],[BricoEtLoisirs]])</f>
        <v>https://bricoetloisirs.ch/p/</v>
      </c>
      <c r="AO220" s="57"/>
      <c r="AP220" s="59"/>
      <c r="AQ220" s="61" t="str">
        <f>IF(Table1[[#This Row],[Aliexpress]]="","", HYPERLINK(Table1[[#This Row],[Destination - Aliexpress]],_xlfn.CONCAT("Link (",Table1[[#This Row],[Aliexpress]],")")))</f>
        <v/>
      </c>
      <c r="AR220" s="62" t="str">
        <f>_xlfn.CONCAT("https://www.aliexpress.com/item/",Table1[[#This Row],[Aliexpress]],".html")</f>
        <v>https://www.aliexpress.com/item/.html</v>
      </c>
      <c r="AS220" s="57"/>
      <c r="AT220" s="59"/>
      <c r="AU220" s="61" t="str">
        <f>IF(Table1[[#This Row],[Banggood]]="","", HYPERLINK(Table1[[#This Row],[Destination - Banggood]],_xlfn.CONCAT("Link (",Table1[[#This Row],[Banggood]],")")))</f>
        <v/>
      </c>
      <c r="AV220" s="62" t="str">
        <f>_xlfn.CONCAT("https://www.banggood.com/search/",Table1[[#This Row],[Banggood]],".html")</f>
        <v>https://www.banggood.com/search/.html</v>
      </c>
      <c r="AW220" s="59" t="str">
        <f>IF(Table1[[#This Row],[Other]]&lt;&gt;"","Other","")</f>
        <v/>
      </c>
      <c r="AX220" s="57"/>
      <c r="AY220" s="59"/>
      <c r="AZ220" s="61" t="str">
        <f>IF(Table1[[#This Row],[Other]]="","",IF(Table1[[#This Row],[Destination - Other]]="","",HYPERLINK(Table1[[#This Row],[Destination - Other]],_xlfn.CONCAT("Link ("&amp;Table1[[#This Row],[Other]]&amp;")"))))</f>
        <v/>
      </c>
      <c r="BA220" s="59"/>
      <c r="BB220" s="58" t="str">
        <f>IF(AND( Table1[[#This Row],[Auto Order]]=1,Table1[[#This Row],[Obsolete]]=""),IF(Table1[[#This Row],[In stock]]&lt;Table1[[#This Row],[Min in stock]],1,""),"")</f>
        <v/>
      </c>
      <c r="BC220" s="64"/>
      <c r="BD220" s="66" t="str">
        <f>IF(Table1[[#This Row],[Obsolete]],Table1[[#This Row],[Art. Number]],"")</f>
        <v/>
      </c>
    </row>
    <row r="221" spans="1:56" x14ac:dyDescent="0.25">
      <c r="A221" s="65" t="s">
        <v>1299</v>
      </c>
      <c r="B221" s="57" t="s">
        <v>168</v>
      </c>
      <c r="C221" s="57" t="s">
        <v>97</v>
      </c>
      <c r="D221" s="57" t="s">
        <v>1300</v>
      </c>
      <c r="E221" s="57" t="s">
        <v>151</v>
      </c>
      <c r="F221" s="58">
        <v>0</v>
      </c>
      <c r="G221" s="58"/>
      <c r="H221" s="58"/>
      <c r="I22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RHM1.5MDCT-ND</v>
      </c>
      <c r="J22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(RHM1.5MDCT-ND)</v>
      </c>
      <c r="M221" s="57" t="s">
        <v>1301</v>
      </c>
      <c r="N221" s="59">
        <v>0.1</v>
      </c>
      <c r="O221" s="61" t="str">
        <f>IF(Table1[[#This Row],[Digikey]]="","", HYPERLINK(Table1[[#This Row],[Destination - Digikey]],_xlfn.CONCAT("Link (",Table1[[#This Row],[Digikey]],")")))</f>
        <v>Link (RHM1.5MDCT-ND)</v>
      </c>
      <c r="P221" s="62" t="str">
        <f>_xlfn.CONCAT("https://www.digikey.ch/products/en?keywords=",Table1[[#This Row],[Digikey]])</f>
        <v>https://www.digikey.ch/products/en?keywords=RHM1.5MDCT-ND</v>
      </c>
      <c r="Q221" s="57"/>
      <c r="R221" s="59"/>
      <c r="S221" s="61" t="str">
        <f>IF(Table1[[#This Row],[Farnell]]="","", HYPERLINK(Table1[[#This Row],[Destination - Farnell]],_xlfn.CONCAT("Link (",Table1[[#This Row],[Farnell]],")")))</f>
        <v/>
      </c>
      <c r="T221" s="62" t="str">
        <f>_xlfn.CONCAT("https://ch.farnell.com/fr-CH/",Table1[[#This Row],[Farnell]])</f>
        <v>https://ch.farnell.com/fr-CH/</v>
      </c>
      <c r="U221" s="57"/>
      <c r="V221" s="59"/>
      <c r="W221" s="61" t="str">
        <f>IF(Table1[[#This Row],[Distrelec]]="","", HYPERLINK(Table1[[#This Row],[Destination - Distrelec]],_xlfn.CONCAT("Link (",Table1[[#This Row],[Distrelec]],")")))</f>
        <v/>
      </c>
      <c r="X221" s="62" t="str">
        <f>_xlfn.CONCAT("https://www.distrelec.ch/search?q=",Table1[[#This Row],[Distrelec]])</f>
        <v>https://www.distrelec.ch/search?q=</v>
      </c>
      <c r="Y221" s="57"/>
      <c r="Z221" s="59"/>
      <c r="AA221" s="61" t="str">
        <f>IF(Table1[[#This Row],[Conrad]]="","", HYPERLINK(Table1[[#This Row],[Destination - Conrad]],_xlfn.CONCAT("Link (",Table1[[#This Row],[Conrad]],")")))</f>
        <v/>
      </c>
      <c r="AB221" s="62"/>
      <c r="AC221" s="57"/>
      <c r="AD221" s="59"/>
      <c r="AE221" s="61" t="str">
        <f>IF(Table1[[#This Row],[Mouser]]="","", HYPERLINK(Table1[[#This Row],[Destination - Mouser]],_xlfn.CONCAT("Link (",Table1[[#This Row],[Mouser]],")")))</f>
        <v/>
      </c>
      <c r="AF221" s="62" t="str">
        <f>_xlfn.CONCAT("https://www.mouser.ch/ProductDetail/",Table1[[#This Row],[Mouser]])</f>
        <v>https://www.mouser.ch/ProductDetail/</v>
      </c>
      <c r="AG221" s="57"/>
      <c r="AH221" s="59"/>
      <c r="AI221" s="61" t="str">
        <f>IF(Table1[[#This Row],[Bauhaus]]="","", HYPERLINK(Table1[[#This Row],[Destination - Bauhaus]],_xlfn.CONCAT("Link (",Table1[[#This Row],[Bauhaus]],")")))</f>
        <v/>
      </c>
      <c r="AJ221" s="62" t="str">
        <f>_xlfn.CONCAT("https://www.bauhaus.ch/fr/search?query=",Table1[[#This Row],[Bauhaus]])</f>
        <v>https://www.bauhaus.ch/fr/search?query=</v>
      </c>
      <c r="AK221" s="59"/>
      <c r="AL221" s="59"/>
      <c r="AM221" s="61" t="str">
        <f>IF(Table1[[#This Row],[BricoEtLoisirs]]="","", HYPERLINK(Table1[[#This Row],[Destination - BricoEtLoisirs]],_xlfn.CONCAT("Link (",Table1[[#This Row],[BricoEtLoisirs]],")")))</f>
        <v/>
      </c>
      <c r="AN221" s="62" t="str">
        <f>_xlfn.CONCAT("https://bricoetloisirs.ch/p/",Table1[[#This Row],[BricoEtLoisirs]])</f>
        <v>https://bricoetloisirs.ch/p/</v>
      </c>
      <c r="AO221" s="57"/>
      <c r="AP221" s="59"/>
      <c r="AQ221" s="61" t="str">
        <f>IF(Table1[[#This Row],[Aliexpress]]="","", HYPERLINK(Table1[[#This Row],[Destination - Aliexpress]],_xlfn.CONCAT("Link (",Table1[[#This Row],[Aliexpress]],")")))</f>
        <v/>
      </c>
      <c r="AR221" s="62" t="str">
        <f>_xlfn.CONCAT("https://www.aliexpress.com/item/",Table1[[#This Row],[Aliexpress]],".html")</f>
        <v>https://www.aliexpress.com/item/.html</v>
      </c>
      <c r="AS221" s="57"/>
      <c r="AT221" s="59"/>
      <c r="AU221" s="61" t="str">
        <f>IF(Table1[[#This Row],[Banggood]]="","", HYPERLINK(Table1[[#This Row],[Destination - Banggood]],_xlfn.CONCAT("Link (",Table1[[#This Row],[Banggood]],")")))</f>
        <v/>
      </c>
      <c r="AV221" s="62" t="str">
        <f>_xlfn.CONCAT("https://www.banggood.com/search/",Table1[[#This Row],[Banggood]],".html")</f>
        <v>https://www.banggood.com/search/.html</v>
      </c>
      <c r="AW221" s="59" t="str">
        <f>IF(Table1[[#This Row],[Other]]&lt;&gt;"","Other","")</f>
        <v/>
      </c>
      <c r="AX221" s="57"/>
      <c r="AY221" s="59"/>
      <c r="AZ221" s="61" t="str">
        <f>IF(Table1[[#This Row],[Other]]="","",IF(Table1[[#This Row],[Destination - Other]]="","",HYPERLINK(Table1[[#This Row],[Destination - Other]],_xlfn.CONCAT("Link ("&amp;Table1[[#This Row],[Other]]&amp;")"))))</f>
        <v/>
      </c>
      <c r="BA221" s="59"/>
      <c r="BB221" s="58" t="str">
        <f>IF(AND( Table1[[#This Row],[Auto Order]]=1,Table1[[#This Row],[Obsolete]]=""),IF(Table1[[#This Row],[In stock]]&lt;Table1[[#This Row],[Min in stock]],1,""),"")</f>
        <v/>
      </c>
      <c r="BC221" s="64"/>
      <c r="BD221" s="66" t="str">
        <f>IF(Table1[[#This Row],[Obsolete]],Table1[[#This Row],[Art. Number]],"")</f>
        <v/>
      </c>
    </row>
    <row r="222" spans="1:56" x14ac:dyDescent="0.25">
      <c r="A222" s="65" t="s">
        <v>1305</v>
      </c>
      <c r="B222" s="57" t="s">
        <v>168</v>
      </c>
      <c r="C222" s="57" t="s">
        <v>97</v>
      </c>
      <c r="D222" s="57" t="s">
        <v>1306</v>
      </c>
      <c r="E222" s="57" t="s">
        <v>151</v>
      </c>
      <c r="F222" s="58">
        <v>0</v>
      </c>
      <c r="G222" s="58"/>
      <c r="H222" s="58"/>
      <c r="I22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RHM16DCT-ND</v>
      </c>
      <c r="J22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(RHM16DCT-ND)</v>
      </c>
      <c r="M222" s="57" t="s">
        <v>1307</v>
      </c>
      <c r="N222" s="59">
        <v>0.1</v>
      </c>
      <c r="O222" s="61" t="str">
        <f>IF(Table1[[#This Row],[Digikey]]="","", HYPERLINK(Table1[[#This Row],[Destination - Digikey]],_xlfn.CONCAT("Link (",Table1[[#This Row],[Digikey]],")")))</f>
        <v>Link (RHM16DCT-ND)</v>
      </c>
      <c r="P222" s="62" t="str">
        <f>_xlfn.CONCAT("https://www.digikey.ch/products/en?keywords=",Table1[[#This Row],[Digikey]])</f>
        <v>https://www.digikey.ch/products/en?keywords=RHM16DCT-ND</v>
      </c>
      <c r="Q222" s="57"/>
      <c r="R222" s="59"/>
      <c r="S222" s="61" t="str">
        <f>IF(Table1[[#This Row],[Farnell]]="","", HYPERLINK(Table1[[#This Row],[Destination - Farnell]],_xlfn.CONCAT("Link (",Table1[[#This Row],[Farnell]],")")))</f>
        <v/>
      </c>
      <c r="T222" s="62" t="str">
        <f>_xlfn.CONCAT("https://ch.farnell.com/fr-CH/",Table1[[#This Row],[Farnell]])</f>
        <v>https://ch.farnell.com/fr-CH/</v>
      </c>
      <c r="U222" s="57"/>
      <c r="V222" s="59"/>
      <c r="W222" s="61" t="str">
        <f>IF(Table1[[#This Row],[Distrelec]]="","", HYPERLINK(Table1[[#This Row],[Destination - Distrelec]],_xlfn.CONCAT("Link (",Table1[[#This Row],[Distrelec]],")")))</f>
        <v/>
      </c>
      <c r="X222" s="62" t="str">
        <f>_xlfn.CONCAT("https://www.distrelec.ch/search?q=",Table1[[#This Row],[Distrelec]])</f>
        <v>https://www.distrelec.ch/search?q=</v>
      </c>
      <c r="Y222" s="57"/>
      <c r="Z222" s="59"/>
      <c r="AA222" s="61" t="str">
        <f>IF(Table1[[#This Row],[Conrad]]="","", HYPERLINK(Table1[[#This Row],[Destination - Conrad]],_xlfn.CONCAT("Link (",Table1[[#This Row],[Conrad]],")")))</f>
        <v/>
      </c>
      <c r="AB222" s="62"/>
      <c r="AC222" s="57"/>
      <c r="AD222" s="59"/>
      <c r="AE222" s="61" t="str">
        <f>IF(Table1[[#This Row],[Mouser]]="","", HYPERLINK(Table1[[#This Row],[Destination - Mouser]],_xlfn.CONCAT("Link (",Table1[[#This Row],[Mouser]],")")))</f>
        <v/>
      </c>
      <c r="AF222" s="62" t="str">
        <f>_xlfn.CONCAT("https://www.mouser.ch/ProductDetail/",Table1[[#This Row],[Mouser]])</f>
        <v>https://www.mouser.ch/ProductDetail/</v>
      </c>
      <c r="AG222" s="57"/>
      <c r="AH222" s="59"/>
      <c r="AI222" s="61" t="str">
        <f>IF(Table1[[#This Row],[Bauhaus]]="","", HYPERLINK(Table1[[#This Row],[Destination - Bauhaus]],_xlfn.CONCAT("Link (",Table1[[#This Row],[Bauhaus]],")")))</f>
        <v/>
      </c>
      <c r="AJ222" s="62" t="str">
        <f>_xlfn.CONCAT("https://www.bauhaus.ch/fr/search?query=",Table1[[#This Row],[Bauhaus]])</f>
        <v>https://www.bauhaus.ch/fr/search?query=</v>
      </c>
      <c r="AK222" s="59"/>
      <c r="AL222" s="59"/>
      <c r="AM222" s="61" t="str">
        <f>IF(Table1[[#This Row],[BricoEtLoisirs]]="","", HYPERLINK(Table1[[#This Row],[Destination - BricoEtLoisirs]],_xlfn.CONCAT("Link (",Table1[[#This Row],[BricoEtLoisirs]],")")))</f>
        <v/>
      </c>
      <c r="AN222" s="62" t="str">
        <f>_xlfn.CONCAT("https://bricoetloisirs.ch/p/",Table1[[#This Row],[BricoEtLoisirs]])</f>
        <v>https://bricoetloisirs.ch/p/</v>
      </c>
      <c r="AO222" s="57"/>
      <c r="AP222" s="59"/>
      <c r="AQ222" s="61" t="str">
        <f>IF(Table1[[#This Row],[Aliexpress]]="","", HYPERLINK(Table1[[#This Row],[Destination - Aliexpress]],_xlfn.CONCAT("Link (",Table1[[#This Row],[Aliexpress]],")")))</f>
        <v/>
      </c>
      <c r="AR222" s="62" t="str">
        <f>_xlfn.CONCAT("https://www.aliexpress.com/item/",Table1[[#This Row],[Aliexpress]],".html")</f>
        <v>https://www.aliexpress.com/item/.html</v>
      </c>
      <c r="AS222" s="57"/>
      <c r="AT222" s="59"/>
      <c r="AU222" s="61" t="str">
        <f>IF(Table1[[#This Row],[Banggood]]="","", HYPERLINK(Table1[[#This Row],[Destination - Banggood]],_xlfn.CONCAT("Link (",Table1[[#This Row],[Banggood]],")")))</f>
        <v/>
      </c>
      <c r="AV222" s="62" t="str">
        <f>_xlfn.CONCAT("https://www.banggood.com/search/",Table1[[#This Row],[Banggood]],".html")</f>
        <v>https://www.banggood.com/search/.html</v>
      </c>
      <c r="AW222" s="59" t="str">
        <f>IF(Table1[[#This Row],[Other]]&lt;&gt;"","Other","")</f>
        <v/>
      </c>
      <c r="AX222" s="57"/>
      <c r="AY222" s="59"/>
      <c r="AZ222" s="61" t="str">
        <f>IF(Table1[[#This Row],[Other]]="","",IF(Table1[[#This Row],[Destination - Other]]="","",HYPERLINK(Table1[[#This Row],[Destination - Other]],_xlfn.CONCAT("Link ("&amp;Table1[[#This Row],[Other]]&amp;")"))))</f>
        <v/>
      </c>
      <c r="BA222" s="59"/>
      <c r="BB222" s="58" t="str">
        <f>IF(AND( Table1[[#This Row],[Auto Order]]=1,Table1[[#This Row],[Obsolete]]=""),IF(Table1[[#This Row],[In stock]]&lt;Table1[[#This Row],[Min in stock]],1,""),"")</f>
        <v/>
      </c>
      <c r="BC222" s="64"/>
      <c r="BD222" s="66" t="str">
        <f>IF(Table1[[#This Row],[Obsolete]],Table1[[#This Row],[Art. Number]],"")</f>
        <v/>
      </c>
    </row>
    <row r="223" spans="1:56" x14ac:dyDescent="0.25">
      <c r="A223" s="65" t="s">
        <v>1311</v>
      </c>
      <c r="B223" s="57" t="s">
        <v>168</v>
      </c>
      <c r="C223" s="57" t="s">
        <v>97</v>
      </c>
      <c r="D223" s="57" t="s">
        <v>1312</v>
      </c>
      <c r="E223" s="57" t="s">
        <v>151</v>
      </c>
      <c r="F223" s="58">
        <v>0</v>
      </c>
      <c r="G223" s="58"/>
      <c r="H223" s="58"/>
      <c r="I22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RHM160DCT-ND</v>
      </c>
      <c r="J22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(RHM160DCT-ND)</v>
      </c>
      <c r="M223" s="57" t="s">
        <v>1313</v>
      </c>
      <c r="N223" s="59">
        <v>0.1</v>
      </c>
      <c r="O223" s="61" t="str">
        <f>IF(Table1[[#This Row],[Digikey]]="","", HYPERLINK(Table1[[#This Row],[Destination - Digikey]],_xlfn.CONCAT("Link (",Table1[[#This Row],[Digikey]],")")))</f>
        <v>Link (RHM160DCT-ND)</v>
      </c>
      <c r="P223" s="62" t="str">
        <f>_xlfn.CONCAT("https://www.digikey.ch/products/en?keywords=",Table1[[#This Row],[Digikey]])</f>
        <v>https://www.digikey.ch/products/en?keywords=RHM160DCT-ND</v>
      </c>
      <c r="Q223" s="57"/>
      <c r="R223" s="59"/>
      <c r="S223" s="61" t="str">
        <f>IF(Table1[[#This Row],[Farnell]]="","", HYPERLINK(Table1[[#This Row],[Destination - Farnell]],_xlfn.CONCAT("Link (",Table1[[#This Row],[Farnell]],")")))</f>
        <v/>
      </c>
      <c r="T223" s="62" t="str">
        <f>_xlfn.CONCAT("https://ch.farnell.com/fr-CH/",Table1[[#This Row],[Farnell]])</f>
        <v>https://ch.farnell.com/fr-CH/</v>
      </c>
      <c r="U223" s="57"/>
      <c r="V223" s="59"/>
      <c r="W223" s="61" t="str">
        <f>IF(Table1[[#This Row],[Distrelec]]="","", HYPERLINK(Table1[[#This Row],[Destination - Distrelec]],_xlfn.CONCAT("Link (",Table1[[#This Row],[Distrelec]],")")))</f>
        <v/>
      </c>
      <c r="X223" s="62" t="str">
        <f>_xlfn.CONCAT("https://www.distrelec.ch/search?q=",Table1[[#This Row],[Distrelec]])</f>
        <v>https://www.distrelec.ch/search?q=</v>
      </c>
      <c r="Y223" s="57"/>
      <c r="Z223" s="59"/>
      <c r="AA223" s="61" t="str">
        <f>IF(Table1[[#This Row],[Conrad]]="","", HYPERLINK(Table1[[#This Row],[Destination - Conrad]],_xlfn.CONCAT("Link (",Table1[[#This Row],[Conrad]],")")))</f>
        <v/>
      </c>
      <c r="AB223" s="62"/>
      <c r="AC223" s="57"/>
      <c r="AD223" s="59"/>
      <c r="AE223" s="61" t="str">
        <f>IF(Table1[[#This Row],[Mouser]]="","", HYPERLINK(Table1[[#This Row],[Destination - Mouser]],_xlfn.CONCAT("Link (",Table1[[#This Row],[Mouser]],")")))</f>
        <v/>
      </c>
      <c r="AF223" s="62" t="str">
        <f>_xlfn.CONCAT("https://www.mouser.ch/ProductDetail/",Table1[[#This Row],[Mouser]])</f>
        <v>https://www.mouser.ch/ProductDetail/</v>
      </c>
      <c r="AG223" s="57"/>
      <c r="AH223" s="59"/>
      <c r="AI223" s="61" t="str">
        <f>IF(Table1[[#This Row],[Bauhaus]]="","", HYPERLINK(Table1[[#This Row],[Destination - Bauhaus]],_xlfn.CONCAT("Link (",Table1[[#This Row],[Bauhaus]],")")))</f>
        <v/>
      </c>
      <c r="AJ223" s="62" t="str">
        <f>_xlfn.CONCAT("https://www.bauhaus.ch/fr/search?query=",Table1[[#This Row],[Bauhaus]])</f>
        <v>https://www.bauhaus.ch/fr/search?query=</v>
      </c>
      <c r="AK223" s="59"/>
      <c r="AL223" s="59"/>
      <c r="AM223" s="61" t="str">
        <f>IF(Table1[[#This Row],[BricoEtLoisirs]]="","", HYPERLINK(Table1[[#This Row],[Destination - BricoEtLoisirs]],_xlfn.CONCAT("Link (",Table1[[#This Row],[BricoEtLoisirs]],")")))</f>
        <v/>
      </c>
      <c r="AN223" s="62" t="str">
        <f>_xlfn.CONCAT("https://bricoetloisirs.ch/p/",Table1[[#This Row],[BricoEtLoisirs]])</f>
        <v>https://bricoetloisirs.ch/p/</v>
      </c>
      <c r="AO223" s="57"/>
      <c r="AP223" s="59"/>
      <c r="AQ223" s="61" t="str">
        <f>IF(Table1[[#This Row],[Aliexpress]]="","", HYPERLINK(Table1[[#This Row],[Destination - Aliexpress]],_xlfn.CONCAT("Link (",Table1[[#This Row],[Aliexpress]],")")))</f>
        <v/>
      </c>
      <c r="AR223" s="62" t="str">
        <f>_xlfn.CONCAT("https://www.aliexpress.com/item/",Table1[[#This Row],[Aliexpress]],".html")</f>
        <v>https://www.aliexpress.com/item/.html</v>
      </c>
      <c r="AS223" s="57"/>
      <c r="AT223" s="59"/>
      <c r="AU223" s="61" t="str">
        <f>IF(Table1[[#This Row],[Banggood]]="","", HYPERLINK(Table1[[#This Row],[Destination - Banggood]],_xlfn.CONCAT("Link (",Table1[[#This Row],[Banggood]],")")))</f>
        <v/>
      </c>
      <c r="AV223" s="62" t="str">
        <f>_xlfn.CONCAT("https://www.banggood.com/search/",Table1[[#This Row],[Banggood]],".html")</f>
        <v>https://www.banggood.com/search/.html</v>
      </c>
      <c r="AW223" s="59" t="str">
        <f>IF(Table1[[#This Row],[Other]]&lt;&gt;"","Other","")</f>
        <v/>
      </c>
      <c r="AX223" s="57"/>
      <c r="AY223" s="59"/>
      <c r="AZ223" s="61" t="str">
        <f>IF(Table1[[#This Row],[Other]]="","",IF(Table1[[#This Row],[Destination - Other]]="","",HYPERLINK(Table1[[#This Row],[Destination - Other]],_xlfn.CONCAT("Link ("&amp;Table1[[#This Row],[Other]]&amp;")"))))</f>
        <v/>
      </c>
      <c r="BA223" s="59"/>
      <c r="BB223" s="58" t="str">
        <f>IF(AND( Table1[[#This Row],[Auto Order]]=1,Table1[[#This Row],[Obsolete]]=""),IF(Table1[[#This Row],[In stock]]&lt;Table1[[#This Row],[Min in stock]],1,""),"")</f>
        <v/>
      </c>
      <c r="BC223" s="64"/>
      <c r="BD223" s="66" t="str">
        <f>IF(Table1[[#This Row],[Obsolete]],Table1[[#This Row],[Art. Number]],"")</f>
        <v/>
      </c>
    </row>
    <row r="224" spans="1:56" x14ac:dyDescent="0.25">
      <c r="A224" s="65" t="s">
        <v>1317</v>
      </c>
      <c r="B224" s="57" t="s">
        <v>168</v>
      </c>
      <c r="C224" s="57" t="s">
        <v>97</v>
      </c>
      <c r="D224" s="57" t="s">
        <v>1318</v>
      </c>
      <c r="E224" s="57" t="s">
        <v>151</v>
      </c>
      <c r="F224" s="58">
        <v>0</v>
      </c>
      <c r="G224" s="58"/>
      <c r="H224" s="58"/>
      <c r="I22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RHM1.6KDCT-ND</v>
      </c>
      <c r="J22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(RHM1.6KDCT-ND)</v>
      </c>
      <c r="M224" s="57" t="s">
        <v>1319</v>
      </c>
      <c r="N224" s="59">
        <v>0.1</v>
      </c>
      <c r="O224" s="61" t="str">
        <f>IF(Table1[[#This Row],[Digikey]]="","", HYPERLINK(Table1[[#This Row],[Destination - Digikey]],_xlfn.CONCAT("Link (",Table1[[#This Row],[Digikey]],")")))</f>
        <v>Link (RHM1.6KDCT-ND)</v>
      </c>
      <c r="P224" s="62" t="str">
        <f>_xlfn.CONCAT("https://www.digikey.ch/products/en?keywords=",Table1[[#This Row],[Digikey]])</f>
        <v>https://www.digikey.ch/products/en?keywords=RHM1.6KDCT-ND</v>
      </c>
      <c r="Q224" s="57"/>
      <c r="R224" s="59"/>
      <c r="S224" s="61" t="str">
        <f>IF(Table1[[#This Row],[Farnell]]="","", HYPERLINK(Table1[[#This Row],[Destination - Farnell]],_xlfn.CONCAT("Link (",Table1[[#This Row],[Farnell]],")")))</f>
        <v/>
      </c>
      <c r="T224" s="62" t="str">
        <f>_xlfn.CONCAT("https://ch.farnell.com/fr-CH/",Table1[[#This Row],[Farnell]])</f>
        <v>https://ch.farnell.com/fr-CH/</v>
      </c>
      <c r="U224" s="57"/>
      <c r="V224" s="59"/>
      <c r="W224" s="61" t="str">
        <f>IF(Table1[[#This Row],[Distrelec]]="","", HYPERLINK(Table1[[#This Row],[Destination - Distrelec]],_xlfn.CONCAT("Link (",Table1[[#This Row],[Distrelec]],")")))</f>
        <v/>
      </c>
      <c r="X224" s="62" t="str">
        <f>_xlfn.CONCAT("https://www.distrelec.ch/search?q=",Table1[[#This Row],[Distrelec]])</f>
        <v>https://www.distrelec.ch/search?q=</v>
      </c>
      <c r="Y224" s="57"/>
      <c r="Z224" s="59"/>
      <c r="AA224" s="61" t="str">
        <f>IF(Table1[[#This Row],[Conrad]]="","", HYPERLINK(Table1[[#This Row],[Destination - Conrad]],_xlfn.CONCAT("Link (",Table1[[#This Row],[Conrad]],")")))</f>
        <v/>
      </c>
      <c r="AB224" s="62"/>
      <c r="AC224" s="57"/>
      <c r="AD224" s="59"/>
      <c r="AE224" s="61" t="str">
        <f>IF(Table1[[#This Row],[Mouser]]="","", HYPERLINK(Table1[[#This Row],[Destination - Mouser]],_xlfn.CONCAT("Link (",Table1[[#This Row],[Mouser]],")")))</f>
        <v/>
      </c>
      <c r="AF224" s="62" t="str">
        <f>_xlfn.CONCAT("https://www.mouser.ch/ProductDetail/",Table1[[#This Row],[Mouser]])</f>
        <v>https://www.mouser.ch/ProductDetail/</v>
      </c>
      <c r="AG224" s="57"/>
      <c r="AH224" s="59"/>
      <c r="AI224" s="61" t="str">
        <f>IF(Table1[[#This Row],[Bauhaus]]="","", HYPERLINK(Table1[[#This Row],[Destination - Bauhaus]],_xlfn.CONCAT("Link (",Table1[[#This Row],[Bauhaus]],")")))</f>
        <v/>
      </c>
      <c r="AJ224" s="62" t="str">
        <f>_xlfn.CONCAT("https://www.bauhaus.ch/fr/search?query=",Table1[[#This Row],[Bauhaus]])</f>
        <v>https://www.bauhaus.ch/fr/search?query=</v>
      </c>
      <c r="AK224" s="59"/>
      <c r="AL224" s="59"/>
      <c r="AM224" s="61" t="str">
        <f>IF(Table1[[#This Row],[BricoEtLoisirs]]="","", HYPERLINK(Table1[[#This Row],[Destination - BricoEtLoisirs]],_xlfn.CONCAT("Link (",Table1[[#This Row],[BricoEtLoisirs]],")")))</f>
        <v/>
      </c>
      <c r="AN224" s="62" t="str">
        <f>_xlfn.CONCAT("https://bricoetloisirs.ch/p/",Table1[[#This Row],[BricoEtLoisirs]])</f>
        <v>https://bricoetloisirs.ch/p/</v>
      </c>
      <c r="AO224" s="57"/>
      <c r="AP224" s="59"/>
      <c r="AQ224" s="61" t="str">
        <f>IF(Table1[[#This Row],[Aliexpress]]="","", HYPERLINK(Table1[[#This Row],[Destination - Aliexpress]],_xlfn.CONCAT("Link (",Table1[[#This Row],[Aliexpress]],")")))</f>
        <v/>
      </c>
      <c r="AR224" s="62" t="str">
        <f>_xlfn.CONCAT("https://www.aliexpress.com/item/",Table1[[#This Row],[Aliexpress]],".html")</f>
        <v>https://www.aliexpress.com/item/.html</v>
      </c>
      <c r="AS224" s="57"/>
      <c r="AT224" s="59"/>
      <c r="AU224" s="61" t="str">
        <f>IF(Table1[[#This Row],[Banggood]]="","", HYPERLINK(Table1[[#This Row],[Destination - Banggood]],_xlfn.CONCAT("Link (",Table1[[#This Row],[Banggood]],")")))</f>
        <v/>
      </c>
      <c r="AV224" s="62" t="str">
        <f>_xlfn.CONCAT("https://www.banggood.com/search/",Table1[[#This Row],[Banggood]],".html")</f>
        <v>https://www.banggood.com/search/.html</v>
      </c>
      <c r="AW224" s="59" t="str">
        <f>IF(Table1[[#This Row],[Other]]&lt;&gt;"","Other","")</f>
        <v/>
      </c>
      <c r="AX224" s="57"/>
      <c r="AY224" s="59"/>
      <c r="AZ224" s="61" t="str">
        <f>IF(Table1[[#This Row],[Other]]="","",IF(Table1[[#This Row],[Destination - Other]]="","",HYPERLINK(Table1[[#This Row],[Destination - Other]],_xlfn.CONCAT("Link ("&amp;Table1[[#This Row],[Other]]&amp;")"))))</f>
        <v/>
      </c>
      <c r="BA224" s="59"/>
      <c r="BB224" s="58" t="str">
        <f>IF(AND( Table1[[#This Row],[Auto Order]]=1,Table1[[#This Row],[Obsolete]]=""),IF(Table1[[#This Row],[In stock]]&lt;Table1[[#This Row],[Min in stock]],1,""),"")</f>
        <v/>
      </c>
      <c r="BC224" s="64"/>
      <c r="BD224" s="66" t="str">
        <f>IF(Table1[[#This Row],[Obsolete]],Table1[[#This Row],[Art. Number]],"")</f>
        <v/>
      </c>
    </row>
    <row r="225" spans="1:56" x14ac:dyDescent="0.25">
      <c r="A225" s="65" t="s">
        <v>1323</v>
      </c>
      <c r="B225" s="57" t="s">
        <v>168</v>
      </c>
      <c r="C225" s="57" t="s">
        <v>97</v>
      </c>
      <c r="D225" s="57" t="s">
        <v>1324</v>
      </c>
      <c r="E225" s="57" t="s">
        <v>151</v>
      </c>
      <c r="F225" s="58">
        <v>0</v>
      </c>
      <c r="G225" s="58"/>
      <c r="H225" s="58"/>
      <c r="I22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RHM16KDCT-ND</v>
      </c>
      <c r="J22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(RHM16KDCT-ND)</v>
      </c>
      <c r="M225" s="57" t="s">
        <v>1325</v>
      </c>
      <c r="N225" s="59">
        <v>0.1</v>
      </c>
      <c r="O225" s="61" t="str">
        <f>IF(Table1[[#This Row],[Digikey]]="","", HYPERLINK(Table1[[#This Row],[Destination - Digikey]],_xlfn.CONCAT("Link (",Table1[[#This Row],[Digikey]],")")))</f>
        <v>Link (RHM16KDCT-ND)</v>
      </c>
      <c r="P225" s="62" t="str">
        <f>_xlfn.CONCAT("https://www.digikey.ch/products/en?keywords=",Table1[[#This Row],[Digikey]])</f>
        <v>https://www.digikey.ch/products/en?keywords=RHM16KDCT-ND</v>
      </c>
      <c r="Q225" s="57"/>
      <c r="R225" s="59"/>
      <c r="S225" s="61" t="str">
        <f>IF(Table1[[#This Row],[Farnell]]="","", HYPERLINK(Table1[[#This Row],[Destination - Farnell]],_xlfn.CONCAT("Link (",Table1[[#This Row],[Farnell]],")")))</f>
        <v/>
      </c>
      <c r="T225" s="62" t="str">
        <f>_xlfn.CONCAT("https://ch.farnell.com/fr-CH/",Table1[[#This Row],[Farnell]])</f>
        <v>https://ch.farnell.com/fr-CH/</v>
      </c>
      <c r="U225" s="57"/>
      <c r="V225" s="59"/>
      <c r="W225" s="61" t="str">
        <f>IF(Table1[[#This Row],[Distrelec]]="","", HYPERLINK(Table1[[#This Row],[Destination - Distrelec]],_xlfn.CONCAT("Link (",Table1[[#This Row],[Distrelec]],")")))</f>
        <v/>
      </c>
      <c r="X225" s="62" t="str">
        <f>_xlfn.CONCAT("https://www.distrelec.ch/search?q=",Table1[[#This Row],[Distrelec]])</f>
        <v>https://www.distrelec.ch/search?q=</v>
      </c>
      <c r="Y225" s="57"/>
      <c r="Z225" s="59"/>
      <c r="AA225" s="61" t="str">
        <f>IF(Table1[[#This Row],[Conrad]]="","", HYPERLINK(Table1[[#This Row],[Destination - Conrad]],_xlfn.CONCAT("Link (",Table1[[#This Row],[Conrad]],")")))</f>
        <v/>
      </c>
      <c r="AB225" s="62"/>
      <c r="AC225" s="57"/>
      <c r="AD225" s="59"/>
      <c r="AE225" s="61" t="str">
        <f>IF(Table1[[#This Row],[Mouser]]="","", HYPERLINK(Table1[[#This Row],[Destination - Mouser]],_xlfn.CONCAT("Link (",Table1[[#This Row],[Mouser]],")")))</f>
        <v/>
      </c>
      <c r="AF225" s="62" t="str">
        <f>_xlfn.CONCAT("https://www.mouser.ch/ProductDetail/",Table1[[#This Row],[Mouser]])</f>
        <v>https://www.mouser.ch/ProductDetail/</v>
      </c>
      <c r="AG225" s="57"/>
      <c r="AH225" s="59"/>
      <c r="AI225" s="61" t="str">
        <f>IF(Table1[[#This Row],[Bauhaus]]="","", HYPERLINK(Table1[[#This Row],[Destination - Bauhaus]],_xlfn.CONCAT("Link (",Table1[[#This Row],[Bauhaus]],")")))</f>
        <v/>
      </c>
      <c r="AJ225" s="62" t="str">
        <f>_xlfn.CONCAT("https://www.bauhaus.ch/fr/search?query=",Table1[[#This Row],[Bauhaus]])</f>
        <v>https://www.bauhaus.ch/fr/search?query=</v>
      </c>
      <c r="AK225" s="59"/>
      <c r="AL225" s="59"/>
      <c r="AM225" s="61" t="str">
        <f>IF(Table1[[#This Row],[BricoEtLoisirs]]="","", HYPERLINK(Table1[[#This Row],[Destination - BricoEtLoisirs]],_xlfn.CONCAT("Link (",Table1[[#This Row],[BricoEtLoisirs]],")")))</f>
        <v/>
      </c>
      <c r="AN225" s="62" t="str">
        <f>_xlfn.CONCAT("https://bricoetloisirs.ch/p/",Table1[[#This Row],[BricoEtLoisirs]])</f>
        <v>https://bricoetloisirs.ch/p/</v>
      </c>
      <c r="AO225" s="57"/>
      <c r="AP225" s="59"/>
      <c r="AQ225" s="61" t="str">
        <f>IF(Table1[[#This Row],[Aliexpress]]="","", HYPERLINK(Table1[[#This Row],[Destination - Aliexpress]],_xlfn.CONCAT("Link (",Table1[[#This Row],[Aliexpress]],")")))</f>
        <v/>
      </c>
      <c r="AR225" s="62" t="str">
        <f>_xlfn.CONCAT("https://www.aliexpress.com/item/",Table1[[#This Row],[Aliexpress]],".html")</f>
        <v>https://www.aliexpress.com/item/.html</v>
      </c>
      <c r="AS225" s="57"/>
      <c r="AT225" s="59"/>
      <c r="AU225" s="61" t="str">
        <f>IF(Table1[[#This Row],[Banggood]]="","", HYPERLINK(Table1[[#This Row],[Destination - Banggood]],_xlfn.CONCAT("Link (",Table1[[#This Row],[Banggood]],")")))</f>
        <v/>
      </c>
      <c r="AV225" s="62" t="str">
        <f>_xlfn.CONCAT("https://www.banggood.com/search/",Table1[[#This Row],[Banggood]],".html")</f>
        <v>https://www.banggood.com/search/.html</v>
      </c>
      <c r="AW225" s="59" t="str">
        <f>IF(Table1[[#This Row],[Other]]&lt;&gt;"","Other","")</f>
        <v/>
      </c>
      <c r="AX225" s="57"/>
      <c r="AY225" s="59"/>
      <c r="AZ225" s="61" t="str">
        <f>IF(Table1[[#This Row],[Other]]="","",IF(Table1[[#This Row],[Destination - Other]]="","",HYPERLINK(Table1[[#This Row],[Destination - Other]],_xlfn.CONCAT("Link ("&amp;Table1[[#This Row],[Other]]&amp;")"))))</f>
        <v/>
      </c>
      <c r="BA225" s="59"/>
      <c r="BB225" s="58" t="str">
        <f>IF(AND( Table1[[#This Row],[Auto Order]]=1,Table1[[#This Row],[Obsolete]]=""),IF(Table1[[#This Row],[In stock]]&lt;Table1[[#This Row],[Min in stock]],1,""),"")</f>
        <v/>
      </c>
      <c r="BC225" s="64"/>
      <c r="BD225" s="66" t="str">
        <f>IF(Table1[[#This Row],[Obsolete]],Table1[[#This Row],[Art. Number]],"")</f>
        <v/>
      </c>
    </row>
    <row r="226" spans="1:56" x14ac:dyDescent="0.25">
      <c r="A226" s="65" t="s">
        <v>1329</v>
      </c>
      <c r="B226" s="57" t="s">
        <v>168</v>
      </c>
      <c r="C226" s="57" t="s">
        <v>97</v>
      </c>
      <c r="D226" s="57" t="s">
        <v>1330</v>
      </c>
      <c r="E226" s="57" t="s">
        <v>151</v>
      </c>
      <c r="F226" s="58">
        <v>0</v>
      </c>
      <c r="G226" s="58"/>
      <c r="H226" s="58"/>
      <c r="I22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RHM1.6MDCT-ND</v>
      </c>
      <c r="J22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(RHM1.6MDCT-ND)</v>
      </c>
      <c r="M226" s="57" t="s">
        <v>1331</v>
      </c>
      <c r="N226" s="59">
        <v>0.1</v>
      </c>
      <c r="O226" s="61" t="str">
        <f>IF(Table1[[#This Row],[Digikey]]="","", HYPERLINK(Table1[[#This Row],[Destination - Digikey]],_xlfn.CONCAT("Link (",Table1[[#This Row],[Digikey]],")")))</f>
        <v>Link (RHM1.6MDCT-ND)</v>
      </c>
      <c r="P226" s="62" t="str">
        <f>_xlfn.CONCAT("https://www.digikey.ch/products/en?keywords=",Table1[[#This Row],[Digikey]])</f>
        <v>https://www.digikey.ch/products/en?keywords=RHM1.6MDCT-ND</v>
      </c>
      <c r="Q226" s="57"/>
      <c r="R226" s="59"/>
      <c r="S226" s="61" t="str">
        <f>IF(Table1[[#This Row],[Farnell]]="","", HYPERLINK(Table1[[#This Row],[Destination - Farnell]],_xlfn.CONCAT("Link (",Table1[[#This Row],[Farnell]],")")))</f>
        <v/>
      </c>
      <c r="T226" s="62" t="str">
        <f>_xlfn.CONCAT("https://ch.farnell.com/fr-CH/",Table1[[#This Row],[Farnell]])</f>
        <v>https://ch.farnell.com/fr-CH/</v>
      </c>
      <c r="U226" s="57"/>
      <c r="V226" s="59"/>
      <c r="W226" s="61" t="str">
        <f>IF(Table1[[#This Row],[Distrelec]]="","", HYPERLINK(Table1[[#This Row],[Destination - Distrelec]],_xlfn.CONCAT("Link (",Table1[[#This Row],[Distrelec]],")")))</f>
        <v/>
      </c>
      <c r="X226" s="62" t="str">
        <f>_xlfn.CONCAT("https://www.distrelec.ch/search?q=",Table1[[#This Row],[Distrelec]])</f>
        <v>https://www.distrelec.ch/search?q=</v>
      </c>
      <c r="Y226" s="57"/>
      <c r="Z226" s="59"/>
      <c r="AA226" s="61" t="str">
        <f>IF(Table1[[#This Row],[Conrad]]="","", HYPERLINK(Table1[[#This Row],[Destination - Conrad]],_xlfn.CONCAT("Link (",Table1[[#This Row],[Conrad]],")")))</f>
        <v/>
      </c>
      <c r="AB226" s="62"/>
      <c r="AC226" s="57"/>
      <c r="AD226" s="59"/>
      <c r="AE226" s="61" t="str">
        <f>IF(Table1[[#This Row],[Mouser]]="","", HYPERLINK(Table1[[#This Row],[Destination - Mouser]],_xlfn.CONCAT("Link (",Table1[[#This Row],[Mouser]],")")))</f>
        <v/>
      </c>
      <c r="AF226" s="62" t="str">
        <f>_xlfn.CONCAT("https://www.mouser.ch/ProductDetail/",Table1[[#This Row],[Mouser]])</f>
        <v>https://www.mouser.ch/ProductDetail/</v>
      </c>
      <c r="AG226" s="57"/>
      <c r="AH226" s="59"/>
      <c r="AI226" s="61" t="str">
        <f>IF(Table1[[#This Row],[Bauhaus]]="","", HYPERLINK(Table1[[#This Row],[Destination - Bauhaus]],_xlfn.CONCAT("Link (",Table1[[#This Row],[Bauhaus]],")")))</f>
        <v/>
      </c>
      <c r="AJ226" s="62" t="str">
        <f>_xlfn.CONCAT("https://www.bauhaus.ch/fr/search?query=",Table1[[#This Row],[Bauhaus]])</f>
        <v>https://www.bauhaus.ch/fr/search?query=</v>
      </c>
      <c r="AK226" s="59"/>
      <c r="AL226" s="59"/>
      <c r="AM226" s="61" t="str">
        <f>IF(Table1[[#This Row],[BricoEtLoisirs]]="","", HYPERLINK(Table1[[#This Row],[Destination - BricoEtLoisirs]],_xlfn.CONCAT("Link (",Table1[[#This Row],[BricoEtLoisirs]],")")))</f>
        <v/>
      </c>
      <c r="AN226" s="62" t="str">
        <f>_xlfn.CONCAT("https://bricoetloisirs.ch/p/",Table1[[#This Row],[BricoEtLoisirs]])</f>
        <v>https://bricoetloisirs.ch/p/</v>
      </c>
      <c r="AO226" s="57"/>
      <c r="AP226" s="59"/>
      <c r="AQ226" s="61" t="str">
        <f>IF(Table1[[#This Row],[Aliexpress]]="","", HYPERLINK(Table1[[#This Row],[Destination - Aliexpress]],_xlfn.CONCAT("Link (",Table1[[#This Row],[Aliexpress]],")")))</f>
        <v/>
      </c>
      <c r="AR226" s="62" t="str">
        <f>_xlfn.CONCAT("https://www.aliexpress.com/item/",Table1[[#This Row],[Aliexpress]],".html")</f>
        <v>https://www.aliexpress.com/item/.html</v>
      </c>
      <c r="AS226" s="57"/>
      <c r="AT226" s="59"/>
      <c r="AU226" s="61" t="str">
        <f>IF(Table1[[#This Row],[Banggood]]="","", HYPERLINK(Table1[[#This Row],[Destination - Banggood]],_xlfn.CONCAT("Link (",Table1[[#This Row],[Banggood]],")")))</f>
        <v/>
      </c>
      <c r="AV226" s="62" t="str">
        <f>_xlfn.CONCAT("https://www.banggood.com/search/",Table1[[#This Row],[Banggood]],".html")</f>
        <v>https://www.banggood.com/search/.html</v>
      </c>
      <c r="AW226" s="59" t="str">
        <f>IF(Table1[[#This Row],[Other]]&lt;&gt;"","Other","")</f>
        <v/>
      </c>
      <c r="AX226" s="57"/>
      <c r="AY226" s="59"/>
      <c r="AZ226" s="61" t="str">
        <f>IF(Table1[[#This Row],[Other]]="","",IF(Table1[[#This Row],[Destination - Other]]="","",HYPERLINK(Table1[[#This Row],[Destination - Other]],_xlfn.CONCAT("Link ("&amp;Table1[[#This Row],[Other]]&amp;")"))))</f>
        <v/>
      </c>
      <c r="BA226" s="59"/>
      <c r="BB226" s="58" t="str">
        <f>IF(AND( Table1[[#This Row],[Auto Order]]=1,Table1[[#This Row],[Obsolete]]=""),IF(Table1[[#This Row],[In stock]]&lt;Table1[[#This Row],[Min in stock]],1,""),"")</f>
        <v/>
      </c>
      <c r="BC226" s="64"/>
      <c r="BD226" s="66" t="str">
        <f>IF(Table1[[#This Row],[Obsolete]],Table1[[#This Row],[Art. Number]],"")</f>
        <v/>
      </c>
    </row>
    <row r="227" spans="1:56" x14ac:dyDescent="0.25">
      <c r="A227" s="65" t="s">
        <v>1335</v>
      </c>
      <c r="B227" s="57" t="s">
        <v>168</v>
      </c>
      <c r="C227" s="57" t="s">
        <v>97</v>
      </c>
      <c r="D227" s="57" t="s">
        <v>1336</v>
      </c>
      <c r="E227" s="57" t="s">
        <v>151</v>
      </c>
      <c r="F227" s="58">
        <v>0</v>
      </c>
      <c r="G227" s="58"/>
      <c r="H227" s="58"/>
      <c r="I22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RHM18DCT-ND</v>
      </c>
      <c r="J22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(RHM18DCT-ND)</v>
      </c>
      <c r="M227" s="57" t="s">
        <v>1337</v>
      </c>
      <c r="N227" s="59">
        <v>0.1</v>
      </c>
      <c r="O227" s="61" t="str">
        <f>IF(Table1[[#This Row],[Digikey]]="","", HYPERLINK(Table1[[#This Row],[Destination - Digikey]],_xlfn.CONCAT("Link (",Table1[[#This Row],[Digikey]],")")))</f>
        <v>Link (RHM18DCT-ND)</v>
      </c>
      <c r="P227" s="62" t="str">
        <f>_xlfn.CONCAT("https://www.digikey.ch/products/en?keywords=",Table1[[#This Row],[Digikey]])</f>
        <v>https://www.digikey.ch/products/en?keywords=RHM18DCT-ND</v>
      </c>
      <c r="Q227" s="57"/>
      <c r="R227" s="59"/>
      <c r="S227" s="61" t="str">
        <f>IF(Table1[[#This Row],[Farnell]]="","", HYPERLINK(Table1[[#This Row],[Destination - Farnell]],_xlfn.CONCAT("Link (",Table1[[#This Row],[Farnell]],")")))</f>
        <v/>
      </c>
      <c r="T227" s="62" t="str">
        <f>_xlfn.CONCAT("https://ch.farnell.com/fr-CH/",Table1[[#This Row],[Farnell]])</f>
        <v>https://ch.farnell.com/fr-CH/</v>
      </c>
      <c r="U227" s="57"/>
      <c r="V227" s="59"/>
      <c r="W227" s="61" t="str">
        <f>IF(Table1[[#This Row],[Distrelec]]="","", HYPERLINK(Table1[[#This Row],[Destination - Distrelec]],_xlfn.CONCAT("Link (",Table1[[#This Row],[Distrelec]],")")))</f>
        <v/>
      </c>
      <c r="X227" s="62" t="str">
        <f>_xlfn.CONCAT("https://www.distrelec.ch/search?q=",Table1[[#This Row],[Distrelec]])</f>
        <v>https://www.distrelec.ch/search?q=</v>
      </c>
      <c r="Y227" s="57"/>
      <c r="Z227" s="59"/>
      <c r="AA227" s="61" t="str">
        <f>IF(Table1[[#This Row],[Conrad]]="","", HYPERLINK(Table1[[#This Row],[Destination - Conrad]],_xlfn.CONCAT("Link (",Table1[[#This Row],[Conrad]],")")))</f>
        <v/>
      </c>
      <c r="AB227" s="62"/>
      <c r="AC227" s="57"/>
      <c r="AD227" s="59"/>
      <c r="AE227" s="61" t="str">
        <f>IF(Table1[[#This Row],[Mouser]]="","", HYPERLINK(Table1[[#This Row],[Destination - Mouser]],_xlfn.CONCAT("Link (",Table1[[#This Row],[Mouser]],")")))</f>
        <v/>
      </c>
      <c r="AF227" s="62" t="str">
        <f>_xlfn.CONCAT("https://www.mouser.ch/ProductDetail/",Table1[[#This Row],[Mouser]])</f>
        <v>https://www.mouser.ch/ProductDetail/</v>
      </c>
      <c r="AG227" s="57"/>
      <c r="AH227" s="59"/>
      <c r="AI227" s="61" t="str">
        <f>IF(Table1[[#This Row],[Bauhaus]]="","", HYPERLINK(Table1[[#This Row],[Destination - Bauhaus]],_xlfn.CONCAT("Link (",Table1[[#This Row],[Bauhaus]],")")))</f>
        <v/>
      </c>
      <c r="AJ227" s="62" t="str">
        <f>_xlfn.CONCAT("https://www.bauhaus.ch/fr/search?query=",Table1[[#This Row],[Bauhaus]])</f>
        <v>https://www.bauhaus.ch/fr/search?query=</v>
      </c>
      <c r="AK227" s="59"/>
      <c r="AL227" s="59"/>
      <c r="AM227" s="61" t="str">
        <f>IF(Table1[[#This Row],[BricoEtLoisirs]]="","", HYPERLINK(Table1[[#This Row],[Destination - BricoEtLoisirs]],_xlfn.CONCAT("Link (",Table1[[#This Row],[BricoEtLoisirs]],")")))</f>
        <v/>
      </c>
      <c r="AN227" s="62" t="str">
        <f>_xlfn.CONCAT("https://bricoetloisirs.ch/p/",Table1[[#This Row],[BricoEtLoisirs]])</f>
        <v>https://bricoetloisirs.ch/p/</v>
      </c>
      <c r="AO227" s="57"/>
      <c r="AP227" s="59"/>
      <c r="AQ227" s="61" t="str">
        <f>IF(Table1[[#This Row],[Aliexpress]]="","", HYPERLINK(Table1[[#This Row],[Destination - Aliexpress]],_xlfn.CONCAT("Link (",Table1[[#This Row],[Aliexpress]],")")))</f>
        <v/>
      </c>
      <c r="AR227" s="62" t="str">
        <f>_xlfn.CONCAT("https://www.aliexpress.com/item/",Table1[[#This Row],[Aliexpress]],".html")</f>
        <v>https://www.aliexpress.com/item/.html</v>
      </c>
      <c r="AS227" s="57"/>
      <c r="AT227" s="59"/>
      <c r="AU227" s="61" t="str">
        <f>IF(Table1[[#This Row],[Banggood]]="","", HYPERLINK(Table1[[#This Row],[Destination - Banggood]],_xlfn.CONCAT("Link (",Table1[[#This Row],[Banggood]],")")))</f>
        <v/>
      </c>
      <c r="AV227" s="62" t="str">
        <f>_xlfn.CONCAT("https://www.banggood.com/search/",Table1[[#This Row],[Banggood]],".html")</f>
        <v>https://www.banggood.com/search/.html</v>
      </c>
      <c r="AW227" s="59" t="str">
        <f>IF(Table1[[#This Row],[Other]]&lt;&gt;"","Other","")</f>
        <v/>
      </c>
      <c r="AX227" s="57"/>
      <c r="AY227" s="59"/>
      <c r="AZ227" s="61" t="str">
        <f>IF(Table1[[#This Row],[Other]]="","",IF(Table1[[#This Row],[Destination - Other]]="","",HYPERLINK(Table1[[#This Row],[Destination - Other]],_xlfn.CONCAT("Link ("&amp;Table1[[#This Row],[Other]]&amp;")"))))</f>
        <v/>
      </c>
      <c r="BA227" s="59"/>
      <c r="BB227" s="58" t="str">
        <f>IF(AND( Table1[[#This Row],[Auto Order]]=1,Table1[[#This Row],[Obsolete]]=""),IF(Table1[[#This Row],[In stock]]&lt;Table1[[#This Row],[Min in stock]],1,""),"")</f>
        <v/>
      </c>
      <c r="BC227" s="64"/>
      <c r="BD227" s="66" t="str">
        <f>IF(Table1[[#This Row],[Obsolete]],Table1[[#This Row],[Art. Number]],"")</f>
        <v/>
      </c>
    </row>
    <row r="228" spans="1:56" x14ac:dyDescent="0.25">
      <c r="A228" s="65" t="s">
        <v>188</v>
      </c>
      <c r="B228" s="57" t="s">
        <v>168</v>
      </c>
      <c r="C228" s="57" t="s">
        <v>1341</v>
      </c>
      <c r="D228" s="57" t="s">
        <v>1342</v>
      </c>
      <c r="E228" s="57" t="s">
        <v>151</v>
      </c>
      <c r="F228" s="58">
        <v>17</v>
      </c>
      <c r="G228" s="58">
        <v>10</v>
      </c>
      <c r="H228" s="58">
        <v>1</v>
      </c>
      <c r="I22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RHM180DCT-ND</v>
      </c>
      <c r="J22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(RHM180DCT-ND)</v>
      </c>
      <c r="M228" s="57" t="s">
        <v>1343</v>
      </c>
      <c r="N228" s="59">
        <v>0.1</v>
      </c>
      <c r="O228" s="61" t="str">
        <f>IF(Table1[[#This Row],[Digikey]]="","", HYPERLINK(Table1[[#This Row],[Destination - Digikey]],_xlfn.CONCAT("Link (",Table1[[#This Row],[Digikey]],")")))</f>
        <v>Link (RHM180DCT-ND)</v>
      </c>
      <c r="P228" s="62" t="str">
        <f>_xlfn.CONCAT("https://www.digikey.ch/products/en?keywords=",Table1[[#This Row],[Digikey]])</f>
        <v>https://www.digikey.ch/products/en?keywords=RHM180DCT-ND</v>
      </c>
      <c r="Q228" s="57"/>
      <c r="R228" s="59"/>
      <c r="S228" s="61" t="str">
        <f>IF(Table1[[#This Row],[Farnell]]="","", HYPERLINK(Table1[[#This Row],[Destination - Farnell]],_xlfn.CONCAT("Link (",Table1[[#This Row],[Farnell]],")")))</f>
        <v/>
      </c>
      <c r="T228" s="62" t="str">
        <f>_xlfn.CONCAT("https://ch.farnell.com/fr-CH/",Table1[[#This Row],[Farnell]])</f>
        <v>https://ch.farnell.com/fr-CH/</v>
      </c>
      <c r="U228" s="57"/>
      <c r="V228" s="59"/>
      <c r="W228" s="61" t="str">
        <f>IF(Table1[[#This Row],[Distrelec]]="","", HYPERLINK(Table1[[#This Row],[Destination - Distrelec]],_xlfn.CONCAT("Link (",Table1[[#This Row],[Distrelec]],")")))</f>
        <v/>
      </c>
      <c r="X228" s="62" t="str">
        <f>_xlfn.CONCAT("https://www.distrelec.ch/search?q=",Table1[[#This Row],[Distrelec]])</f>
        <v>https://www.distrelec.ch/search?q=</v>
      </c>
      <c r="Y228" s="57"/>
      <c r="Z228" s="59"/>
      <c r="AA228" s="61" t="str">
        <f>IF(Table1[[#This Row],[Conrad]]="","", HYPERLINK(Table1[[#This Row],[Destination - Conrad]],_xlfn.CONCAT("Link (",Table1[[#This Row],[Conrad]],")")))</f>
        <v/>
      </c>
      <c r="AB228" s="62"/>
      <c r="AC228" s="57"/>
      <c r="AD228" s="59"/>
      <c r="AE228" s="61" t="str">
        <f>IF(Table1[[#This Row],[Mouser]]="","", HYPERLINK(Table1[[#This Row],[Destination - Mouser]],_xlfn.CONCAT("Link (",Table1[[#This Row],[Mouser]],")")))</f>
        <v/>
      </c>
      <c r="AF228" s="62" t="str">
        <f>_xlfn.CONCAT("https://www.mouser.ch/ProductDetail/",Table1[[#This Row],[Mouser]])</f>
        <v>https://www.mouser.ch/ProductDetail/</v>
      </c>
      <c r="AG228" s="57"/>
      <c r="AH228" s="59"/>
      <c r="AI228" s="61" t="str">
        <f>IF(Table1[[#This Row],[Bauhaus]]="","", HYPERLINK(Table1[[#This Row],[Destination - Bauhaus]],_xlfn.CONCAT("Link (",Table1[[#This Row],[Bauhaus]],")")))</f>
        <v/>
      </c>
      <c r="AJ228" s="62" t="str">
        <f>_xlfn.CONCAT("https://www.bauhaus.ch/fr/search?query=",Table1[[#This Row],[Bauhaus]])</f>
        <v>https://www.bauhaus.ch/fr/search?query=</v>
      </c>
      <c r="AK228" s="59"/>
      <c r="AL228" s="59"/>
      <c r="AM228" s="61" t="str">
        <f>IF(Table1[[#This Row],[BricoEtLoisirs]]="","", HYPERLINK(Table1[[#This Row],[Destination - BricoEtLoisirs]],_xlfn.CONCAT("Link (",Table1[[#This Row],[BricoEtLoisirs]],")")))</f>
        <v/>
      </c>
      <c r="AN228" s="62" t="str">
        <f>_xlfn.CONCAT("https://bricoetloisirs.ch/p/",Table1[[#This Row],[BricoEtLoisirs]])</f>
        <v>https://bricoetloisirs.ch/p/</v>
      </c>
      <c r="AO228" s="57"/>
      <c r="AP228" s="59"/>
      <c r="AQ228" s="61" t="str">
        <f>IF(Table1[[#This Row],[Aliexpress]]="","", HYPERLINK(Table1[[#This Row],[Destination - Aliexpress]],_xlfn.CONCAT("Link (",Table1[[#This Row],[Aliexpress]],")")))</f>
        <v/>
      </c>
      <c r="AR228" s="62" t="str">
        <f>_xlfn.CONCAT("https://www.aliexpress.com/item/",Table1[[#This Row],[Aliexpress]],".html")</f>
        <v>https://www.aliexpress.com/item/.html</v>
      </c>
      <c r="AS228" s="57"/>
      <c r="AT228" s="59"/>
      <c r="AU228" s="61" t="str">
        <f>IF(Table1[[#This Row],[Banggood]]="","", HYPERLINK(Table1[[#This Row],[Destination - Banggood]],_xlfn.CONCAT("Link (",Table1[[#This Row],[Banggood]],")")))</f>
        <v/>
      </c>
      <c r="AV228" s="62" t="str">
        <f>_xlfn.CONCAT("https://www.banggood.com/search/",Table1[[#This Row],[Banggood]],".html")</f>
        <v>https://www.banggood.com/search/.html</v>
      </c>
      <c r="AW228" s="59" t="str">
        <f>IF(Table1[[#This Row],[Other]]&lt;&gt;"","Other","")</f>
        <v/>
      </c>
      <c r="AX228" s="57"/>
      <c r="AY228" s="59"/>
      <c r="AZ228" s="61" t="str">
        <f>IF(Table1[[#This Row],[Other]]="","",IF(Table1[[#This Row],[Destination - Other]]="","",HYPERLINK(Table1[[#This Row],[Destination - Other]],_xlfn.CONCAT("Link ("&amp;Table1[[#This Row],[Other]]&amp;")"))))</f>
        <v/>
      </c>
      <c r="BA228" s="59"/>
      <c r="BB228" s="58" t="str">
        <f>IF(AND( Table1[[#This Row],[Auto Order]]=1,Table1[[#This Row],[Obsolete]]=""),IF(Table1[[#This Row],[In stock]]&lt;Table1[[#This Row],[Min in stock]],1,""),"")</f>
        <v/>
      </c>
      <c r="BC228" s="64"/>
      <c r="BD228" s="66" t="str">
        <f>IF(Table1[[#This Row],[Obsolete]],Table1[[#This Row],[Art. Number]],"")</f>
        <v/>
      </c>
    </row>
    <row r="229" spans="1:56" x14ac:dyDescent="0.25">
      <c r="A229" s="65" t="s">
        <v>1347</v>
      </c>
      <c r="B229" s="57" t="s">
        <v>168</v>
      </c>
      <c r="C229" s="57" t="s">
        <v>1348</v>
      </c>
      <c r="D229" s="57" t="s">
        <v>1349</v>
      </c>
      <c r="E229" s="57" t="s">
        <v>151</v>
      </c>
      <c r="F229" s="58">
        <v>10</v>
      </c>
      <c r="G229" s="58">
        <v>10</v>
      </c>
      <c r="H229" s="58">
        <v>1</v>
      </c>
      <c r="I22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RHM1.8KDCT-ND</v>
      </c>
      <c r="J22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2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2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(RHM1.8KDCT-ND)</v>
      </c>
      <c r="M229" s="57" t="s">
        <v>1350</v>
      </c>
      <c r="N229" s="59">
        <v>0.1</v>
      </c>
      <c r="O229" s="61" t="str">
        <f>IF(Table1[[#This Row],[Digikey]]="","", HYPERLINK(Table1[[#This Row],[Destination - Digikey]],_xlfn.CONCAT("Link (",Table1[[#This Row],[Digikey]],")")))</f>
        <v>Link (RHM1.8KDCT-ND)</v>
      </c>
      <c r="P229" s="62" t="str">
        <f>_xlfn.CONCAT("https://www.digikey.ch/products/en?keywords=",Table1[[#This Row],[Digikey]])</f>
        <v>https://www.digikey.ch/products/en?keywords=RHM1.8KDCT-ND</v>
      </c>
      <c r="Q229" s="57"/>
      <c r="R229" s="59"/>
      <c r="S229" s="61" t="str">
        <f>IF(Table1[[#This Row],[Farnell]]="","", HYPERLINK(Table1[[#This Row],[Destination - Farnell]],_xlfn.CONCAT("Link (",Table1[[#This Row],[Farnell]],")")))</f>
        <v/>
      </c>
      <c r="T229" s="62" t="str">
        <f>_xlfn.CONCAT("https://ch.farnell.com/fr-CH/",Table1[[#This Row],[Farnell]])</f>
        <v>https://ch.farnell.com/fr-CH/</v>
      </c>
      <c r="U229" s="57"/>
      <c r="V229" s="59"/>
      <c r="W229" s="61" t="str">
        <f>IF(Table1[[#This Row],[Distrelec]]="","", HYPERLINK(Table1[[#This Row],[Destination - Distrelec]],_xlfn.CONCAT("Link (",Table1[[#This Row],[Distrelec]],")")))</f>
        <v/>
      </c>
      <c r="X229" s="62" t="str">
        <f>_xlfn.CONCAT("https://www.distrelec.ch/search?q=",Table1[[#This Row],[Distrelec]])</f>
        <v>https://www.distrelec.ch/search?q=</v>
      </c>
      <c r="Y229" s="57"/>
      <c r="Z229" s="59"/>
      <c r="AA229" s="61" t="str">
        <f>IF(Table1[[#This Row],[Conrad]]="","", HYPERLINK(Table1[[#This Row],[Destination - Conrad]],_xlfn.CONCAT("Link (",Table1[[#This Row],[Conrad]],")")))</f>
        <v/>
      </c>
      <c r="AB229" s="62"/>
      <c r="AC229" s="57"/>
      <c r="AD229" s="59"/>
      <c r="AE229" s="61" t="str">
        <f>IF(Table1[[#This Row],[Mouser]]="","", HYPERLINK(Table1[[#This Row],[Destination - Mouser]],_xlfn.CONCAT("Link (",Table1[[#This Row],[Mouser]],")")))</f>
        <v/>
      </c>
      <c r="AF229" s="62" t="str">
        <f>_xlfn.CONCAT("https://www.mouser.ch/ProductDetail/",Table1[[#This Row],[Mouser]])</f>
        <v>https://www.mouser.ch/ProductDetail/</v>
      </c>
      <c r="AG229" s="57"/>
      <c r="AH229" s="59"/>
      <c r="AI229" s="61" t="str">
        <f>IF(Table1[[#This Row],[Bauhaus]]="","", HYPERLINK(Table1[[#This Row],[Destination - Bauhaus]],_xlfn.CONCAT("Link (",Table1[[#This Row],[Bauhaus]],")")))</f>
        <v/>
      </c>
      <c r="AJ229" s="62" t="str">
        <f>_xlfn.CONCAT("https://www.bauhaus.ch/fr/search?query=",Table1[[#This Row],[Bauhaus]])</f>
        <v>https://www.bauhaus.ch/fr/search?query=</v>
      </c>
      <c r="AK229" s="59"/>
      <c r="AL229" s="59"/>
      <c r="AM229" s="61" t="str">
        <f>IF(Table1[[#This Row],[BricoEtLoisirs]]="","", HYPERLINK(Table1[[#This Row],[Destination - BricoEtLoisirs]],_xlfn.CONCAT("Link (",Table1[[#This Row],[BricoEtLoisirs]],")")))</f>
        <v/>
      </c>
      <c r="AN229" s="62" t="str">
        <f>_xlfn.CONCAT("https://bricoetloisirs.ch/p/",Table1[[#This Row],[BricoEtLoisirs]])</f>
        <v>https://bricoetloisirs.ch/p/</v>
      </c>
      <c r="AO229" s="57"/>
      <c r="AP229" s="59"/>
      <c r="AQ229" s="61" t="str">
        <f>IF(Table1[[#This Row],[Aliexpress]]="","", HYPERLINK(Table1[[#This Row],[Destination - Aliexpress]],_xlfn.CONCAT("Link (",Table1[[#This Row],[Aliexpress]],")")))</f>
        <v/>
      </c>
      <c r="AR229" s="62" t="str">
        <f>_xlfn.CONCAT("https://www.aliexpress.com/item/",Table1[[#This Row],[Aliexpress]],".html")</f>
        <v>https://www.aliexpress.com/item/.html</v>
      </c>
      <c r="AS229" s="57"/>
      <c r="AT229" s="59"/>
      <c r="AU229" s="61" t="str">
        <f>IF(Table1[[#This Row],[Banggood]]="","", HYPERLINK(Table1[[#This Row],[Destination - Banggood]],_xlfn.CONCAT("Link (",Table1[[#This Row],[Banggood]],")")))</f>
        <v/>
      </c>
      <c r="AV229" s="62" t="str">
        <f>_xlfn.CONCAT("https://www.banggood.com/search/",Table1[[#This Row],[Banggood]],".html")</f>
        <v>https://www.banggood.com/search/.html</v>
      </c>
      <c r="AW229" s="59" t="str">
        <f>IF(Table1[[#This Row],[Other]]&lt;&gt;"","Other","")</f>
        <v/>
      </c>
      <c r="AX229" s="57"/>
      <c r="AY229" s="59"/>
      <c r="AZ229" s="61" t="str">
        <f>IF(Table1[[#This Row],[Other]]="","",IF(Table1[[#This Row],[Destination - Other]]="","",HYPERLINK(Table1[[#This Row],[Destination - Other]],_xlfn.CONCAT("Link ("&amp;Table1[[#This Row],[Other]]&amp;")"))))</f>
        <v/>
      </c>
      <c r="BA229" s="59"/>
      <c r="BB229" s="58" t="str">
        <f>IF(AND( Table1[[#This Row],[Auto Order]]=1,Table1[[#This Row],[Obsolete]]=""),IF(Table1[[#This Row],[In stock]]&lt;Table1[[#This Row],[Min in stock]],1,""),"")</f>
        <v/>
      </c>
      <c r="BC229" s="64"/>
      <c r="BD229" s="66" t="str">
        <f>IF(Table1[[#This Row],[Obsolete]],Table1[[#This Row],[Art. Number]],"")</f>
        <v/>
      </c>
    </row>
    <row r="230" spans="1:56" x14ac:dyDescent="0.25">
      <c r="A230" s="65" t="s">
        <v>1354</v>
      </c>
      <c r="B230" s="57" t="s">
        <v>168</v>
      </c>
      <c r="C230" s="57" t="s">
        <v>97</v>
      </c>
      <c r="D230" s="57" t="s">
        <v>1355</v>
      </c>
      <c r="E230" s="57" t="s">
        <v>151</v>
      </c>
      <c r="F230" s="58">
        <v>0</v>
      </c>
      <c r="G230" s="58"/>
      <c r="H230" s="58"/>
      <c r="I23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RHM18KDCT-ND</v>
      </c>
      <c r="J23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(RHM18KDCT-ND)</v>
      </c>
      <c r="M230" s="57" t="s">
        <v>1356</v>
      </c>
      <c r="N230" s="59">
        <v>0.1</v>
      </c>
      <c r="O230" s="61" t="str">
        <f>IF(Table1[[#This Row],[Digikey]]="","", HYPERLINK(Table1[[#This Row],[Destination - Digikey]],_xlfn.CONCAT("Link (",Table1[[#This Row],[Digikey]],")")))</f>
        <v>Link (RHM18KDCT-ND)</v>
      </c>
      <c r="P230" s="62" t="str">
        <f>_xlfn.CONCAT("https://www.digikey.ch/products/en?keywords=",Table1[[#This Row],[Digikey]])</f>
        <v>https://www.digikey.ch/products/en?keywords=RHM18KDCT-ND</v>
      </c>
      <c r="Q230" s="57"/>
      <c r="R230" s="59"/>
      <c r="S230" s="61" t="str">
        <f>IF(Table1[[#This Row],[Farnell]]="","", HYPERLINK(Table1[[#This Row],[Destination - Farnell]],_xlfn.CONCAT("Link (",Table1[[#This Row],[Farnell]],")")))</f>
        <v/>
      </c>
      <c r="T230" s="62" t="str">
        <f>_xlfn.CONCAT("https://ch.farnell.com/fr-CH/",Table1[[#This Row],[Farnell]])</f>
        <v>https://ch.farnell.com/fr-CH/</v>
      </c>
      <c r="U230" s="57"/>
      <c r="V230" s="59"/>
      <c r="W230" s="61" t="str">
        <f>IF(Table1[[#This Row],[Distrelec]]="","", HYPERLINK(Table1[[#This Row],[Destination - Distrelec]],_xlfn.CONCAT("Link (",Table1[[#This Row],[Distrelec]],")")))</f>
        <v/>
      </c>
      <c r="X230" s="62" t="str">
        <f>_xlfn.CONCAT("https://www.distrelec.ch/search?q=",Table1[[#This Row],[Distrelec]])</f>
        <v>https://www.distrelec.ch/search?q=</v>
      </c>
      <c r="Y230" s="57"/>
      <c r="Z230" s="59"/>
      <c r="AA230" s="61" t="str">
        <f>IF(Table1[[#This Row],[Conrad]]="","", HYPERLINK(Table1[[#This Row],[Destination - Conrad]],_xlfn.CONCAT("Link (",Table1[[#This Row],[Conrad]],")")))</f>
        <v/>
      </c>
      <c r="AB230" s="62"/>
      <c r="AC230" s="57"/>
      <c r="AD230" s="59"/>
      <c r="AE230" s="61" t="str">
        <f>IF(Table1[[#This Row],[Mouser]]="","", HYPERLINK(Table1[[#This Row],[Destination - Mouser]],_xlfn.CONCAT("Link (",Table1[[#This Row],[Mouser]],")")))</f>
        <v/>
      </c>
      <c r="AF230" s="62" t="str">
        <f>_xlfn.CONCAT("https://www.mouser.ch/ProductDetail/",Table1[[#This Row],[Mouser]])</f>
        <v>https://www.mouser.ch/ProductDetail/</v>
      </c>
      <c r="AG230" s="57"/>
      <c r="AH230" s="59"/>
      <c r="AI230" s="61" t="str">
        <f>IF(Table1[[#This Row],[Bauhaus]]="","", HYPERLINK(Table1[[#This Row],[Destination - Bauhaus]],_xlfn.CONCAT("Link (",Table1[[#This Row],[Bauhaus]],")")))</f>
        <v/>
      </c>
      <c r="AJ230" s="62" t="str">
        <f>_xlfn.CONCAT("https://www.bauhaus.ch/fr/search?query=",Table1[[#This Row],[Bauhaus]])</f>
        <v>https://www.bauhaus.ch/fr/search?query=</v>
      </c>
      <c r="AK230" s="59"/>
      <c r="AL230" s="59"/>
      <c r="AM230" s="61" t="str">
        <f>IF(Table1[[#This Row],[BricoEtLoisirs]]="","", HYPERLINK(Table1[[#This Row],[Destination - BricoEtLoisirs]],_xlfn.CONCAT("Link (",Table1[[#This Row],[BricoEtLoisirs]],")")))</f>
        <v/>
      </c>
      <c r="AN230" s="62" t="str">
        <f>_xlfn.CONCAT("https://bricoetloisirs.ch/p/",Table1[[#This Row],[BricoEtLoisirs]])</f>
        <v>https://bricoetloisirs.ch/p/</v>
      </c>
      <c r="AO230" s="57"/>
      <c r="AP230" s="59"/>
      <c r="AQ230" s="61" t="str">
        <f>IF(Table1[[#This Row],[Aliexpress]]="","", HYPERLINK(Table1[[#This Row],[Destination - Aliexpress]],_xlfn.CONCAT("Link (",Table1[[#This Row],[Aliexpress]],")")))</f>
        <v/>
      </c>
      <c r="AR230" s="62" t="str">
        <f>_xlfn.CONCAT("https://www.aliexpress.com/item/",Table1[[#This Row],[Aliexpress]],".html")</f>
        <v>https://www.aliexpress.com/item/.html</v>
      </c>
      <c r="AS230" s="57"/>
      <c r="AT230" s="59"/>
      <c r="AU230" s="61" t="str">
        <f>IF(Table1[[#This Row],[Banggood]]="","", HYPERLINK(Table1[[#This Row],[Destination - Banggood]],_xlfn.CONCAT("Link (",Table1[[#This Row],[Banggood]],")")))</f>
        <v/>
      </c>
      <c r="AV230" s="62" t="str">
        <f>_xlfn.CONCAT("https://www.banggood.com/search/",Table1[[#This Row],[Banggood]],".html")</f>
        <v>https://www.banggood.com/search/.html</v>
      </c>
      <c r="AW230" s="59" t="str">
        <f>IF(Table1[[#This Row],[Other]]&lt;&gt;"","Other","")</f>
        <v/>
      </c>
      <c r="AX230" s="57"/>
      <c r="AY230" s="59"/>
      <c r="AZ230" s="61" t="str">
        <f>IF(Table1[[#This Row],[Other]]="","",IF(Table1[[#This Row],[Destination - Other]]="","",HYPERLINK(Table1[[#This Row],[Destination - Other]],_xlfn.CONCAT("Link ("&amp;Table1[[#This Row],[Other]]&amp;")"))))</f>
        <v/>
      </c>
      <c r="BA230" s="59"/>
      <c r="BB230" s="58" t="str">
        <f>IF(AND( Table1[[#This Row],[Auto Order]]=1,Table1[[#This Row],[Obsolete]]=""),IF(Table1[[#This Row],[In stock]]&lt;Table1[[#This Row],[Min in stock]],1,""),"")</f>
        <v/>
      </c>
      <c r="BC230" s="64"/>
      <c r="BD230" s="66" t="str">
        <f>IF(Table1[[#This Row],[Obsolete]],Table1[[#This Row],[Art. Number]],"")</f>
        <v/>
      </c>
    </row>
    <row r="231" spans="1:56" x14ac:dyDescent="0.25">
      <c r="A231" s="65" t="s">
        <v>1360</v>
      </c>
      <c r="B231" s="57" t="s">
        <v>168</v>
      </c>
      <c r="C231" s="57" t="s">
        <v>97</v>
      </c>
      <c r="D231" s="57" t="s">
        <v>1361</v>
      </c>
      <c r="E231" s="57" t="s">
        <v>151</v>
      </c>
      <c r="F231" s="58">
        <v>0</v>
      </c>
      <c r="G231" s="58"/>
      <c r="H231" s="58"/>
      <c r="I23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RHM180KDCT-ND</v>
      </c>
      <c r="J23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(RHM180KDCT-ND)</v>
      </c>
      <c r="M231" s="57" t="s">
        <v>1362</v>
      </c>
      <c r="N231" s="59">
        <v>0.1</v>
      </c>
      <c r="O231" s="61" t="str">
        <f>IF(Table1[[#This Row],[Digikey]]="","", HYPERLINK(Table1[[#This Row],[Destination - Digikey]],_xlfn.CONCAT("Link (",Table1[[#This Row],[Digikey]],")")))</f>
        <v>Link (RHM180KDCT-ND)</v>
      </c>
      <c r="P231" s="62" t="str">
        <f>_xlfn.CONCAT("https://www.digikey.ch/products/en?keywords=",Table1[[#This Row],[Digikey]])</f>
        <v>https://www.digikey.ch/products/en?keywords=RHM180KDCT-ND</v>
      </c>
      <c r="Q231" s="57"/>
      <c r="R231" s="59"/>
      <c r="S231" s="61" t="str">
        <f>IF(Table1[[#This Row],[Farnell]]="","", HYPERLINK(Table1[[#This Row],[Destination - Farnell]],_xlfn.CONCAT("Link (",Table1[[#This Row],[Farnell]],")")))</f>
        <v/>
      </c>
      <c r="T231" s="62" t="str">
        <f>_xlfn.CONCAT("https://ch.farnell.com/fr-CH/",Table1[[#This Row],[Farnell]])</f>
        <v>https://ch.farnell.com/fr-CH/</v>
      </c>
      <c r="U231" s="57"/>
      <c r="V231" s="59"/>
      <c r="W231" s="61" t="str">
        <f>IF(Table1[[#This Row],[Distrelec]]="","", HYPERLINK(Table1[[#This Row],[Destination - Distrelec]],_xlfn.CONCAT("Link (",Table1[[#This Row],[Distrelec]],")")))</f>
        <v/>
      </c>
      <c r="X231" s="62" t="str">
        <f>_xlfn.CONCAT("https://www.distrelec.ch/search?q=",Table1[[#This Row],[Distrelec]])</f>
        <v>https://www.distrelec.ch/search?q=</v>
      </c>
      <c r="Y231" s="57"/>
      <c r="Z231" s="59"/>
      <c r="AA231" s="61" t="str">
        <f>IF(Table1[[#This Row],[Conrad]]="","", HYPERLINK(Table1[[#This Row],[Destination - Conrad]],_xlfn.CONCAT("Link (",Table1[[#This Row],[Conrad]],")")))</f>
        <v/>
      </c>
      <c r="AB231" s="62"/>
      <c r="AC231" s="57"/>
      <c r="AD231" s="59"/>
      <c r="AE231" s="61" t="str">
        <f>IF(Table1[[#This Row],[Mouser]]="","", HYPERLINK(Table1[[#This Row],[Destination - Mouser]],_xlfn.CONCAT("Link (",Table1[[#This Row],[Mouser]],")")))</f>
        <v/>
      </c>
      <c r="AF231" s="62" t="str">
        <f>_xlfn.CONCAT("https://www.mouser.ch/ProductDetail/",Table1[[#This Row],[Mouser]])</f>
        <v>https://www.mouser.ch/ProductDetail/</v>
      </c>
      <c r="AG231" s="57"/>
      <c r="AH231" s="59"/>
      <c r="AI231" s="61" t="str">
        <f>IF(Table1[[#This Row],[Bauhaus]]="","", HYPERLINK(Table1[[#This Row],[Destination - Bauhaus]],_xlfn.CONCAT("Link (",Table1[[#This Row],[Bauhaus]],")")))</f>
        <v/>
      </c>
      <c r="AJ231" s="62" t="str">
        <f>_xlfn.CONCAT("https://www.bauhaus.ch/fr/search?query=",Table1[[#This Row],[Bauhaus]])</f>
        <v>https://www.bauhaus.ch/fr/search?query=</v>
      </c>
      <c r="AK231" s="59"/>
      <c r="AL231" s="59"/>
      <c r="AM231" s="61" t="str">
        <f>IF(Table1[[#This Row],[BricoEtLoisirs]]="","", HYPERLINK(Table1[[#This Row],[Destination - BricoEtLoisirs]],_xlfn.CONCAT("Link (",Table1[[#This Row],[BricoEtLoisirs]],")")))</f>
        <v/>
      </c>
      <c r="AN231" s="62" t="str">
        <f>_xlfn.CONCAT("https://bricoetloisirs.ch/p/",Table1[[#This Row],[BricoEtLoisirs]])</f>
        <v>https://bricoetloisirs.ch/p/</v>
      </c>
      <c r="AO231" s="57"/>
      <c r="AP231" s="59"/>
      <c r="AQ231" s="61" t="str">
        <f>IF(Table1[[#This Row],[Aliexpress]]="","", HYPERLINK(Table1[[#This Row],[Destination - Aliexpress]],_xlfn.CONCAT("Link (",Table1[[#This Row],[Aliexpress]],")")))</f>
        <v/>
      </c>
      <c r="AR231" s="62" t="str">
        <f>_xlfn.CONCAT("https://www.aliexpress.com/item/",Table1[[#This Row],[Aliexpress]],".html")</f>
        <v>https://www.aliexpress.com/item/.html</v>
      </c>
      <c r="AS231" s="57"/>
      <c r="AT231" s="59"/>
      <c r="AU231" s="61" t="str">
        <f>IF(Table1[[#This Row],[Banggood]]="","", HYPERLINK(Table1[[#This Row],[Destination - Banggood]],_xlfn.CONCAT("Link (",Table1[[#This Row],[Banggood]],")")))</f>
        <v/>
      </c>
      <c r="AV231" s="62" t="str">
        <f>_xlfn.CONCAT("https://www.banggood.com/search/",Table1[[#This Row],[Banggood]],".html")</f>
        <v>https://www.banggood.com/search/.html</v>
      </c>
      <c r="AW231" s="59" t="str">
        <f>IF(Table1[[#This Row],[Other]]&lt;&gt;"","Other","")</f>
        <v/>
      </c>
      <c r="AX231" s="57"/>
      <c r="AY231" s="59"/>
      <c r="AZ231" s="61" t="str">
        <f>IF(Table1[[#This Row],[Other]]="","",IF(Table1[[#This Row],[Destination - Other]]="","",HYPERLINK(Table1[[#This Row],[Destination - Other]],_xlfn.CONCAT("Link ("&amp;Table1[[#This Row],[Other]]&amp;")"))))</f>
        <v/>
      </c>
      <c r="BA231" s="59"/>
      <c r="BB231" s="58" t="str">
        <f>IF(AND( Table1[[#This Row],[Auto Order]]=1,Table1[[#This Row],[Obsolete]]=""),IF(Table1[[#This Row],[In stock]]&lt;Table1[[#This Row],[Min in stock]],1,""),"")</f>
        <v/>
      </c>
      <c r="BC231" s="64"/>
      <c r="BD231" s="66" t="str">
        <f>IF(Table1[[#This Row],[Obsolete]],Table1[[#This Row],[Art. Number]],"")</f>
        <v/>
      </c>
    </row>
    <row r="232" spans="1:56" x14ac:dyDescent="0.25">
      <c r="A232" s="65" t="s">
        <v>1366</v>
      </c>
      <c r="B232" s="57" t="s">
        <v>168</v>
      </c>
      <c r="C232" s="57" t="s">
        <v>97</v>
      </c>
      <c r="D232" s="57" t="s">
        <v>1367</v>
      </c>
      <c r="E232" s="57" t="s">
        <v>151</v>
      </c>
      <c r="F232" s="58">
        <v>0</v>
      </c>
      <c r="G232" s="58"/>
      <c r="H232" s="58"/>
      <c r="I23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RHM1.8MDCT-ND</v>
      </c>
      <c r="J23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(RHM1.8MDCT-ND)</v>
      </c>
      <c r="M232" s="57" t="s">
        <v>1368</v>
      </c>
      <c r="N232" s="59">
        <v>0.1</v>
      </c>
      <c r="O232" s="61" t="str">
        <f>IF(Table1[[#This Row],[Digikey]]="","", HYPERLINK(Table1[[#This Row],[Destination - Digikey]],_xlfn.CONCAT("Link (",Table1[[#This Row],[Digikey]],")")))</f>
        <v>Link (RHM1.8MDCT-ND)</v>
      </c>
      <c r="P232" s="62" t="str">
        <f>_xlfn.CONCAT("https://www.digikey.ch/products/en?keywords=",Table1[[#This Row],[Digikey]])</f>
        <v>https://www.digikey.ch/products/en?keywords=RHM1.8MDCT-ND</v>
      </c>
      <c r="Q232" s="57"/>
      <c r="R232" s="59"/>
      <c r="S232" s="61" t="str">
        <f>IF(Table1[[#This Row],[Farnell]]="","", HYPERLINK(Table1[[#This Row],[Destination - Farnell]],_xlfn.CONCAT("Link (",Table1[[#This Row],[Farnell]],")")))</f>
        <v/>
      </c>
      <c r="T232" s="62" t="str">
        <f>_xlfn.CONCAT("https://ch.farnell.com/fr-CH/",Table1[[#This Row],[Farnell]])</f>
        <v>https://ch.farnell.com/fr-CH/</v>
      </c>
      <c r="U232" s="57"/>
      <c r="V232" s="59"/>
      <c r="W232" s="61" t="str">
        <f>IF(Table1[[#This Row],[Distrelec]]="","", HYPERLINK(Table1[[#This Row],[Destination - Distrelec]],_xlfn.CONCAT("Link (",Table1[[#This Row],[Distrelec]],")")))</f>
        <v/>
      </c>
      <c r="X232" s="62" t="str">
        <f>_xlfn.CONCAT("https://www.distrelec.ch/search?q=",Table1[[#This Row],[Distrelec]])</f>
        <v>https://www.distrelec.ch/search?q=</v>
      </c>
      <c r="Y232" s="57"/>
      <c r="Z232" s="59"/>
      <c r="AA232" s="61" t="str">
        <f>IF(Table1[[#This Row],[Conrad]]="","", HYPERLINK(Table1[[#This Row],[Destination - Conrad]],_xlfn.CONCAT("Link (",Table1[[#This Row],[Conrad]],")")))</f>
        <v/>
      </c>
      <c r="AB232" s="62"/>
      <c r="AC232" s="57"/>
      <c r="AD232" s="59"/>
      <c r="AE232" s="61" t="str">
        <f>IF(Table1[[#This Row],[Mouser]]="","", HYPERLINK(Table1[[#This Row],[Destination - Mouser]],_xlfn.CONCAT("Link (",Table1[[#This Row],[Mouser]],")")))</f>
        <v/>
      </c>
      <c r="AF232" s="62" t="str">
        <f>_xlfn.CONCAT("https://www.mouser.ch/ProductDetail/",Table1[[#This Row],[Mouser]])</f>
        <v>https://www.mouser.ch/ProductDetail/</v>
      </c>
      <c r="AG232" s="57"/>
      <c r="AH232" s="59"/>
      <c r="AI232" s="61" t="str">
        <f>IF(Table1[[#This Row],[Bauhaus]]="","", HYPERLINK(Table1[[#This Row],[Destination - Bauhaus]],_xlfn.CONCAT("Link (",Table1[[#This Row],[Bauhaus]],")")))</f>
        <v/>
      </c>
      <c r="AJ232" s="62" t="str">
        <f>_xlfn.CONCAT("https://www.bauhaus.ch/fr/search?query=",Table1[[#This Row],[Bauhaus]])</f>
        <v>https://www.bauhaus.ch/fr/search?query=</v>
      </c>
      <c r="AK232" s="59"/>
      <c r="AL232" s="59"/>
      <c r="AM232" s="61" t="str">
        <f>IF(Table1[[#This Row],[BricoEtLoisirs]]="","", HYPERLINK(Table1[[#This Row],[Destination - BricoEtLoisirs]],_xlfn.CONCAT("Link (",Table1[[#This Row],[BricoEtLoisirs]],")")))</f>
        <v/>
      </c>
      <c r="AN232" s="62" t="str">
        <f>_xlfn.CONCAT("https://bricoetloisirs.ch/p/",Table1[[#This Row],[BricoEtLoisirs]])</f>
        <v>https://bricoetloisirs.ch/p/</v>
      </c>
      <c r="AO232" s="57"/>
      <c r="AP232" s="59"/>
      <c r="AQ232" s="61" t="str">
        <f>IF(Table1[[#This Row],[Aliexpress]]="","", HYPERLINK(Table1[[#This Row],[Destination - Aliexpress]],_xlfn.CONCAT("Link (",Table1[[#This Row],[Aliexpress]],")")))</f>
        <v/>
      </c>
      <c r="AR232" s="62" t="str">
        <f>_xlfn.CONCAT("https://www.aliexpress.com/item/",Table1[[#This Row],[Aliexpress]],".html")</f>
        <v>https://www.aliexpress.com/item/.html</v>
      </c>
      <c r="AS232" s="57"/>
      <c r="AT232" s="59"/>
      <c r="AU232" s="61" t="str">
        <f>IF(Table1[[#This Row],[Banggood]]="","", HYPERLINK(Table1[[#This Row],[Destination - Banggood]],_xlfn.CONCAT("Link (",Table1[[#This Row],[Banggood]],")")))</f>
        <v/>
      </c>
      <c r="AV232" s="62" t="str">
        <f>_xlfn.CONCAT("https://www.banggood.com/search/",Table1[[#This Row],[Banggood]],".html")</f>
        <v>https://www.banggood.com/search/.html</v>
      </c>
      <c r="AW232" s="59" t="str">
        <f>IF(Table1[[#This Row],[Other]]&lt;&gt;"","Other","")</f>
        <v/>
      </c>
      <c r="AX232" s="57"/>
      <c r="AY232" s="59"/>
      <c r="AZ232" s="61" t="str">
        <f>IF(Table1[[#This Row],[Other]]="","",IF(Table1[[#This Row],[Destination - Other]]="","",HYPERLINK(Table1[[#This Row],[Destination - Other]],_xlfn.CONCAT("Link ("&amp;Table1[[#This Row],[Other]]&amp;")"))))</f>
        <v/>
      </c>
      <c r="BA232" s="59"/>
      <c r="BB232" s="58" t="str">
        <f>IF(AND( Table1[[#This Row],[Auto Order]]=1,Table1[[#This Row],[Obsolete]]=""),IF(Table1[[#This Row],[In stock]]&lt;Table1[[#This Row],[Min in stock]],1,""),"")</f>
        <v/>
      </c>
      <c r="BC232" s="64"/>
      <c r="BD232" s="66" t="str">
        <f>IF(Table1[[#This Row],[Obsolete]],Table1[[#This Row],[Art. Number]],"")</f>
        <v/>
      </c>
    </row>
    <row r="233" spans="1:56" x14ac:dyDescent="0.25">
      <c r="A233" s="65" t="s">
        <v>1372</v>
      </c>
      <c r="B233" s="57" t="s">
        <v>168</v>
      </c>
      <c r="C233" s="57" t="s">
        <v>97</v>
      </c>
      <c r="D233" s="57" t="s">
        <v>1373</v>
      </c>
      <c r="E233" s="57" t="s">
        <v>151</v>
      </c>
      <c r="F233" s="58">
        <v>0</v>
      </c>
      <c r="G233" s="58"/>
      <c r="H233" s="58"/>
      <c r="I23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RHM1DCT-ND</v>
      </c>
      <c r="J23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(RHM1DCT-ND)</v>
      </c>
      <c r="M233" s="57" t="s">
        <v>1374</v>
      </c>
      <c r="N233" s="59">
        <v>0.1</v>
      </c>
      <c r="O233" s="61" t="str">
        <f>IF(Table1[[#This Row],[Digikey]]="","", HYPERLINK(Table1[[#This Row],[Destination - Digikey]],_xlfn.CONCAT("Link (",Table1[[#This Row],[Digikey]],")")))</f>
        <v>Link (RHM1DCT-ND)</v>
      </c>
      <c r="P233" s="62" t="str">
        <f>_xlfn.CONCAT("https://www.digikey.ch/products/en?keywords=",Table1[[#This Row],[Digikey]])</f>
        <v>https://www.digikey.ch/products/en?keywords=RHM1DCT-ND</v>
      </c>
      <c r="Q233" s="57"/>
      <c r="R233" s="59"/>
      <c r="S233" s="61" t="str">
        <f>IF(Table1[[#This Row],[Farnell]]="","", HYPERLINK(Table1[[#This Row],[Destination - Farnell]],_xlfn.CONCAT("Link (",Table1[[#This Row],[Farnell]],")")))</f>
        <v/>
      </c>
      <c r="T233" s="62" t="str">
        <f>_xlfn.CONCAT("https://ch.farnell.com/fr-CH/",Table1[[#This Row],[Farnell]])</f>
        <v>https://ch.farnell.com/fr-CH/</v>
      </c>
      <c r="U233" s="57"/>
      <c r="V233" s="59"/>
      <c r="W233" s="61" t="str">
        <f>IF(Table1[[#This Row],[Distrelec]]="","", HYPERLINK(Table1[[#This Row],[Destination - Distrelec]],_xlfn.CONCAT("Link (",Table1[[#This Row],[Distrelec]],")")))</f>
        <v/>
      </c>
      <c r="X233" s="62" t="str">
        <f>_xlfn.CONCAT("https://www.distrelec.ch/search?q=",Table1[[#This Row],[Distrelec]])</f>
        <v>https://www.distrelec.ch/search?q=</v>
      </c>
      <c r="Y233" s="57"/>
      <c r="Z233" s="59"/>
      <c r="AA233" s="61" t="str">
        <f>IF(Table1[[#This Row],[Conrad]]="","", HYPERLINK(Table1[[#This Row],[Destination - Conrad]],_xlfn.CONCAT("Link (",Table1[[#This Row],[Conrad]],")")))</f>
        <v/>
      </c>
      <c r="AB233" s="62"/>
      <c r="AC233" s="57"/>
      <c r="AD233" s="59"/>
      <c r="AE233" s="61" t="str">
        <f>IF(Table1[[#This Row],[Mouser]]="","", HYPERLINK(Table1[[#This Row],[Destination - Mouser]],_xlfn.CONCAT("Link (",Table1[[#This Row],[Mouser]],")")))</f>
        <v/>
      </c>
      <c r="AF233" s="62" t="str">
        <f>_xlfn.CONCAT("https://www.mouser.ch/ProductDetail/",Table1[[#This Row],[Mouser]])</f>
        <v>https://www.mouser.ch/ProductDetail/</v>
      </c>
      <c r="AG233" s="57"/>
      <c r="AH233" s="59"/>
      <c r="AI233" s="61" t="str">
        <f>IF(Table1[[#This Row],[Bauhaus]]="","", HYPERLINK(Table1[[#This Row],[Destination - Bauhaus]],_xlfn.CONCAT("Link (",Table1[[#This Row],[Bauhaus]],")")))</f>
        <v/>
      </c>
      <c r="AJ233" s="62" t="str">
        <f>_xlfn.CONCAT("https://www.bauhaus.ch/fr/search?query=",Table1[[#This Row],[Bauhaus]])</f>
        <v>https://www.bauhaus.ch/fr/search?query=</v>
      </c>
      <c r="AK233" s="59"/>
      <c r="AL233" s="59"/>
      <c r="AM233" s="61" t="str">
        <f>IF(Table1[[#This Row],[BricoEtLoisirs]]="","", HYPERLINK(Table1[[#This Row],[Destination - BricoEtLoisirs]],_xlfn.CONCAT("Link (",Table1[[#This Row],[BricoEtLoisirs]],")")))</f>
        <v/>
      </c>
      <c r="AN233" s="62" t="str">
        <f>_xlfn.CONCAT("https://bricoetloisirs.ch/p/",Table1[[#This Row],[BricoEtLoisirs]])</f>
        <v>https://bricoetloisirs.ch/p/</v>
      </c>
      <c r="AO233" s="57"/>
      <c r="AP233" s="59"/>
      <c r="AQ233" s="61" t="str">
        <f>IF(Table1[[#This Row],[Aliexpress]]="","", HYPERLINK(Table1[[#This Row],[Destination - Aliexpress]],_xlfn.CONCAT("Link (",Table1[[#This Row],[Aliexpress]],")")))</f>
        <v/>
      </c>
      <c r="AR233" s="62" t="str">
        <f>_xlfn.CONCAT("https://www.aliexpress.com/item/",Table1[[#This Row],[Aliexpress]],".html")</f>
        <v>https://www.aliexpress.com/item/.html</v>
      </c>
      <c r="AS233" s="57"/>
      <c r="AT233" s="59"/>
      <c r="AU233" s="61" t="str">
        <f>IF(Table1[[#This Row],[Banggood]]="","", HYPERLINK(Table1[[#This Row],[Destination - Banggood]],_xlfn.CONCAT("Link (",Table1[[#This Row],[Banggood]],")")))</f>
        <v/>
      </c>
      <c r="AV233" s="62" t="str">
        <f>_xlfn.CONCAT("https://www.banggood.com/search/",Table1[[#This Row],[Banggood]],".html")</f>
        <v>https://www.banggood.com/search/.html</v>
      </c>
      <c r="AW233" s="59" t="str">
        <f>IF(Table1[[#This Row],[Other]]&lt;&gt;"","Other","")</f>
        <v/>
      </c>
      <c r="AX233" s="57"/>
      <c r="AY233" s="59"/>
      <c r="AZ233" s="61" t="str">
        <f>IF(Table1[[#This Row],[Other]]="","",IF(Table1[[#This Row],[Destination - Other]]="","",HYPERLINK(Table1[[#This Row],[Destination - Other]],_xlfn.CONCAT("Link ("&amp;Table1[[#This Row],[Other]]&amp;")"))))</f>
        <v/>
      </c>
      <c r="BA233" s="59"/>
      <c r="BB233" s="58" t="str">
        <f>IF(AND( Table1[[#This Row],[Auto Order]]=1,Table1[[#This Row],[Obsolete]]=""),IF(Table1[[#This Row],[In stock]]&lt;Table1[[#This Row],[Min in stock]],1,""),"")</f>
        <v/>
      </c>
      <c r="BC233" s="64"/>
      <c r="BD233" s="66" t="str">
        <f>IF(Table1[[#This Row],[Obsolete]],Table1[[#This Row],[Art. Number]],"")</f>
        <v/>
      </c>
    </row>
    <row r="234" spans="1:56" x14ac:dyDescent="0.25">
      <c r="A234" s="65" t="s">
        <v>1378</v>
      </c>
      <c r="B234" s="57" t="s">
        <v>168</v>
      </c>
      <c r="C234" s="57" t="s">
        <v>97</v>
      </c>
      <c r="D234" s="57" t="s">
        <v>1379</v>
      </c>
      <c r="E234" s="57" t="s">
        <v>151</v>
      </c>
      <c r="F234" s="58">
        <v>0</v>
      </c>
      <c r="G234" s="58"/>
      <c r="H234" s="58"/>
      <c r="I23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RHM1.1DCT-ND</v>
      </c>
      <c r="J23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(RHM1.1DCT-ND)</v>
      </c>
      <c r="M234" s="57" t="s">
        <v>1380</v>
      </c>
      <c r="N234" s="59">
        <v>0.1</v>
      </c>
      <c r="O234" s="61" t="str">
        <f>IF(Table1[[#This Row],[Digikey]]="","", HYPERLINK(Table1[[#This Row],[Destination - Digikey]],_xlfn.CONCAT("Link (",Table1[[#This Row],[Digikey]],")")))</f>
        <v>Link (RHM1.1DCT-ND)</v>
      </c>
      <c r="P234" s="62" t="str">
        <f>_xlfn.CONCAT("https://www.digikey.ch/products/en?keywords=",Table1[[#This Row],[Digikey]])</f>
        <v>https://www.digikey.ch/products/en?keywords=RHM1.1DCT-ND</v>
      </c>
      <c r="Q234" s="57"/>
      <c r="R234" s="59"/>
      <c r="S234" s="61" t="str">
        <f>IF(Table1[[#This Row],[Farnell]]="","", HYPERLINK(Table1[[#This Row],[Destination - Farnell]],_xlfn.CONCAT("Link (",Table1[[#This Row],[Farnell]],")")))</f>
        <v/>
      </c>
      <c r="T234" s="62" t="str">
        <f>_xlfn.CONCAT("https://ch.farnell.com/fr-CH/",Table1[[#This Row],[Farnell]])</f>
        <v>https://ch.farnell.com/fr-CH/</v>
      </c>
      <c r="U234" s="57"/>
      <c r="V234" s="59"/>
      <c r="W234" s="61" t="str">
        <f>IF(Table1[[#This Row],[Distrelec]]="","", HYPERLINK(Table1[[#This Row],[Destination - Distrelec]],_xlfn.CONCAT("Link (",Table1[[#This Row],[Distrelec]],")")))</f>
        <v/>
      </c>
      <c r="X234" s="62" t="str">
        <f>_xlfn.CONCAT("https://www.distrelec.ch/search?q=",Table1[[#This Row],[Distrelec]])</f>
        <v>https://www.distrelec.ch/search?q=</v>
      </c>
      <c r="Y234" s="57"/>
      <c r="Z234" s="59"/>
      <c r="AA234" s="61" t="str">
        <f>IF(Table1[[#This Row],[Conrad]]="","", HYPERLINK(Table1[[#This Row],[Destination - Conrad]],_xlfn.CONCAT("Link (",Table1[[#This Row],[Conrad]],")")))</f>
        <v/>
      </c>
      <c r="AB234" s="62"/>
      <c r="AC234" s="57"/>
      <c r="AD234" s="59"/>
      <c r="AE234" s="61" t="str">
        <f>IF(Table1[[#This Row],[Mouser]]="","", HYPERLINK(Table1[[#This Row],[Destination - Mouser]],_xlfn.CONCAT("Link (",Table1[[#This Row],[Mouser]],")")))</f>
        <v/>
      </c>
      <c r="AF234" s="62" t="str">
        <f>_xlfn.CONCAT("https://www.mouser.ch/ProductDetail/",Table1[[#This Row],[Mouser]])</f>
        <v>https://www.mouser.ch/ProductDetail/</v>
      </c>
      <c r="AG234" s="57"/>
      <c r="AH234" s="59"/>
      <c r="AI234" s="61" t="str">
        <f>IF(Table1[[#This Row],[Bauhaus]]="","", HYPERLINK(Table1[[#This Row],[Destination - Bauhaus]],_xlfn.CONCAT("Link (",Table1[[#This Row],[Bauhaus]],")")))</f>
        <v/>
      </c>
      <c r="AJ234" s="62" t="str">
        <f>_xlfn.CONCAT("https://www.bauhaus.ch/fr/search?query=",Table1[[#This Row],[Bauhaus]])</f>
        <v>https://www.bauhaus.ch/fr/search?query=</v>
      </c>
      <c r="AK234" s="59"/>
      <c r="AL234" s="59"/>
      <c r="AM234" s="61" t="str">
        <f>IF(Table1[[#This Row],[BricoEtLoisirs]]="","", HYPERLINK(Table1[[#This Row],[Destination - BricoEtLoisirs]],_xlfn.CONCAT("Link (",Table1[[#This Row],[BricoEtLoisirs]],")")))</f>
        <v/>
      </c>
      <c r="AN234" s="62" t="str">
        <f>_xlfn.CONCAT("https://bricoetloisirs.ch/p/",Table1[[#This Row],[BricoEtLoisirs]])</f>
        <v>https://bricoetloisirs.ch/p/</v>
      </c>
      <c r="AO234" s="57"/>
      <c r="AP234" s="59"/>
      <c r="AQ234" s="61" t="str">
        <f>IF(Table1[[#This Row],[Aliexpress]]="","", HYPERLINK(Table1[[#This Row],[Destination - Aliexpress]],_xlfn.CONCAT("Link (",Table1[[#This Row],[Aliexpress]],")")))</f>
        <v/>
      </c>
      <c r="AR234" s="62" t="str">
        <f>_xlfn.CONCAT("https://www.aliexpress.com/item/",Table1[[#This Row],[Aliexpress]],".html")</f>
        <v>https://www.aliexpress.com/item/.html</v>
      </c>
      <c r="AS234" s="57"/>
      <c r="AT234" s="59"/>
      <c r="AU234" s="61" t="str">
        <f>IF(Table1[[#This Row],[Banggood]]="","", HYPERLINK(Table1[[#This Row],[Destination - Banggood]],_xlfn.CONCAT("Link (",Table1[[#This Row],[Banggood]],")")))</f>
        <v/>
      </c>
      <c r="AV234" s="62" t="str">
        <f>_xlfn.CONCAT("https://www.banggood.com/search/",Table1[[#This Row],[Banggood]],".html")</f>
        <v>https://www.banggood.com/search/.html</v>
      </c>
      <c r="AW234" s="59" t="str">
        <f>IF(Table1[[#This Row],[Other]]&lt;&gt;"","Other","")</f>
        <v/>
      </c>
      <c r="AX234" s="57"/>
      <c r="AY234" s="59"/>
      <c r="AZ234" s="61" t="str">
        <f>IF(Table1[[#This Row],[Other]]="","",IF(Table1[[#This Row],[Destination - Other]]="","",HYPERLINK(Table1[[#This Row],[Destination - Other]],_xlfn.CONCAT("Link ("&amp;Table1[[#This Row],[Other]]&amp;")"))))</f>
        <v/>
      </c>
      <c r="BA234" s="59"/>
      <c r="BB234" s="58" t="str">
        <f>IF(AND( Table1[[#This Row],[Auto Order]]=1,Table1[[#This Row],[Obsolete]]=""),IF(Table1[[#This Row],[In stock]]&lt;Table1[[#This Row],[Min in stock]],1,""),"")</f>
        <v/>
      </c>
      <c r="BC234" s="64"/>
      <c r="BD234" s="66" t="str">
        <f>IF(Table1[[#This Row],[Obsolete]],Table1[[#This Row],[Art. Number]],"")</f>
        <v/>
      </c>
    </row>
    <row r="235" spans="1:56" x14ac:dyDescent="0.25">
      <c r="A235" s="65" t="s">
        <v>1384</v>
      </c>
      <c r="B235" s="57" t="s">
        <v>168</v>
      </c>
      <c r="C235" s="57" t="s">
        <v>97</v>
      </c>
      <c r="D235" s="57" t="s">
        <v>1385</v>
      </c>
      <c r="E235" s="57" t="s">
        <v>151</v>
      </c>
      <c r="F235" s="58">
        <v>0</v>
      </c>
      <c r="G235" s="58"/>
      <c r="H235" s="58"/>
      <c r="I23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RHM1.2DCT-ND</v>
      </c>
      <c r="J23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(RHM1.2DCT-ND)</v>
      </c>
      <c r="M235" s="57" t="s">
        <v>1386</v>
      </c>
      <c r="N235" s="59">
        <v>0.1</v>
      </c>
      <c r="O235" s="61" t="str">
        <f>IF(Table1[[#This Row],[Digikey]]="","", HYPERLINK(Table1[[#This Row],[Destination - Digikey]],_xlfn.CONCAT("Link (",Table1[[#This Row],[Digikey]],")")))</f>
        <v>Link (RHM1.2DCT-ND)</v>
      </c>
      <c r="P235" s="62" t="str">
        <f>_xlfn.CONCAT("https://www.digikey.ch/products/en?keywords=",Table1[[#This Row],[Digikey]])</f>
        <v>https://www.digikey.ch/products/en?keywords=RHM1.2DCT-ND</v>
      </c>
      <c r="Q235" s="57"/>
      <c r="R235" s="59"/>
      <c r="S235" s="61" t="str">
        <f>IF(Table1[[#This Row],[Farnell]]="","", HYPERLINK(Table1[[#This Row],[Destination - Farnell]],_xlfn.CONCAT("Link (",Table1[[#This Row],[Farnell]],")")))</f>
        <v/>
      </c>
      <c r="T235" s="62" t="str">
        <f>_xlfn.CONCAT("https://ch.farnell.com/fr-CH/",Table1[[#This Row],[Farnell]])</f>
        <v>https://ch.farnell.com/fr-CH/</v>
      </c>
      <c r="U235" s="57"/>
      <c r="V235" s="59"/>
      <c r="W235" s="61" t="str">
        <f>IF(Table1[[#This Row],[Distrelec]]="","", HYPERLINK(Table1[[#This Row],[Destination - Distrelec]],_xlfn.CONCAT("Link (",Table1[[#This Row],[Distrelec]],")")))</f>
        <v/>
      </c>
      <c r="X235" s="62" t="str">
        <f>_xlfn.CONCAT("https://www.distrelec.ch/search?q=",Table1[[#This Row],[Distrelec]])</f>
        <v>https://www.distrelec.ch/search?q=</v>
      </c>
      <c r="Y235" s="57"/>
      <c r="Z235" s="59"/>
      <c r="AA235" s="61" t="str">
        <f>IF(Table1[[#This Row],[Conrad]]="","", HYPERLINK(Table1[[#This Row],[Destination - Conrad]],_xlfn.CONCAT("Link (",Table1[[#This Row],[Conrad]],")")))</f>
        <v/>
      </c>
      <c r="AB235" s="62"/>
      <c r="AC235" s="57"/>
      <c r="AD235" s="59"/>
      <c r="AE235" s="61" t="str">
        <f>IF(Table1[[#This Row],[Mouser]]="","", HYPERLINK(Table1[[#This Row],[Destination - Mouser]],_xlfn.CONCAT("Link (",Table1[[#This Row],[Mouser]],")")))</f>
        <v/>
      </c>
      <c r="AF235" s="62" t="str">
        <f>_xlfn.CONCAT("https://www.mouser.ch/ProductDetail/",Table1[[#This Row],[Mouser]])</f>
        <v>https://www.mouser.ch/ProductDetail/</v>
      </c>
      <c r="AG235" s="57"/>
      <c r="AH235" s="59"/>
      <c r="AI235" s="61" t="str">
        <f>IF(Table1[[#This Row],[Bauhaus]]="","", HYPERLINK(Table1[[#This Row],[Destination - Bauhaus]],_xlfn.CONCAT("Link (",Table1[[#This Row],[Bauhaus]],")")))</f>
        <v/>
      </c>
      <c r="AJ235" s="62" t="str">
        <f>_xlfn.CONCAT("https://www.bauhaus.ch/fr/search?query=",Table1[[#This Row],[Bauhaus]])</f>
        <v>https://www.bauhaus.ch/fr/search?query=</v>
      </c>
      <c r="AK235" s="59"/>
      <c r="AL235" s="59"/>
      <c r="AM235" s="61" t="str">
        <f>IF(Table1[[#This Row],[BricoEtLoisirs]]="","", HYPERLINK(Table1[[#This Row],[Destination - BricoEtLoisirs]],_xlfn.CONCAT("Link (",Table1[[#This Row],[BricoEtLoisirs]],")")))</f>
        <v/>
      </c>
      <c r="AN235" s="62" t="str">
        <f>_xlfn.CONCAT("https://bricoetloisirs.ch/p/",Table1[[#This Row],[BricoEtLoisirs]])</f>
        <v>https://bricoetloisirs.ch/p/</v>
      </c>
      <c r="AO235" s="57"/>
      <c r="AP235" s="59"/>
      <c r="AQ235" s="61" t="str">
        <f>IF(Table1[[#This Row],[Aliexpress]]="","", HYPERLINK(Table1[[#This Row],[Destination - Aliexpress]],_xlfn.CONCAT("Link (",Table1[[#This Row],[Aliexpress]],")")))</f>
        <v/>
      </c>
      <c r="AR235" s="62" t="str">
        <f>_xlfn.CONCAT("https://www.aliexpress.com/item/",Table1[[#This Row],[Aliexpress]],".html")</f>
        <v>https://www.aliexpress.com/item/.html</v>
      </c>
      <c r="AS235" s="57"/>
      <c r="AT235" s="59"/>
      <c r="AU235" s="61" t="str">
        <f>IF(Table1[[#This Row],[Banggood]]="","", HYPERLINK(Table1[[#This Row],[Destination - Banggood]],_xlfn.CONCAT("Link (",Table1[[#This Row],[Banggood]],")")))</f>
        <v/>
      </c>
      <c r="AV235" s="62" t="str">
        <f>_xlfn.CONCAT("https://www.banggood.com/search/",Table1[[#This Row],[Banggood]],".html")</f>
        <v>https://www.banggood.com/search/.html</v>
      </c>
      <c r="AW235" s="59" t="str">
        <f>IF(Table1[[#This Row],[Other]]&lt;&gt;"","Other","")</f>
        <v/>
      </c>
      <c r="AX235" s="57"/>
      <c r="AY235" s="59"/>
      <c r="AZ235" s="61" t="str">
        <f>IF(Table1[[#This Row],[Other]]="","",IF(Table1[[#This Row],[Destination - Other]]="","",HYPERLINK(Table1[[#This Row],[Destination - Other]],_xlfn.CONCAT("Link ("&amp;Table1[[#This Row],[Other]]&amp;")"))))</f>
        <v/>
      </c>
      <c r="BA235" s="59"/>
      <c r="BB235" s="58" t="str">
        <f>IF(AND( Table1[[#This Row],[Auto Order]]=1,Table1[[#This Row],[Obsolete]]=""),IF(Table1[[#This Row],[In stock]]&lt;Table1[[#This Row],[Min in stock]],1,""),"")</f>
        <v/>
      </c>
      <c r="BC235" s="64"/>
      <c r="BD235" s="66" t="str">
        <f>IF(Table1[[#This Row],[Obsolete]],Table1[[#This Row],[Art. Number]],"")</f>
        <v/>
      </c>
    </row>
    <row r="236" spans="1:56" x14ac:dyDescent="0.25">
      <c r="A236" s="65" t="s">
        <v>1390</v>
      </c>
      <c r="B236" s="57" t="s">
        <v>168</v>
      </c>
      <c r="C236" s="57" t="s">
        <v>97</v>
      </c>
      <c r="D236" s="57" t="s">
        <v>1391</v>
      </c>
      <c r="E236" s="57" t="s">
        <v>151</v>
      </c>
      <c r="F236" s="58">
        <v>0</v>
      </c>
      <c r="G236" s="58"/>
      <c r="H236" s="58"/>
      <c r="I23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RHM1.3DCT-ND</v>
      </c>
      <c r="J23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(RHM1.3DCT-ND)</v>
      </c>
      <c r="M236" s="57" t="s">
        <v>1392</v>
      </c>
      <c r="N236" s="59">
        <v>0.1</v>
      </c>
      <c r="O236" s="61" t="str">
        <f>IF(Table1[[#This Row],[Digikey]]="","", HYPERLINK(Table1[[#This Row],[Destination - Digikey]],_xlfn.CONCAT("Link (",Table1[[#This Row],[Digikey]],")")))</f>
        <v>Link (RHM1.3DCT-ND)</v>
      </c>
      <c r="P236" s="62" t="str">
        <f>_xlfn.CONCAT("https://www.digikey.ch/products/en?keywords=",Table1[[#This Row],[Digikey]])</f>
        <v>https://www.digikey.ch/products/en?keywords=RHM1.3DCT-ND</v>
      </c>
      <c r="Q236" s="57"/>
      <c r="R236" s="59"/>
      <c r="S236" s="61" t="str">
        <f>IF(Table1[[#This Row],[Farnell]]="","", HYPERLINK(Table1[[#This Row],[Destination - Farnell]],_xlfn.CONCAT("Link (",Table1[[#This Row],[Farnell]],")")))</f>
        <v/>
      </c>
      <c r="T236" s="62" t="str">
        <f>_xlfn.CONCAT("https://ch.farnell.com/fr-CH/",Table1[[#This Row],[Farnell]])</f>
        <v>https://ch.farnell.com/fr-CH/</v>
      </c>
      <c r="U236" s="57"/>
      <c r="V236" s="59"/>
      <c r="W236" s="61" t="str">
        <f>IF(Table1[[#This Row],[Distrelec]]="","", HYPERLINK(Table1[[#This Row],[Destination - Distrelec]],_xlfn.CONCAT("Link (",Table1[[#This Row],[Distrelec]],")")))</f>
        <v/>
      </c>
      <c r="X236" s="62" t="str">
        <f>_xlfn.CONCAT("https://www.distrelec.ch/search?q=",Table1[[#This Row],[Distrelec]])</f>
        <v>https://www.distrelec.ch/search?q=</v>
      </c>
      <c r="Y236" s="57"/>
      <c r="Z236" s="59"/>
      <c r="AA236" s="61" t="str">
        <f>IF(Table1[[#This Row],[Conrad]]="","", HYPERLINK(Table1[[#This Row],[Destination - Conrad]],_xlfn.CONCAT("Link (",Table1[[#This Row],[Conrad]],")")))</f>
        <v/>
      </c>
      <c r="AB236" s="62"/>
      <c r="AC236" s="57"/>
      <c r="AD236" s="59"/>
      <c r="AE236" s="61" t="str">
        <f>IF(Table1[[#This Row],[Mouser]]="","", HYPERLINK(Table1[[#This Row],[Destination - Mouser]],_xlfn.CONCAT("Link (",Table1[[#This Row],[Mouser]],")")))</f>
        <v/>
      </c>
      <c r="AF236" s="62" t="str">
        <f>_xlfn.CONCAT("https://www.mouser.ch/ProductDetail/",Table1[[#This Row],[Mouser]])</f>
        <v>https://www.mouser.ch/ProductDetail/</v>
      </c>
      <c r="AG236" s="57"/>
      <c r="AH236" s="59"/>
      <c r="AI236" s="61" t="str">
        <f>IF(Table1[[#This Row],[Bauhaus]]="","", HYPERLINK(Table1[[#This Row],[Destination - Bauhaus]],_xlfn.CONCAT("Link (",Table1[[#This Row],[Bauhaus]],")")))</f>
        <v/>
      </c>
      <c r="AJ236" s="62" t="str">
        <f>_xlfn.CONCAT("https://www.bauhaus.ch/fr/search?query=",Table1[[#This Row],[Bauhaus]])</f>
        <v>https://www.bauhaus.ch/fr/search?query=</v>
      </c>
      <c r="AK236" s="59"/>
      <c r="AL236" s="59"/>
      <c r="AM236" s="61" t="str">
        <f>IF(Table1[[#This Row],[BricoEtLoisirs]]="","", HYPERLINK(Table1[[#This Row],[Destination - BricoEtLoisirs]],_xlfn.CONCAT("Link (",Table1[[#This Row],[BricoEtLoisirs]],")")))</f>
        <v/>
      </c>
      <c r="AN236" s="62" t="str">
        <f>_xlfn.CONCAT("https://bricoetloisirs.ch/p/",Table1[[#This Row],[BricoEtLoisirs]])</f>
        <v>https://bricoetloisirs.ch/p/</v>
      </c>
      <c r="AO236" s="57"/>
      <c r="AP236" s="59"/>
      <c r="AQ236" s="61" t="str">
        <f>IF(Table1[[#This Row],[Aliexpress]]="","", HYPERLINK(Table1[[#This Row],[Destination - Aliexpress]],_xlfn.CONCAT("Link (",Table1[[#This Row],[Aliexpress]],")")))</f>
        <v/>
      </c>
      <c r="AR236" s="62" t="str">
        <f>_xlfn.CONCAT("https://www.aliexpress.com/item/",Table1[[#This Row],[Aliexpress]],".html")</f>
        <v>https://www.aliexpress.com/item/.html</v>
      </c>
      <c r="AS236" s="57"/>
      <c r="AT236" s="59"/>
      <c r="AU236" s="61" t="str">
        <f>IF(Table1[[#This Row],[Banggood]]="","", HYPERLINK(Table1[[#This Row],[Destination - Banggood]],_xlfn.CONCAT("Link (",Table1[[#This Row],[Banggood]],")")))</f>
        <v/>
      </c>
      <c r="AV236" s="62" t="str">
        <f>_xlfn.CONCAT("https://www.banggood.com/search/",Table1[[#This Row],[Banggood]],".html")</f>
        <v>https://www.banggood.com/search/.html</v>
      </c>
      <c r="AW236" s="59" t="str">
        <f>IF(Table1[[#This Row],[Other]]&lt;&gt;"","Other","")</f>
        <v/>
      </c>
      <c r="AX236" s="57"/>
      <c r="AY236" s="59"/>
      <c r="AZ236" s="61" t="str">
        <f>IF(Table1[[#This Row],[Other]]="","",IF(Table1[[#This Row],[Destination - Other]]="","",HYPERLINK(Table1[[#This Row],[Destination - Other]],_xlfn.CONCAT("Link ("&amp;Table1[[#This Row],[Other]]&amp;")"))))</f>
        <v/>
      </c>
      <c r="BA236" s="59"/>
      <c r="BB236" s="58" t="str">
        <f>IF(AND( Table1[[#This Row],[Auto Order]]=1,Table1[[#This Row],[Obsolete]]=""),IF(Table1[[#This Row],[In stock]]&lt;Table1[[#This Row],[Min in stock]],1,""),"")</f>
        <v/>
      </c>
      <c r="BC236" s="64"/>
      <c r="BD236" s="66" t="str">
        <f>IF(Table1[[#This Row],[Obsolete]],Table1[[#This Row],[Art. Number]],"")</f>
        <v/>
      </c>
    </row>
    <row r="237" spans="1:56" x14ac:dyDescent="0.25">
      <c r="A237" s="65" t="s">
        <v>1396</v>
      </c>
      <c r="B237" s="57" t="s">
        <v>168</v>
      </c>
      <c r="C237" s="57" t="s">
        <v>97</v>
      </c>
      <c r="D237" s="57" t="s">
        <v>1397</v>
      </c>
      <c r="E237" s="57" t="s">
        <v>151</v>
      </c>
      <c r="F237" s="58">
        <v>0</v>
      </c>
      <c r="G237" s="58"/>
      <c r="H237" s="58"/>
      <c r="I23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RHM1.5DCT-ND</v>
      </c>
      <c r="J23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(RHM1.5DCT-ND)</v>
      </c>
      <c r="M237" s="57" t="s">
        <v>1398</v>
      </c>
      <c r="N237" s="59">
        <v>0.1</v>
      </c>
      <c r="O237" s="61" t="str">
        <f>IF(Table1[[#This Row],[Digikey]]="","", HYPERLINK(Table1[[#This Row],[Destination - Digikey]],_xlfn.CONCAT("Link (",Table1[[#This Row],[Digikey]],")")))</f>
        <v>Link (RHM1.5DCT-ND)</v>
      </c>
      <c r="P237" s="62" t="str">
        <f>_xlfn.CONCAT("https://www.digikey.ch/products/en?keywords=",Table1[[#This Row],[Digikey]])</f>
        <v>https://www.digikey.ch/products/en?keywords=RHM1.5DCT-ND</v>
      </c>
      <c r="Q237" s="57"/>
      <c r="R237" s="59"/>
      <c r="S237" s="61" t="str">
        <f>IF(Table1[[#This Row],[Farnell]]="","", HYPERLINK(Table1[[#This Row],[Destination - Farnell]],_xlfn.CONCAT("Link (",Table1[[#This Row],[Farnell]],")")))</f>
        <v/>
      </c>
      <c r="T237" s="62" t="str">
        <f>_xlfn.CONCAT("https://ch.farnell.com/fr-CH/",Table1[[#This Row],[Farnell]])</f>
        <v>https://ch.farnell.com/fr-CH/</v>
      </c>
      <c r="U237" s="57"/>
      <c r="V237" s="59"/>
      <c r="W237" s="61" t="str">
        <f>IF(Table1[[#This Row],[Distrelec]]="","", HYPERLINK(Table1[[#This Row],[Destination - Distrelec]],_xlfn.CONCAT("Link (",Table1[[#This Row],[Distrelec]],")")))</f>
        <v/>
      </c>
      <c r="X237" s="62" t="str">
        <f>_xlfn.CONCAT("https://www.distrelec.ch/search?q=",Table1[[#This Row],[Distrelec]])</f>
        <v>https://www.distrelec.ch/search?q=</v>
      </c>
      <c r="Y237" s="57"/>
      <c r="Z237" s="59"/>
      <c r="AA237" s="61" t="str">
        <f>IF(Table1[[#This Row],[Conrad]]="","", HYPERLINK(Table1[[#This Row],[Destination - Conrad]],_xlfn.CONCAT("Link (",Table1[[#This Row],[Conrad]],")")))</f>
        <v/>
      </c>
      <c r="AB237" s="62"/>
      <c r="AC237" s="57"/>
      <c r="AD237" s="59"/>
      <c r="AE237" s="61" t="str">
        <f>IF(Table1[[#This Row],[Mouser]]="","", HYPERLINK(Table1[[#This Row],[Destination - Mouser]],_xlfn.CONCAT("Link (",Table1[[#This Row],[Mouser]],")")))</f>
        <v/>
      </c>
      <c r="AF237" s="62" t="str">
        <f>_xlfn.CONCAT("https://www.mouser.ch/ProductDetail/",Table1[[#This Row],[Mouser]])</f>
        <v>https://www.mouser.ch/ProductDetail/</v>
      </c>
      <c r="AG237" s="57"/>
      <c r="AH237" s="59"/>
      <c r="AI237" s="61" t="str">
        <f>IF(Table1[[#This Row],[Bauhaus]]="","", HYPERLINK(Table1[[#This Row],[Destination - Bauhaus]],_xlfn.CONCAT("Link (",Table1[[#This Row],[Bauhaus]],")")))</f>
        <v/>
      </c>
      <c r="AJ237" s="62" t="str">
        <f>_xlfn.CONCAT("https://www.bauhaus.ch/fr/search?query=",Table1[[#This Row],[Bauhaus]])</f>
        <v>https://www.bauhaus.ch/fr/search?query=</v>
      </c>
      <c r="AK237" s="59"/>
      <c r="AL237" s="59"/>
      <c r="AM237" s="61" t="str">
        <f>IF(Table1[[#This Row],[BricoEtLoisirs]]="","", HYPERLINK(Table1[[#This Row],[Destination - BricoEtLoisirs]],_xlfn.CONCAT("Link (",Table1[[#This Row],[BricoEtLoisirs]],")")))</f>
        <v/>
      </c>
      <c r="AN237" s="62" t="str">
        <f>_xlfn.CONCAT("https://bricoetloisirs.ch/p/",Table1[[#This Row],[BricoEtLoisirs]])</f>
        <v>https://bricoetloisirs.ch/p/</v>
      </c>
      <c r="AO237" s="57"/>
      <c r="AP237" s="59"/>
      <c r="AQ237" s="61" t="str">
        <f>IF(Table1[[#This Row],[Aliexpress]]="","", HYPERLINK(Table1[[#This Row],[Destination - Aliexpress]],_xlfn.CONCAT("Link (",Table1[[#This Row],[Aliexpress]],")")))</f>
        <v/>
      </c>
      <c r="AR237" s="62" t="str">
        <f>_xlfn.CONCAT("https://www.aliexpress.com/item/",Table1[[#This Row],[Aliexpress]],".html")</f>
        <v>https://www.aliexpress.com/item/.html</v>
      </c>
      <c r="AS237" s="57"/>
      <c r="AT237" s="59"/>
      <c r="AU237" s="61" t="str">
        <f>IF(Table1[[#This Row],[Banggood]]="","", HYPERLINK(Table1[[#This Row],[Destination - Banggood]],_xlfn.CONCAT("Link (",Table1[[#This Row],[Banggood]],")")))</f>
        <v/>
      </c>
      <c r="AV237" s="62" t="str">
        <f>_xlfn.CONCAT("https://www.banggood.com/search/",Table1[[#This Row],[Banggood]],".html")</f>
        <v>https://www.banggood.com/search/.html</v>
      </c>
      <c r="AW237" s="59" t="str">
        <f>IF(Table1[[#This Row],[Other]]&lt;&gt;"","Other","")</f>
        <v/>
      </c>
      <c r="AX237" s="57"/>
      <c r="AY237" s="59"/>
      <c r="AZ237" s="61" t="str">
        <f>IF(Table1[[#This Row],[Other]]="","",IF(Table1[[#This Row],[Destination - Other]]="","",HYPERLINK(Table1[[#This Row],[Destination - Other]],_xlfn.CONCAT("Link ("&amp;Table1[[#This Row],[Other]]&amp;")"))))</f>
        <v/>
      </c>
      <c r="BA237" s="59"/>
      <c r="BB237" s="58" t="str">
        <f>IF(AND( Table1[[#This Row],[Auto Order]]=1,Table1[[#This Row],[Obsolete]]=""),IF(Table1[[#This Row],[In stock]]&lt;Table1[[#This Row],[Min in stock]],1,""),"")</f>
        <v/>
      </c>
      <c r="BC237" s="64"/>
      <c r="BD237" s="66" t="str">
        <f>IF(Table1[[#This Row],[Obsolete]],Table1[[#This Row],[Art. Number]],"")</f>
        <v/>
      </c>
    </row>
    <row r="238" spans="1:56" x14ac:dyDescent="0.25">
      <c r="A238" s="65" t="s">
        <v>1402</v>
      </c>
      <c r="B238" s="57" t="s">
        <v>168</v>
      </c>
      <c r="C238" s="57" t="s">
        <v>97</v>
      </c>
      <c r="D238" s="57" t="s">
        <v>1403</v>
      </c>
      <c r="E238" s="57" t="s">
        <v>151</v>
      </c>
      <c r="F238" s="58">
        <v>0</v>
      </c>
      <c r="G238" s="58"/>
      <c r="H238" s="58"/>
      <c r="I23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RHM1.6DCT-ND</v>
      </c>
      <c r="J23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(RHM1.6DCT-ND)</v>
      </c>
      <c r="M238" s="57" t="s">
        <v>1404</v>
      </c>
      <c r="N238" s="59">
        <v>0.1</v>
      </c>
      <c r="O238" s="61" t="str">
        <f>IF(Table1[[#This Row],[Digikey]]="","", HYPERLINK(Table1[[#This Row],[Destination - Digikey]],_xlfn.CONCAT("Link (",Table1[[#This Row],[Digikey]],")")))</f>
        <v>Link (RHM1.6DCT-ND)</v>
      </c>
      <c r="P238" s="62" t="str">
        <f>_xlfn.CONCAT("https://www.digikey.ch/products/en?keywords=",Table1[[#This Row],[Digikey]])</f>
        <v>https://www.digikey.ch/products/en?keywords=RHM1.6DCT-ND</v>
      </c>
      <c r="Q238" s="57"/>
      <c r="R238" s="59"/>
      <c r="S238" s="61" t="str">
        <f>IF(Table1[[#This Row],[Farnell]]="","", HYPERLINK(Table1[[#This Row],[Destination - Farnell]],_xlfn.CONCAT("Link (",Table1[[#This Row],[Farnell]],")")))</f>
        <v/>
      </c>
      <c r="T238" s="62" t="str">
        <f>_xlfn.CONCAT("https://ch.farnell.com/fr-CH/",Table1[[#This Row],[Farnell]])</f>
        <v>https://ch.farnell.com/fr-CH/</v>
      </c>
      <c r="U238" s="57"/>
      <c r="V238" s="59"/>
      <c r="W238" s="61" t="str">
        <f>IF(Table1[[#This Row],[Distrelec]]="","", HYPERLINK(Table1[[#This Row],[Destination - Distrelec]],_xlfn.CONCAT("Link (",Table1[[#This Row],[Distrelec]],")")))</f>
        <v/>
      </c>
      <c r="X238" s="62" t="str">
        <f>_xlfn.CONCAT("https://www.distrelec.ch/search?q=",Table1[[#This Row],[Distrelec]])</f>
        <v>https://www.distrelec.ch/search?q=</v>
      </c>
      <c r="Y238" s="57"/>
      <c r="Z238" s="59"/>
      <c r="AA238" s="61" t="str">
        <f>IF(Table1[[#This Row],[Conrad]]="","", HYPERLINK(Table1[[#This Row],[Destination - Conrad]],_xlfn.CONCAT("Link (",Table1[[#This Row],[Conrad]],")")))</f>
        <v/>
      </c>
      <c r="AB238" s="62"/>
      <c r="AC238" s="57"/>
      <c r="AD238" s="59"/>
      <c r="AE238" s="61" t="str">
        <f>IF(Table1[[#This Row],[Mouser]]="","", HYPERLINK(Table1[[#This Row],[Destination - Mouser]],_xlfn.CONCAT("Link (",Table1[[#This Row],[Mouser]],")")))</f>
        <v/>
      </c>
      <c r="AF238" s="62" t="str">
        <f>_xlfn.CONCAT("https://www.mouser.ch/ProductDetail/",Table1[[#This Row],[Mouser]])</f>
        <v>https://www.mouser.ch/ProductDetail/</v>
      </c>
      <c r="AG238" s="57"/>
      <c r="AH238" s="59"/>
      <c r="AI238" s="61" t="str">
        <f>IF(Table1[[#This Row],[Bauhaus]]="","", HYPERLINK(Table1[[#This Row],[Destination - Bauhaus]],_xlfn.CONCAT("Link (",Table1[[#This Row],[Bauhaus]],")")))</f>
        <v/>
      </c>
      <c r="AJ238" s="62" t="str">
        <f>_xlfn.CONCAT("https://www.bauhaus.ch/fr/search?query=",Table1[[#This Row],[Bauhaus]])</f>
        <v>https://www.bauhaus.ch/fr/search?query=</v>
      </c>
      <c r="AK238" s="59"/>
      <c r="AL238" s="59"/>
      <c r="AM238" s="61" t="str">
        <f>IF(Table1[[#This Row],[BricoEtLoisirs]]="","", HYPERLINK(Table1[[#This Row],[Destination - BricoEtLoisirs]],_xlfn.CONCAT("Link (",Table1[[#This Row],[BricoEtLoisirs]],")")))</f>
        <v/>
      </c>
      <c r="AN238" s="62" t="str">
        <f>_xlfn.CONCAT("https://bricoetloisirs.ch/p/",Table1[[#This Row],[BricoEtLoisirs]])</f>
        <v>https://bricoetloisirs.ch/p/</v>
      </c>
      <c r="AO238" s="57"/>
      <c r="AP238" s="59"/>
      <c r="AQ238" s="61" t="str">
        <f>IF(Table1[[#This Row],[Aliexpress]]="","", HYPERLINK(Table1[[#This Row],[Destination - Aliexpress]],_xlfn.CONCAT("Link (",Table1[[#This Row],[Aliexpress]],")")))</f>
        <v/>
      </c>
      <c r="AR238" s="62" t="str">
        <f>_xlfn.CONCAT("https://www.aliexpress.com/item/",Table1[[#This Row],[Aliexpress]],".html")</f>
        <v>https://www.aliexpress.com/item/.html</v>
      </c>
      <c r="AS238" s="57"/>
      <c r="AT238" s="59"/>
      <c r="AU238" s="61" t="str">
        <f>IF(Table1[[#This Row],[Banggood]]="","", HYPERLINK(Table1[[#This Row],[Destination - Banggood]],_xlfn.CONCAT("Link (",Table1[[#This Row],[Banggood]],")")))</f>
        <v/>
      </c>
      <c r="AV238" s="62" t="str">
        <f>_xlfn.CONCAT("https://www.banggood.com/search/",Table1[[#This Row],[Banggood]],".html")</f>
        <v>https://www.banggood.com/search/.html</v>
      </c>
      <c r="AW238" s="59" t="str">
        <f>IF(Table1[[#This Row],[Other]]&lt;&gt;"","Other","")</f>
        <v/>
      </c>
      <c r="AX238" s="57"/>
      <c r="AY238" s="59"/>
      <c r="AZ238" s="61" t="str">
        <f>IF(Table1[[#This Row],[Other]]="","",IF(Table1[[#This Row],[Destination - Other]]="","",HYPERLINK(Table1[[#This Row],[Destination - Other]],_xlfn.CONCAT("Link ("&amp;Table1[[#This Row],[Other]]&amp;")"))))</f>
        <v/>
      </c>
      <c r="BA238" s="59"/>
      <c r="BB238" s="58" t="str">
        <f>IF(AND( Table1[[#This Row],[Auto Order]]=1,Table1[[#This Row],[Obsolete]]=""),IF(Table1[[#This Row],[In stock]]&lt;Table1[[#This Row],[Min in stock]],1,""),"")</f>
        <v/>
      </c>
      <c r="BC238" s="64"/>
      <c r="BD238" s="66" t="str">
        <f>IF(Table1[[#This Row],[Obsolete]],Table1[[#This Row],[Art. Number]],"")</f>
        <v/>
      </c>
    </row>
    <row r="239" spans="1:56" x14ac:dyDescent="0.25">
      <c r="A239" s="65" t="s">
        <v>1408</v>
      </c>
      <c r="B239" s="57" t="s">
        <v>168</v>
      </c>
      <c r="C239" s="57" t="s">
        <v>97</v>
      </c>
      <c r="D239" s="57" t="s">
        <v>1409</v>
      </c>
      <c r="E239" s="57" t="s">
        <v>151</v>
      </c>
      <c r="F239" s="58">
        <v>0</v>
      </c>
      <c r="G239" s="58"/>
      <c r="H239" s="58"/>
      <c r="I23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RHM1.8DCT-ND</v>
      </c>
      <c r="J23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3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3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(RHM1.8DCT-ND)</v>
      </c>
      <c r="M239" s="57" t="s">
        <v>1410</v>
      </c>
      <c r="N239" s="59">
        <v>0.1</v>
      </c>
      <c r="O239" s="61" t="str">
        <f>IF(Table1[[#This Row],[Digikey]]="","", HYPERLINK(Table1[[#This Row],[Destination - Digikey]],_xlfn.CONCAT("Link (",Table1[[#This Row],[Digikey]],")")))</f>
        <v>Link (RHM1.8DCT-ND)</v>
      </c>
      <c r="P239" s="62" t="str">
        <f>_xlfn.CONCAT("https://www.digikey.ch/products/en?keywords=",Table1[[#This Row],[Digikey]])</f>
        <v>https://www.digikey.ch/products/en?keywords=RHM1.8DCT-ND</v>
      </c>
      <c r="Q239" s="57"/>
      <c r="R239" s="59"/>
      <c r="S239" s="61" t="str">
        <f>IF(Table1[[#This Row],[Farnell]]="","", HYPERLINK(Table1[[#This Row],[Destination - Farnell]],_xlfn.CONCAT("Link (",Table1[[#This Row],[Farnell]],")")))</f>
        <v/>
      </c>
      <c r="T239" s="62" t="str">
        <f>_xlfn.CONCAT("https://ch.farnell.com/fr-CH/",Table1[[#This Row],[Farnell]])</f>
        <v>https://ch.farnell.com/fr-CH/</v>
      </c>
      <c r="U239" s="57"/>
      <c r="V239" s="59"/>
      <c r="W239" s="61" t="str">
        <f>IF(Table1[[#This Row],[Distrelec]]="","", HYPERLINK(Table1[[#This Row],[Destination - Distrelec]],_xlfn.CONCAT("Link (",Table1[[#This Row],[Distrelec]],")")))</f>
        <v/>
      </c>
      <c r="X239" s="62" t="str">
        <f>_xlfn.CONCAT("https://www.distrelec.ch/search?q=",Table1[[#This Row],[Distrelec]])</f>
        <v>https://www.distrelec.ch/search?q=</v>
      </c>
      <c r="Y239" s="57"/>
      <c r="Z239" s="59"/>
      <c r="AA239" s="61" t="str">
        <f>IF(Table1[[#This Row],[Conrad]]="","", HYPERLINK(Table1[[#This Row],[Destination - Conrad]],_xlfn.CONCAT("Link (",Table1[[#This Row],[Conrad]],")")))</f>
        <v/>
      </c>
      <c r="AB239" s="62"/>
      <c r="AC239" s="57"/>
      <c r="AD239" s="59"/>
      <c r="AE239" s="61" t="str">
        <f>IF(Table1[[#This Row],[Mouser]]="","", HYPERLINK(Table1[[#This Row],[Destination - Mouser]],_xlfn.CONCAT("Link (",Table1[[#This Row],[Mouser]],")")))</f>
        <v/>
      </c>
      <c r="AF239" s="62" t="str">
        <f>_xlfn.CONCAT("https://www.mouser.ch/ProductDetail/",Table1[[#This Row],[Mouser]])</f>
        <v>https://www.mouser.ch/ProductDetail/</v>
      </c>
      <c r="AG239" s="57"/>
      <c r="AH239" s="59"/>
      <c r="AI239" s="61" t="str">
        <f>IF(Table1[[#This Row],[Bauhaus]]="","", HYPERLINK(Table1[[#This Row],[Destination - Bauhaus]],_xlfn.CONCAT("Link (",Table1[[#This Row],[Bauhaus]],")")))</f>
        <v/>
      </c>
      <c r="AJ239" s="62" t="str">
        <f>_xlfn.CONCAT("https://www.bauhaus.ch/fr/search?query=",Table1[[#This Row],[Bauhaus]])</f>
        <v>https://www.bauhaus.ch/fr/search?query=</v>
      </c>
      <c r="AK239" s="59"/>
      <c r="AL239" s="59"/>
      <c r="AM239" s="61" t="str">
        <f>IF(Table1[[#This Row],[BricoEtLoisirs]]="","", HYPERLINK(Table1[[#This Row],[Destination - BricoEtLoisirs]],_xlfn.CONCAT("Link (",Table1[[#This Row],[BricoEtLoisirs]],")")))</f>
        <v/>
      </c>
      <c r="AN239" s="62" t="str">
        <f>_xlfn.CONCAT("https://bricoetloisirs.ch/p/",Table1[[#This Row],[BricoEtLoisirs]])</f>
        <v>https://bricoetloisirs.ch/p/</v>
      </c>
      <c r="AO239" s="57"/>
      <c r="AP239" s="59"/>
      <c r="AQ239" s="61" t="str">
        <f>IF(Table1[[#This Row],[Aliexpress]]="","", HYPERLINK(Table1[[#This Row],[Destination - Aliexpress]],_xlfn.CONCAT("Link (",Table1[[#This Row],[Aliexpress]],")")))</f>
        <v/>
      </c>
      <c r="AR239" s="62" t="str">
        <f>_xlfn.CONCAT("https://www.aliexpress.com/item/",Table1[[#This Row],[Aliexpress]],".html")</f>
        <v>https://www.aliexpress.com/item/.html</v>
      </c>
      <c r="AS239" s="57"/>
      <c r="AT239" s="59"/>
      <c r="AU239" s="61" t="str">
        <f>IF(Table1[[#This Row],[Banggood]]="","", HYPERLINK(Table1[[#This Row],[Destination - Banggood]],_xlfn.CONCAT("Link (",Table1[[#This Row],[Banggood]],")")))</f>
        <v/>
      </c>
      <c r="AV239" s="62" t="str">
        <f>_xlfn.CONCAT("https://www.banggood.com/search/",Table1[[#This Row],[Banggood]],".html")</f>
        <v>https://www.banggood.com/search/.html</v>
      </c>
      <c r="AW239" s="59" t="str">
        <f>IF(Table1[[#This Row],[Other]]&lt;&gt;"","Other","")</f>
        <v/>
      </c>
      <c r="AX239" s="57"/>
      <c r="AY239" s="59"/>
      <c r="AZ239" s="61" t="str">
        <f>IF(Table1[[#This Row],[Other]]="","",IF(Table1[[#This Row],[Destination - Other]]="","",HYPERLINK(Table1[[#This Row],[Destination - Other]],_xlfn.CONCAT("Link ("&amp;Table1[[#This Row],[Other]]&amp;")"))))</f>
        <v/>
      </c>
      <c r="BA239" s="59"/>
      <c r="BB239" s="58" t="str">
        <f>IF(AND( Table1[[#This Row],[Auto Order]]=1,Table1[[#This Row],[Obsolete]]=""),IF(Table1[[#This Row],[In stock]]&lt;Table1[[#This Row],[Min in stock]],1,""),"")</f>
        <v/>
      </c>
      <c r="BC239" s="64"/>
      <c r="BD239" s="66" t="str">
        <f>IF(Table1[[#This Row],[Obsolete]],Table1[[#This Row],[Art. Number]],"")</f>
        <v/>
      </c>
    </row>
    <row r="240" spans="1:56" x14ac:dyDescent="0.25">
      <c r="A240" s="65" t="s">
        <v>1414</v>
      </c>
      <c r="B240" s="57" t="s">
        <v>168</v>
      </c>
      <c r="C240" s="57" t="s">
        <v>97</v>
      </c>
      <c r="D240" s="57" t="s">
        <v>1415</v>
      </c>
      <c r="E240" s="57" t="s">
        <v>151</v>
      </c>
      <c r="F240" s="58">
        <v>0</v>
      </c>
      <c r="G240" s="58"/>
      <c r="H240" s="58"/>
      <c r="I24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RHM20DCT-ND</v>
      </c>
      <c r="J24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(RHM20DCT-ND)</v>
      </c>
      <c r="M240" s="57" t="s">
        <v>1416</v>
      </c>
      <c r="N240" s="59">
        <v>0.1</v>
      </c>
      <c r="O240" s="61" t="str">
        <f>IF(Table1[[#This Row],[Digikey]]="","", HYPERLINK(Table1[[#This Row],[Destination - Digikey]],_xlfn.CONCAT("Link (",Table1[[#This Row],[Digikey]],")")))</f>
        <v>Link (RHM20DCT-ND)</v>
      </c>
      <c r="P240" s="62" t="str">
        <f>_xlfn.CONCAT("https://www.digikey.ch/products/en?keywords=",Table1[[#This Row],[Digikey]])</f>
        <v>https://www.digikey.ch/products/en?keywords=RHM20DCT-ND</v>
      </c>
      <c r="Q240" s="57"/>
      <c r="R240" s="59"/>
      <c r="S240" s="61" t="str">
        <f>IF(Table1[[#This Row],[Farnell]]="","", HYPERLINK(Table1[[#This Row],[Destination - Farnell]],_xlfn.CONCAT("Link (",Table1[[#This Row],[Farnell]],")")))</f>
        <v/>
      </c>
      <c r="T240" s="62" t="str">
        <f>_xlfn.CONCAT("https://ch.farnell.com/fr-CH/",Table1[[#This Row],[Farnell]])</f>
        <v>https://ch.farnell.com/fr-CH/</v>
      </c>
      <c r="U240" s="57"/>
      <c r="V240" s="59"/>
      <c r="W240" s="61" t="str">
        <f>IF(Table1[[#This Row],[Distrelec]]="","", HYPERLINK(Table1[[#This Row],[Destination - Distrelec]],_xlfn.CONCAT("Link (",Table1[[#This Row],[Distrelec]],")")))</f>
        <v/>
      </c>
      <c r="X240" s="62" t="str">
        <f>_xlfn.CONCAT("https://www.distrelec.ch/search?q=",Table1[[#This Row],[Distrelec]])</f>
        <v>https://www.distrelec.ch/search?q=</v>
      </c>
      <c r="Y240" s="57"/>
      <c r="Z240" s="59"/>
      <c r="AA240" s="61" t="str">
        <f>IF(Table1[[#This Row],[Conrad]]="","", HYPERLINK(Table1[[#This Row],[Destination - Conrad]],_xlfn.CONCAT("Link (",Table1[[#This Row],[Conrad]],")")))</f>
        <v/>
      </c>
      <c r="AB240" s="62"/>
      <c r="AC240" s="57"/>
      <c r="AD240" s="59"/>
      <c r="AE240" s="61" t="str">
        <f>IF(Table1[[#This Row],[Mouser]]="","", HYPERLINK(Table1[[#This Row],[Destination - Mouser]],_xlfn.CONCAT("Link (",Table1[[#This Row],[Mouser]],")")))</f>
        <v/>
      </c>
      <c r="AF240" s="62" t="str">
        <f>_xlfn.CONCAT("https://www.mouser.ch/ProductDetail/",Table1[[#This Row],[Mouser]])</f>
        <v>https://www.mouser.ch/ProductDetail/</v>
      </c>
      <c r="AG240" s="57"/>
      <c r="AH240" s="59"/>
      <c r="AI240" s="61" t="str">
        <f>IF(Table1[[#This Row],[Bauhaus]]="","", HYPERLINK(Table1[[#This Row],[Destination - Bauhaus]],_xlfn.CONCAT("Link (",Table1[[#This Row],[Bauhaus]],")")))</f>
        <v/>
      </c>
      <c r="AJ240" s="62" t="str">
        <f>_xlfn.CONCAT("https://www.bauhaus.ch/fr/search?query=",Table1[[#This Row],[Bauhaus]])</f>
        <v>https://www.bauhaus.ch/fr/search?query=</v>
      </c>
      <c r="AK240" s="59"/>
      <c r="AL240" s="59"/>
      <c r="AM240" s="61" t="str">
        <f>IF(Table1[[#This Row],[BricoEtLoisirs]]="","", HYPERLINK(Table1[[#This Row],[Destination - BricoEtLoisirs]],_xlfn.CONCAT("Link (",Table1[[#This Row],[BricoEtLoisirs]],")")))</f>
        <v/>
      </c>
      <c r="AN240" s="62" t="str">
        <f>_xlfn.CONCAT("https://bricoetloisirs.ch/p/",Table1[[#This Row],[BricoEtLoisirs]])</f>
        <v>https://bricoetloisirs.ch/p/</v>
      </c>
      <c r="AO240" s="57"/>
      <c r="AP240" s="59"/>
      <c r="AQ240" s="61" t="str">
        <f>IF(Table1[[#This Row],[Aliexpress]]="","", HYPERLINK(Table1[[#This Row],[Destination - Aliexpress]],_xlfn.CONCAT("Link (",Table1[[#This Row],[Aliexpress]],")")))</f>
        <v/>
      </c>
      <c r="AR240" s="62" t="str">
        <f>_xlfn.CONCAT("https://www.aliexpress.com/item/",Table1[[#This Row],[Aliexpress]],".html")</f>
        <v>https://www.aliexpress.com/item/.html</v>
      </c>
      <c r="AS240" s="57"/>
      <c r="AT240" s="59"/>
      <c r="AU240" s="61" t="str">
        <f>IF(Table1[[#This Row],[Banggood]]="","", HYPERLINK(Table1[[#This Row],[Destination - Banggood]],_xlfn.CONCAT("Link (",Table1[[#This Row],[Banggood]],")")))</f>
        <v/>
      </c>
      <c r="AV240" s="62" t="str">
        <f>_xlfn.CONCAT("https://www.banggood.com/search/",Table1[[#This Row],[Banggood]],".html")</f>
        <v>https://www.banggood.com/search/.html</v>
      </c>
      <c r="AW240" s="59" t="str">
        <f>IF(Table1[[#This Row],[Other]]&lt;&gt;"","Other","")</f>
        <v/>
      </c>
      <c r="AX240" s="57"/>
      <c r="AY240" s="59"/>
      <c r="AZ240" s="61" t="str">
        <f>IF(Table1[[#This Row],[Other]]="","",IF(Table1[[#This Row],[Destination - Other]]="","",HYPERLINK(Table1[[#This Row],[Destination - Other]],_xlfn.CONCAT("Link ("&amp;Table1[[#This Row],[Other]]&amp;")"))))</f>
        <v/>
      </c>
      <c r="BA240" s="59"/>
      <c r="BB240" s="58" t="str">
        <f>IF(AND( Table1[[#This Row],[Auto Order]]=1,Table1[[#This Row],[Obsolete]]=""),IF(Table1[[#This Row],[In stock]]&lt;Table1[[#This Row],[Min in stock]],1,""),"")</f>
        <v/>
      </c>
      <c r="BC240" s="64"/>
      <c r="BD240" s="66" t="str">
        <f>IF(Table1[[#This Row],[Obsolete]],Table1[[#This Row],[Art. Number]],"")</f>
        <v/>
      </c>
    </row>
    <row r="241" spans="1:56" x14ac:dyDescent="0.25">
      <c r="A241" s="65" t="s">
        <v>1420</v>
      </c>
      <c r="B241" s="57" t="s">
        <v>168</v>
      </c>
      <c r="C241" s="57" t="s">
        <v>97</v>
      </c>
      <c r="D241" s="57" t="s">
        <v>1421</v>
      </c>
      <c r="E241" s="57" t="s">
        <v>151</v>
      </c>
      <c r="F241" s="58">
        <v>0</v>
      </c>
      <c r="G241" s="58"/>
      <c r="H241" s="58"/>
      <c r="I24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RHM200DCT-ND</v>
      </c>
      <c r="J24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(RHM200DCT-ND)</v>
      </c>
      <c r="M241" s="57" t="s">
        <v>1422</v>
      </c>
      <c r="N241" s="59">
        <v>0.1</v>
      </c>
      <c r="O241" s="61" t="str">
        <f>IF(Table1[[#This Row],[Digikey]]="","", HYPERLINK(Table1[[#This Row],[Destination - Digikey]],_xlfn.CONCAT("Link (",Table1[[#This Row],[Digikey]],")")))</f>
        <v>Link (RHM200DCT-ND)</v>
      </c>
      <c r="P241" s="62" t="str">
        <f>_xlfn.CONCAT("https://www.digikey.ch/products/en?keywords=",Table1[[#This Row],[Digikey]])</f>
        <v>https://www.digikey.ch/products/en?keywords=RHM200DCT-ND</v>
      </c>
      <c r="Q241" s="57"/>
      <c r="R241" s="59"/>
      <c r="S241" s="61" t="str">
        <f>IF(Table1[[#This Row],[Farnell]]="","", HYPERLINK(Table1[[#This Row],[Destination - Farnell]],_xlfn.CONCAT("Link (",Table1[[#This Row],[Farnell]],")")))</f>
        <v/>
      </c>
      <c r="T241" s="62" t="str">
        <f>_xlfn.CONCAT("https://ch.farnell.com/fr-CH/",Table1[[#This Row],[Farnell]])</f>
        <v>https://ch.farnell.com/fr-CH/</v>
      </c>
      <c r="U241" s="57"/>
      <c r="V241" s="59"/>
      <c r="W241" s="61" t="str">
        <f>IF(Table1[[#This Row],[Distrelec]]="","", HYPERLINK(Table1[[#This Row],[Destination - Distrelec]],_xlfn.CONCAT("Link (",Table1[[#This Row],[Distrelec]],")")))</f>
        <v/>
      </c>
      <c r="X241" s="62" t="str">
        <f>_xlfn.CONCAT("https://www.distrelec.ch/search?q=",Table1[[#This Row],[Distrelec]])</f>
        <v>https://www.distrelec.ch/search?q=</v>
      </c>
      <c r="Y241" s="57"/>
      <c r="Z241" s="59"/>
      <c r="AA241" s="61" t="str">
        <f>IF(Table1[[#This Row],[Conrad]]="","", HYPERLINK(Table1[[#This Row],[Destination - Conrad]],_xlfn.CONCAT("Link (",Table1[[#This Row],[Conrad]],")")))</f>
        <v/>
      </c>
      <c r="AB241" s="62"/>
      <c r="AC241" s="57"/>
      <c r="AD241" s="59"/>
      <c r="AE241" s="61" t="str">
        <f>IF(Table1[[#This Row],[Mouser]]="","", HYPERLINK(Table1[[#This Row],[Destination - Mouser]],_xlfn.CONCAT("Link (",Table1[[#This Row],[Mouser]],")")))</f>
        <v/>
      </c>
      <c r="AF241" s="62" t="str">
        <f>_xlfn.CONCAT("https://www.mouser.ch/ProductDetail/",Table1[[#This Row],[Mouser]])</f>
        <v>https://www.mouser.ch/ProductDetail/</v>
      </c>
      <c r="AG241" s="57"/>
      <c r="AH241" s="59"/>
      <c r="AI241" s="61" t="str">
        <f>IF(Table1[[#This Row],[Bauhaus]]="","", HYPERLINK(Table1[[#This Row],[Destination - Bauhaus]],_xlfn.CONCAT("Link (",Table1[[#This Row],[Bauhaus]],")")))</f>
        <v/>
      </c>
      <c r="AJ241" s="62" t="str">
        <f>_xlfn.CONCAT("https://www.bauhaus.ch/fr/search?query=",Table1[[#This Row],[Bauhaus]])</f>
        <v>https://www.bauhaus.ch/fr/search?query=</v>
      </c>
      <c r="AK241" s="59"/>
      <c r="AL241" s="59"/>
      <c r="AM241" s="61" t="str">
        <f>IF(Table1[[#This Row],[BricoEtLoisirs]]="","", HYPERLINK(Table1[[#This Row],[Destination - BricoEtLoisirs]],_xlfn.CONCAT("Link (",Table1[[#This Row],[BricoEtLoisirs]],")")))</f>
        <v/>
      </c>
      <c r="AN241" s="62" t="str">
        <f>_xlfn.CONCAT("https://bricoetloisirs.ch/p/",Table1[[#This Row],[BricoEtLoisirs]])</f>
        <v>https://bricoetloisirs.ch/p/</v>
      </c>
      <c r="AO241" s="57"/>
      <c r="AP241" s="59"/>
      <c r="AQ241" s="61" t="str">
        <f>IF(Table1[[#This Row],[Aliexpress]]="","", HYPERLINK(Table1[[#This Row],[Destination - Aliexpress]],_xlfn.CONCAT("Link (",Table1[[#This Row],[Aliexpress]],")")))</f>
        <v/>
      </c>
      <c r="AR241" s="62" t="str">
        <f>_xlfn.CONCAT("https://www.aliexpress.com/item/",Table1[[#This Row],[Aliexpress]],".html")</f>
        <v>https://www.aliexpress.com/item/.html</v>
      </c>
      <c r="AS241" s="57"/>
      <c r="AT241" s="59"/>
      <c r="AU241" s="61" t="str">
        <f>IF(Table1[[#This Row],[Banggood]]="","", HYPERLINK(Table1[[#This Row],[Destination - Banggood]],_xlfn.CONCAT("Link (",Table1[[#This Row],[Banggood]],")")))</f>
        <v/>
      </c>
      <c r="AV241" s="62" t="str">
        <f>_xlfn.CONCAT("https://www.banggood.com/search/",Table1[[#This Row],[Banggood]],".html")</f>
        <v>https://www.banggood.com/search/.html</v>
      </c>
      <c r="AW241" s="59" t="str">
        <f>IF(Table1[[#This Row],[Other]]&lt;&gt;"","Other","")</f>
        <v/>
      </c>
      <c r="AX241" s="57"/>
      <c r="AY241" s="59"/>
      <c r="AZ241" s="61" t="str">
        <f>IF(Table1[[#This Row],[Other]]="","",IF(Table1[[#This Row],[Destination - Other]]="","",HYPERLINK(Table1[[#This Row],[Destination - Other]],_xlfn.CONCAT("Link ("&amp;Table1[[#This Row],[Other]]&amp;")"))))</f>
        <v/>
      </c>
      <c r="BA241" s="59"/>
      <c r="BB241" s="58" t="str">
        <f>IF(AND( Table1[[#This Row],[Auto Order]]=1,Table1[[#This Row],[Obsolete]]=""),IF(Table1[[#This Row],[In stock]]&lt;Table1[[#This Row],[Min in stock]],1,""),"")</f>
        <v/>
      </c>
      <c r="BC241" s="64"/>
      <c r="BD241" s="66" t="str">
        <f>IF(Table1[[#This Row],[Obsolete]],Table1[[#This Row],[Art. Number]],"")</f>
        <v/>
      </c>
    </row>
    <row r="242" spans="1:56" x14ac:dyDescent="0.25">
      <c r="A242" s="65" t="s">
        <v>1426</v>
      </c>
      <c r="B242" s="57" t="s">
        <v>168</v>
      </c>
      <c r="C242" s="57" t="s">
        <v>97</v>
      </c>
      <c r="D242" s="57" t="s">
        <v>1427</v>
      </c>
      <c r="E242" s="57" t="s">
        <v>151</v>
      </c>
      <c r="F242" s="58">
        <v>0</v>
      </c>
      <c r="G242" s="58"/>
      <c r="H242" s="58"/>
      <c r="I24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RHM2.0KDCT-ND</v>
      </c>
      <c r="J24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(RHM2.0KDCT-ND)</v>
      </c>
      <c r="M242" s="57" t="s">
        <v>1428</v>
      </c>
      <c r="N242" s="59">
        <v>0.1</v>
      </c>
      <c r="O242" s="61" t="str">
        <f>IF(Table1[[#This Row],[Digikey]]="","", HYPERLINK(Table1[[#This Row],[Destination - Digikey]],_xlfn.CONCAT("Link (",Table1[[#This Row],[Digikey]],")")))</f>
        <v>Link (RHM2.0KDCT-ND)</v>
      </c>
      <c r="P242" s="62" t="str">
        <f>_xlfn.CONCAT("https://www.digikey.ch/products/en?keywords=",Table1[[#This Row],[Digikey]])</f>
        <v>https://www.digikey.ch/products/en?keywords=RHM2.0KDCT-ND</v>
      </c>
      <c r="Q242" s="57"/>
      <c r="R242" s="59"/>
      <c r="S242" s="61" t="str">
        <f>IF(Table1[[#This Row],[Farnell]]="","", HYPERLINK(Table1[[#This Row],[Destination - Farnell]],_xlfn.CONCAT("Link (",Table1[[#This Row],[Farnell]],")")))</f>
        <v/>
      </c>
      <c r="T242" s="62" t="str">
        <f>_xlfn.CONCAT("https://ch.farnell.com/fr-CH/",Table1[[#This Row],[Farnell]])</f>
        <v>https://ch.farnell.com/fr-CH/</v>
      </c>
      <c r="U242" s="57"/>
      <c r="V242" s="59"/>
      <c r="W242" s="61" t="str">
        <f>IF(Table1[[#This Row],[Distrelec]]="","", HYPERLINK(Table1[[#This Row],[Destination - Distrelec]],_xlfn.CONCAT("Link (",Table1[[#This Row],[Distrelec]],")")))</f>
        <v/>
      </c>
      <c r="X242" s="62" t="str">
        <f>_xlfn.CONCAT("https://www.distrelec.ch/search?q=",Table1[[#This Row],[Distrelec]])</f>
        <v>https://www.distrelec.ch/search?q=</v>
      </c>
      <c r="Y242" s="57"/>
      <c r="Z242" s="59"/>
      <c r="AA242" s="61" t="str">
        <f>IF(Table1[[#This Row],[Conrad]]="","", HYPERLINK(Table1[[#This Row],[Destination - Conrad]],_xlfn.CONCAT("Link (",Table1[[#This Row],[Conrad]],")")))</f>
        <v/>
      </c>
      <c r="AB242" s="62"/>
      <c r="AC242" s="57"/>
      <c r="AD242" s="59"/>
      <c r="AE242" s="61" t="str">
        <f>IF(Table1[[#This Row],[Mouser]]="","", HYPERLINK(Table1[[#This Row],[Destination - Mouser]],_xlfn.CONCAT("Link (",Table1[[#This Row],[Mouser]],")")))</f>
        <v/>
      </c>
      <c r="AF242" s="62" t="str">
        <f>_xlfn.CONCAT("https://www.mouser.ch/ProductDetail/",Table1[[#This Row],[Mouser]])</f>
        <v>https://www.mouser.ch/ProductDetail/</v>
      </c>
      <c r="AG242" s="57"/>
      <c r="AH242" s="59"/>
      <c r="AI242" s="61" t="str">
        <f>IF(Table1[[#This Row],[Bauhaus]]="","", HYPERLINK(Table1[[#This Row],[Destination - Bauhaus]],_xlfn.CONCAT("Link (",Table1[[#This Row],[Bauhaus]],")")))</f>
        <v/>
      </c>
      <c r="AJ242" s="62" t="str">
        <f>_xlfn.CONCAT("https://www.bauhaus.ch/fr/search?query=",Table1[[#This Row],[Bauhaus]])</f>
        <v>https://www.bauhaus.ch/fr/search?query=</v>
      </c>
      <c r="AK242" s="59"/>
      <c r="AL242" s="59"/>
      <c r="AM242" s="61" t="str">
        <f>IF(Table1[[#This Row],[BricoEtLoisirs]]="","", HYPERLINK(Table1[[#This Row],[Destination - BricoEtLoisirs]],_xlfn.CONCAT("Link (",Table1[[#This Row],[BricoEtLoisirs]],")")))</f>
        <v/>
      </c>
      <c r="AN242" s="62" t="str">
        <f>_xlfn.CONCAT("https://bricoetloisirs.ch/p/",Table1[[#This Row],[BricoEtLoisirs]])</f>
        <v>https://bricoetloisirs.ch/p/</v>
      </c>
      <c r="AO242" s="57"/>
      <c r="AP242" s="59"/>
      <c r="AQ242" s="61" t="str">
        <f>IF(Table1[[#This Row],[Aliexpress]]="","", HYPERLINK(Table1[[#This Row],[Destination - Aliexpress]],_xlfn.CONCAT("Link (",Table1[[#This Row],[Aliexpress]],")")))</f>
        <v/>
      </c>
      <c r="AR242" s="62" t="str">
        <f>_xlfn.CONCAT("https://www.aliexpress.com/item/",Table1[[#This Row],[Aliexpress]],".html")</f>
        <v>https://www.aliexpress.com/item/.html</v>
      </c>
      <c r="AS242" s="57"/>
      <c r="AT242" s="59"/>
      <c r="AU242" s="61" t="str">
        <f>IF(Table1[[#This Row],[Banggood]]="","", HYPERLINK(Table1[[#This Row],[Destination - Banggood]],_xlfn.CONCAT("Link (",Table1[[#This Row],[Banggood]],")")))</f>
        <v/>
      </c>
      <c r="AV242" s="62" t="str">
        <f>_xlfn.CONCAT("https://www.banggood.com/search/",Table1[[#This Row],[Banggood]],".html")</f>
        <v>https://www.banggood.com/search/.html</v>
      </c>
      <c r="AW242" s="59" t="str">
        <f>IF(Table1[[#This Row],[Other]]&lt;&gt;"","Other","")</f>
        <v/>
      </c>
      <c r="AX242" s="57"/>
      <c r="AY242" s="59"/>
      <c r="AZ242" s="61" t="str">
        <f>IF(Table1[[#This Row],[Other]]="","",IF(Table1[[#This Row],[Destination - Other]]="","",HYPERLINK(Table1[[#This Row],[Destination - Other]],_xlfn.CONCAT("Link ("&amp;Table1[[#This Row],[Other]]&amp;")"))))</f>
        <v/>
      </c>
      <c r="BA242" s="59"/>
      <c r="BB242" s="58" t="str">
        <f>IF(AND( Table1[[#This Row],[Auto Order]]=1,Table1[[#This Row],[Obsolete]]=""),IF(Table1[[#This Row],[In stock]]&lt;Table1[[#This Row],[Min in stock]],1,""),"")</f>
        <v/>
      </c>
      <c r="BC242" s="64"/>
      <c r="BD242" s="66" t="str">
        <f>IF(Table1[[#This Row],[Obsolete]],Table1[[#This Row],[Art. Number]],"")</f>
        <v/>
      </c>
    </row>
    <row r="243" spans="1:56" x14ac:dyDescent="0.25">
      <c r="A243" s="65" t="s">
        <v>1432</v>
      </c>
      <c r="B243" s="57" t="s">
        <v>168</v>
      </c>
      <c r="C243" s="57" t="s">
        <v>97</v>
      </c>
      <c r="D243" s="57" t="s">
        <v>1433</v>
      </c>
      <c r="E243" s="57" t="s">
        <v>151</v>
      </c>
      <c r="F243" s="58">
        <v>0</v>
      </c>
      <c r="G243" s="58"/>
      <c r="H243" s="58"/>
      <c r="I24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RHM20KDCT-ND</v>
      </c>
      <c r="J24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(RHM20KDCT-ND)</v>
      </c>
      <c r="M243" s="57" t="s">
        <v>1434</v>
      </c>
      <c r="N243" s="59">
        <v>0.1</v>
      </c>
      <c r="O243" s="61" t="str">
        <f>IF(Table1[[#This Row],[Digikey]]="","", HYPERLINK(Table1[[#This Row],[Destination - Digikey]],_xlfn.CONCAT("Link (",Table1[[#This Row],[Digikey]],")")))</f>
        <v>Link (RHM20KDCT-ND)</v>
      </c>
      <c r="P243" s="62" t="str">
        <f>_xlfn.CONCAT("https://www.digikey.ch/products/en?keywords=",Table1[[#This Row],[Digikey]])</f>
        <v>https://www.digikey.ch/products/en?keywords=RHM20KDCT-ND</v>
      </c>
      <c r="Q243" s="57"/>
      <c r="R243" s="59"/>
      <c r="S243" s="61" t="str">
        <f>IF(Table1[[#This Row],[Farnell]]="","", HYPERLINK(Table1[[#This Row],[Destination - Farnell]],_xlfn.CONCAT("Link (",Table1[[#This Row],[Farnell]],")")))</f>
        <v/>
      </c>
      <c r="T243" s="62" t="str">
        <f>_xlfn.CONCAT("https://ch.farnell.com/fr-CH/",Table1[[#This Row],[Farnell]])</f>
        <v>https://ch.farnell.com/fr-CH/</v>
      </c>
      <c r="U243" s="57"/>
      <c r="V243" s="59"/>
      <c r="W243" s="61" t="str">
        <f>IF(Table1[[#This Row],[Distrelec]]="","", HYPERLINK(Table1[[#This Row],[Destination - Distrelec]],_xlfn.CONCAT("Link (",Table1[[#This Row],[Distrelec]],")")))</f>
        <v/>
      </c>
      <c r="X243" s="62" t="str">
        <f>_xlfn.CONCAT("https://www.distrelec.ch/search?q=",Table1[[#This Row],[Distrelec]])</f>
        <v>https://www.distrelec.ch/search?q=</v>
      </c>
      <c r="Y243" s="57"/>
      <c r="Z243" s="59"/>
      <c r="AA243" s="61" t="str">
        <f>IF(Table1[[#This Row],[Conrad]]="","", HYPERLINK(Table1[[#This Row],[Destination - Conrad]],_xlfn.CONCAT("Link (",Table1[[#This Row],[Conrad]],")")))</f>
        <v/>
      </c>
      <c r="AB243" s="62"/>
      <c r="AC243" s="57"/>
      <c r="AD243" s="59"/>
      <c r="AE243" s="61" t="str">
        <f>IF(Table1[[#This Row],[Mouser]]="","", HYPERLINK(Table1[[#This Row],[Destination - Mouser]],_xlfn.CONCAT("Link (",Table1[[#This Row],[Mouser]],")")))</f>
        <v/>
      </c>
      <c r="AF243" s="62" t="str">
        <f>_xlfn.CONCAT("https://www.mouser.ch/ProductDetail/",Table1[[#This Row],[Mouser]])</f>
        <v>https://www.mouser.ch/ProductDetail/</v>
      </c>
      <c r="AG243" s="57"/>
      <c r="AH243" s="59"/>
      <c r="AI243" s="61" t="str">
        <f>IF(Table1[[#This Row],[Bauhaus]]="","", HYPERLINK(Table1[[#This Row],[Destination - Bauhaus]],_xlfn.CONCAT("Link (",Table1[[#This Row],[Bauhaus]],")")))</f>
        <v/>
      </c>
      <c r="AJ243" s="62" t="str">
        <f>_xlfn.CONCAT("https://www.bauhaus.ch/fr/search?query=",Table1[[#This Row],[Bauhaus]])</f>
        <v>https://www.bauhaus.ch/fr/search?query=</v>
      </c>
      <c r="AK243" s="59"/>
      <c r="AL243" s="59"/>
      <c r="AM243" s="61" t="str">
        <f>IF(Table1[[#This Row],[BricoEtLoisirs]]="","", HYPERLINK(Table1[[#This Row],[Destination - BricoEtLoisirs]],_xlfn.CONCAT("Link (",Table1[[#This Row],[BricoEtLoisirs]],")")))</f>
        <v/>
      </c>
      <c r="AN243" s="62" t="str">
        <f>_xlfn.CONCAT("https://bricoetloisirs.ch/p/",Table1[[#This Row],[BricoEtLoisirs]])</f>
        <v>https://bricoetloisirs.ch/p/</v>
      </c>
      <c r="AO243" s="57"/>
      <c r="AP243" s="59"/>
      <c r="AQ243" s="61" t="str">
        <f>IF(Table1[[#This Row],[Aliexpress]]="","", HYPERLINK(Table1[[#This Row],[Destination - Aliexpress]],_xlfn.CONCAT("Link (",Table1[[#This Row],[Aliexpress]],")")))</f>
        <v/>
      </c>
      <c r="AR243" s="62" t="str">
        <f>_xlfn.CONCAT("https://www.aliexpress.com/item/",Table1[[#This Row],[Aliexpress]],".html")</f>
        <v>https://www.aliexpress.com/item/.html</v>
      </c>
      <c r="AS243" s="57"/>
      <c r="AT243" s="59"/>
      <c r="AU243" s="61" t="str">
        <f>IF(Table1[[#This Row],[Banggood]]="","", HYPERLINK(Table1[[#This Row],[Destination - Banggood]],_xlfn.CONCAT("Link (",Table1[[#This Row],[Banggood]],")")))</f>
        <v/>
      </c>
      <c r="AV243" s="62" t="str">
        <f>_xlfn.CONCAT("https://www.banggood.com/search/",Table1[[#This Row],[Banggood]],".html")</f>
        <v>https://www.banggood.com/search/.html</v>
      </c>
      <c r="AW243" s="59" t="str">
        <f>IF(Table1[[#This Row],[Other]]&lt;&gt;"","Other","")</f>
        <v/>
      </c>
      <c r="AX243" s="57"/>
      <c r="AY243" s="59"/>
      <c r="AZ243" s="61" t="str">
        <f>IF(Table1[[#This Row],[Other]]="","",IF(Table1[[#This Row],[Destination - Other]]="","",HYPERLINK(Table1[[#This Row],[Destination - Other]],_xlfn.CONCAT("Link ("&amp;Table1[[#This Row],[Other]]&amp;")"))))</f>
        <v/>
      </c>
      <c r="BA243" s="59"/>
      <c r="BB243" s="58" t="str">
        <f>IF(AND( Table1[[#This Row],[Auto Order]]=1,Table1[[#This Row],[Obsolete]]=""),IF(Table1[[#This Row],[In stock]]&lt;Table1[[#This Row],[Min in stock]],1,""),"")</f>
        <v/>
      </c>
      <c r="BC243" s="64"/>
      <c r="BD243" s="66" t="str">
        <f>IF(Table1[[#This Row],[Obsolete]],Table1[[#This Row],[Art. Number]],"")</f>
        <v/>
      </c>
    </row>
    <row r="244" spans="1:56" x14ac:dyDescent="0.25">
      <c r="A244" s="65" t="s">
        <v>1438</v>
      </c>
      <c r="B244" s="57" t="s">
        <v>168</v>
      </c>
      <c r="C244" s="57" t="s">
        <v>97</v>
      </c>
      <c r="D244" s="57" t="s">
        <v>1439</v>
      </c>
      <c r="E244" s="57" t="s">
        <v>151</v>
      </c>
      <c r="F244" s="58">
        <v>0</v>
      </c>
      <c r="G244" s="58"/>
      <c r="H244" s="58"/>
      <c r="I24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RHM200KDCT-ND</v>
      </c>
      <c r="J24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(RHM200KDCT-ND)</v>
      </c>
      <c r="M244" s="57" t="s">
        <v>1440</v>
      </c>
      <c r="N244" s="59">
        <v>0.1</v>
      </c>
      <c r="O244" s="61" t="str">
        <f>IF(Table1[[#This Row],[Digikey]]="","", HYPERLINK(Table1[[#This Row],[Destination - Digikey]],_xlfn.CONCAT("Link (",Table1[[#This Row],[Digikey]],")")))</f>
        <v>Link (RHM200KDCT-ND)</v>
      </c>
      <c r="P244" s="62" t="str">
        <f>_xlfn.CONCAT("https://www.digikey.ch/products/en?keywords=",Table1[[#This Row],[Digikey]])</f>
        <v>https://www.digikey.ch/products/en?keywords=RHM200KDCT-ND</v>
      </c>
      <c r="Q244" s="57"/>
      <c r="R244" s="59"/>
      <c r="S244" s="61" t="str">
        <f>IF(Table1[[#This Row],[Farnell]]="","", HYPERLINK(Table1[[#This Row],[Destination - Farnell]],_xlfn.CONCAT("Link (",Table1[[#This Row],[Farnell]],")")))</f>
        <v/>
      </c>
      <c r="T244" s="62" t="str">
        <f>_xlfn.CONCAT("https://ch.farnell.com/fr-CH/",Table1[[#This Row],[Farnell]])</f>
        <v>https://ch.farnell.com/fr-CH/</v>
      </c>
      <c r="U244" s="57"/>
      <c r="V244" s="59"/>
      <c r="W244" s="61" t="str">
        <f>IF(Table1[[#This Row],[Distrelec]]="","", HYPERLINK(Table1[[#This Row],[Destination - Distrelec]],_xlfn.CONCAT("Link (",Table1[[#This Row],[Distrelec]],")")))</f>
        <v/>
      </c>
      <c r="X244" s="62" t="str">
        <f>_xlfn.CONCAT("https://www.distrelec.ch/search?q=",Table1[[#This Row],[Distrelec]])</f>
        <v>https://www.distrelec.ch/search?q=</v>
      </c>
      <c r="Y244" s="57"/>
      <c r="Z244" s="59"/>
      <c r="AA244" s="61" t="str">
        <f>IF(Table1[[#This Row],[Conrad]]="","", HYPERLINK(Table1[[#This Row],[Destination - Conrad]],_xlfn.CONCAT("Link (",Table1[[#This Row],[Conrad]],")")))</f>
        <v/>
      </c>
      <c r="AB244" s="62"/>
      <c r="AC244" s="57"/>
      <c r="AD244" s="59"/>
      <c r="AE244" s="61" t="str">
        <f>IF(Table1[[#This Row],[Mouser]]="","", HYPERLINK(Table1[[#This Row],[Destination - Mouser]],_xlfn.CONCAT("Link (",Table1[[#This Row],[Mouser]],")")))</f>
        <v/>
      </c>
      <c r="AF244" s="62" t="str">
        <f>_xlfn.CONCAT("https://www.mouser.ch/ProductDetail/",Table1[[#This Row],[Mouser]])</f>
        <v>https://www.mouser.ch/ProductDetail/</v>
      </c>
      <c r="AG244" s="57"/>
      <c r="AH244" s="59"/>
      <c r="AI244" s="61" t="str">
        <f>IF(Table1[[#This Row],[Bauhaus]]="","", HYPERLINK(Table1[[#This Row],[Destination - Bauhaus]],_xlfn.CONCAT("Link (",Table1[[#This Row],[Bauhaus]],")")))</f>
        <v/>
      </c>
      <c r="AJ244" s="62" t="str">
        <f>_xlfn.CONCAT("https://www.bauhaus.ch/fr/search?query=",Table1[[#This Row],[Bauhaus]])</f>
        <v>https://www.bauhaus.ch/fr/search?query=</v>
      </c>
      <c r="AK244" s="59"/>
      <c r="AL244" s="59"/>
      <c r="AM244" s="61" t="str">
        <f>IF(Table1[[#This Row],[BricoEtLoisirs]]="","", HYPERLINK(Table1[[#This Row],[Destination - BricoEtLoisirs]],_xlfn.CONCAT("Link (",Table1[[#This Row],[BricoEtLoisirs]],")")))</f>
        <v/>
      </c>
      <c r="AN244" s="62" t="str">
        <f>_xlfn.CONCAT("https://bricoetloisirs.ch/p/",Table1[[#This Row],[BricoEtLoisirs]])</f>
        <v>https://bricoetloisirs.ch/p/</v>
      </c>
      <c r="AO244" s="57"/>
      <c r="AP244" s="59"/>
      <c r="AQ244" s="61" t="str">
        <f>IF(Table1[[#This Row],[Aliexpress]]="","", HYPERLINK(Table1[[#This Row],[Destination - Aliexpress]],_xlfn.CONCAT("Link (",Table1[[#This Row],[Aliexpress]],")")))</f>
        <v/>
      </c>
      <c r="AR244" s="62" t="str">
        <f>_xlfn.CONCAT("https://www.aliexpress.com/item/",Table1[[#This Row],[Aliexpress]],".html")</f>
        <v>https://www.aliexpress.com/item/.html</v>
      </c>
      <c r="AS244" s="57"/>
      <c r="AT244" s="59"/>
      <c r="AU244" s="61" t="str">
        <f>IF(Table1[[#This Row],[Banggood]]="","", HYPERLINK(Table1[[#This Row],[Destination - Banggood]],_xlfn.CONCAT("Link (",Table1[[#This Row],[Banggood]],")")))</f>
        <v/>
      </c>
      <c r="AV244" s="62" t="str">
        <f>_xlfn.CONCAT("https://www.banggood.com/search/",Table1[[#This Row],[Banggood]],".html")</f>
        <v>https://www.banggood.com/search/.html</v>
      </c>
      <c r="AW244" s="59" t="str">
        <f>IF(Table1[[#This Row],[Other]]&lt;&gt;"","Other","")</f>
        <v/>
      </c>
      <c r="AX244" s="57"/>
      <c r="AY244" s="59"/>
      <c r="AZ244" s="61" t="str">
        <f>IF(Table1[[#This Row],[Other]]="","",IF(Table1[[#This Row],[Destination - Other]]="","",HYPERLINK(Table1[[#This Row],[Destination - Other]],_xlfn.CONCAT("Link ("&amp;Table1[[#This Row],[Other]]&amp;")"))))</f>
        <v/>
      </c>
      <c r="BA244" s="59"/>
      <c r="BB244" s="58" t="str">
        <f>IF(AND( Table1[[#This Row],[Auto Order]]=1,Table1[[#This Row],[Obsolete]]=""),IF(Table1[[#This Row],[In stock]]&lt;Table1[[#This Row],[Min in stock]],1,""),"")</f>
        <v/>
      </c>
      <c r="BC244" s="64"/>
      <c r="BD244" s="66" t="str">
        <f>IF(Table1[[#This Row],[Obsolete]],Table1[[#This Row],[Art. Number]],"")</f>
        <v/>
      </c>
    </row>
    <row r="245" spans="1:56" x14ac:dyDescent="0.25">
      <c r="A245" s="65" t="s">
        <v>1444</v>
      </c>
      <c r="B245" s="57" t="s">
        <v>168</v>
      </c>
      <c r="C245" s="57" t="s">
        <v>97</v>
      </c>
      <c r="D245" s="57" t="s">
        <v>1445</v>
      </c>
      <c r="E245" s="57" t="s">
        <v>151</v>
      </c>
      <c r="F245" s="58">
        <v>0</v>
      </c>
      <c r="G245" s="58"/>
      <c r="H245" s="58"/>
      <c r="I24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RHM2MDCT-ND</v>
      </c>
      <c r="J24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(RHM2MDCT-ND)</v>
      </c>
      <c r="M245" s="57" t="s">
        <v>1446</v>
      </c>
      <c r="N245" s="59">
        <v>0.1</v>
      </c>
      <c r="O245" s="61" t="str">
        <f>IF(Table1[[#This Row],[Digikey]]="","", HYPERLINK(Table1[[#This Row],[Destination - Digikey]],_xlfn.CONCAT("Link (",Table1[[#This Row],[Digikey]],")")))</f>
        <v>Link (RHM2MDCT-ND)</v>
      </c>
      <c r="P245" s="62" t="str">
        <f>_xlfn.CONCAT("https://www.digikey.ch/products/en?keywords=",Table1[[#This Row],[Digikey]])</f>
        <v>https://www.digikey.ch/products/en?keywords=RHM2MDCT-ND</v>
      </c>
      <c r="Q245" s="57"/>
      <c r="R245" s="59"/>
      <c r="S245" s="61" t="str">
        <f>IF(Table1[[#This Row],[Farnell]]="","", HYPERLINK(Table1[[#This Row],[Destination - Farnell]],_xlfn.CONCAT("Link (",Table1[[#This Row],[Farnell]],")")))</f>
        <v/>
      </c>
      <c r="T245" s="62" t="str">
        <f>_xlfn.CONCAT("https://ch.farnell.com/fr-CH/",Table1[[#This Row],[Farnell]])</f>
        <v>https://ch.farnell.com/fr-CH/</v>
      </c>
      <c r="U245" s="57"/>
      <c r="V245" s="59"/>
      <c r="W245" s="61" t="str">
        <f>IF(Table1[[#This Row],[Distrelec]]="","", HYPERLINK(Table1[[#This Row],[Destination - Distrelec]],_xlfn.CONCAT("Link (",Table1[[#This Row],[Distrelec]],")")))</f>
        <v/>
      </c>
      <c r="X245" s="62" t="str">
        <f>_xlfn.CONCAT("https://www.distrelec.ch/search?q=",Table1[[#This Row],[Distrelec]])</f>
        <v>https://www.distrelec.ch/search?q=</v>
      </c>
      <c r="Y245" s="57"/>
      <c r="Z245" s="59"/>
      <c r="AA245" s="61" t="str">
        <f>IF(Table1[[#This Row],[Conrad]]="","", HYPERLINK(Table1[[#This Row],[Destination - Conrad]],_xlfn.CONCAT("Link (",Table1[[#This Row],[Conrad]],")")))</f>
        <v/>
      </c>
      <c r="AB245" s="62"/>
      <c r="AC245" s="57"/>
      <c r="AD245" s="59"/>
      <c r="AE245" s="61" t="str">
        <f>IF(Table1[[#This Row],[Mouser]]="","", HYPERLINK(Table1[[#This Row],[Destination - Mouser]],_xlfn.CONCAT("Link (",Table1[[#This Row],[Mouser]],")")))</f>
        <v/>
      </c>
      <c r="AF245" s="62" t="str">
        <f>_xlfn.CONCAT("https://www.mouser.ch/ProductDetail/",Table1[[#This Row],[Mouser]])</f>
        <v>https://www.mouser.ch/ProductDetail/</v>
      </c>
      <c r="AG245" s="57"/>
      <c r="AH245" s="59"/>
      <c r="AI245" s="61" t="str">
        <f>IF(Table1[[#This Row],[Bauhaus]]="","", HYPERLINK(Table1[[#This Row],[Destination - Bauhaus]],_xlfn.CONCAT("Link (",Table1[[#This Row],[Bauhaus]],")")))</f>
        <v/>
      </c>
      <c r="AJ245" s="62" t="str">
        <f>_xlfn.CONCAT("https://www.bauhaus.ch/fr/search?query=",Table1[[#This Row],[Bauhaus]])</f>
        <v>https://www.bauhaus.ch/fr/search?query=</v>
      </c>
      <c r="AK245" s="59"/>
      <c r="AL245" s="59"/>
      <c r="AM245" s="61" t="str">
        <f>IF(Table1[[#This Row],[BricoEtLoisirs]]="","", HYPERLINK(Table1[[#This Row],[Destination - BricoEtLoisirs]],_xlfn.CONCAT("Link (",Table1[[#This Row],[BricoEtLoisirs]],")")))</f>
        <v/>
      </c>
      <c r="AN245" s="62" t="str">
        <f>_xlfn.CONCAT("https://bricoetloisirs.ch/p/",Table1[[#This Row],[BricoEtLoisirs]])</f>
        <v>https://bricoetloisirs.ch/p/</v>
      </c>
      <c r="AO245" s="57"/>
      <c r="AP245" s="59"/>
      <c r="AQ245" s="61" t="str">
        <f>IF(Table1[[#This Row],[Aliexpress]]="","", HYPERLINK(Table1[[#This Row],[Destination - Aliexpress]],_xlfn.CONCAT("Link (",Table1[[#This Row],[Aliexpress]],")")))</f>
        <v/>
      </c>
      <c r="AR245" s="62" t="str">
        <f>_xlfn.CONCAT("https://www.aliexpress.com/item/",Table1[[#This Row],[Aliexpress]],".html")</f>
        <v>https://www.aliexpress.com/item/.html</v>
      </c>
      <c r="AS245" s="57"/>
      <c r="AT245" s="59"/>
      <c r="AU245" s="61" t="str">
        <f>IF(Table1[[#This Row],[Banggood]]="","", HYPERLINK(Table1[[#This Row],[Destination - Banggood]],_xlfn.CONCAT("Link (",Table1[[#This Row],[Banggood]],")")))</f>
        <v/>
      </c>
      <c r="AV245" s="62" t="str">
        <f>_xlfn.CONCAT("https://www.banggood.com/search/",Table1[[#This Row],[Banggood]],".html")</f>
        <v>https://www.banggood.com/search/.html</v>
      </c>
      <c r="AW245" s="59" t="str">
        <f>IF(Table1[[#This Row],[Other]]&lt;&gt;"","Other","")</f>
        <v/>
      </c>
      <c r="AX245" s="57"/>
      <c r="AY245" s="59"/>
      <c r="AZ245" s="61" t="str">
        <f>IF(Table1[[#This Row],[Other]]="","",IF(Table1[[#This Row],[Destination - Other]]="","",HYPERLINK(Table1[[#This Row],[Destination - Other]],_xlfn.CONCAT("Link ("&amp;Table1[[#This Row],[Other]]&amp;")"))))</f>
        <v/>
      </c>
      <c r="BA245" s="59"/>
      <c r="BB245" s="58" t="str">
        <f>IF(AND( Table1[[#This Row],[Auto Order]]=1,Table1[[#This Row],[Obsolete]]=""),IF(Table1[[#This Row],[In stock]]&lt;Table1[[#This Row],[Min in stock]],1,""),"")</f>
        <v/>
      </c>
      <c r="BC245" s="64"/>
      <c r="BD245" s="66" t="str">
        <f>IF(Table1[[#This Row],[Obsolete]],Table1[[#This Row],[Art. Number]],"")</f>
        <v/>
      </c>
    </row>
    <row r="246" spans="1:56" x14ac:dyDescent="0.25">
      <c r="A246" s="65" t="s">
        <v>1450</v>
      </c>
      <c r="B246" s="57" t="s">
        <v>168</v>
      </c>
      <c r="C246" s="57" t="s">
        <v>97</v>
      </c>
      <c r="D246" s="57" t="s">
        <v>1451</v>
      </c>
      <c r="E246" s="57" t="s">
        <v>151</v>
      </c>
      <c r="F246" s="58">
        <v>0</v>
      </c>
      <c r="G246" s="58"/>
      <c r="H246" s="58"/>
      <c r="I24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RHM22DCT-ND</v>
      </c>
      <c r="J24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(RHM22DCT-ND)</v>
      </c>
      <c r="M246" s="57" t="s">
        <v>1452</v>
      </c>
      <c r="N246" s="59">
        <v>0.1</v>
      </c>
      <c r="O246" s="61" t="str">
        <f>IF(Table1[[#This Row],[Digikey]]="","", HYPERLINK(Table1[[#This Row],[Destination - Digikey]],_xlfn.CONCAT("Link (",Table1[[#This Row],[Digikey]],")")))</f>
        <v>Link (RHM22DCT-ND)</v>
      </c>
      <c r="P246" s="62" t="str">
        <f>_xlfn.CONCAT("https://www.digikey.ch/products/en?keywords=",Table1[[#This Row],[Digikey]])</f>
        <v>https://www.digikey.ch/products/en?keywords=RHM22DCT-ND</v>
      </c>
      <c r="Q246" s="57"/>
      <c r="R246" s="59"/>
      <c r="S246" s="61" t="str">
        <f>IF(Table1[[#This Row],[Farnell]]="","", HYPERLINK(Table1[[#This Row],[Destination - Farnell]],_xlfn.CONCAT("Link (",Table1[[#This Row],[Farnell]],")")))</f>
        <v/>
      </c>
      <c r="T246" s="62" t="str">
        <f>_xlfn.CONCAT("https://ch.farnell.com/fr-CH/",Table1[[#This Row],[Farnell]])</f>
        <v>https://ch.farnell.com/fr-CH/</v>
      </c>
      <c r="U246" s="57"/>
      <c r="V246" s="59"/>
      <c r="W246" s="61" t="str">
        <f>IF(Table1[[#This Row],[Distrelec]]="","", HYPERLINK(Table1[[#This Row],[Destination - Distrelec]],_xlfn.CONCAT("Link (",Table1[[#This Row],[Distrelec]],")")))</f>
        <v/>
      </c>
      <c r="X246" s="62" t="str">
        <f>_xlfn.CONCAT("https://www.distrelec.ch/search?q=",Table1[[#This Row],[Distrelec]])</f>
        <v>https://www.distrelec.ch/search?q=</v>
      </c>
      <c r="Y246" s="57"/>
      <c r="Z246" s="59"/>
      <c r="AA246" s="61" t="str">
        <f>IF(Table1[[#This Row],[Conrad]]="","", HYPERLINK(Table1[[#This Row],[Destination - Conrad]],_xlfn.CONCAT("Link (",Table1[[#This Row],[Conrad]],")")))</f>
        <v/>
      </c>
      <c r="AB246" s="62"/>
      <c r="AC246" s="57"/>
      <c r="AD246" s="59"/>
      <c r="AE246" s="61" t="str">
        <f>IF(Table1[[#This Row],[Mouser]]="","", HYPERLINK(Table1[[#This Row],[Destination - Mouser]],_xlfn.CONCAT("Link (",Table1[[#This Row],[Mouser]],")")))</f>
        <v/>
      </c>
      <c r="AF246" s="62" t="str">
        <f>_xlfn.CONCAT("https://www.mouser.ch/ProductDetail/",Table1[[#This Row],[Mouser]])</f>
        <v>https://www.mouser.ch/ProductDetail/</v>
      </c>
      <c r="AG246" s="57"/>
      <c r="AH246" s="59"/>
      <c r="AI246" s="61" t="str">
        <f>IF(Table1[[#This Row],[Bauhaus]]="","", HYPERLINK(Table1[[#This Row],[Destination - Bauhaus]],_xlfn.CONCAT("Link (",Table1[[#This Row],[Bauhaus]],")")))</f>
        <v/>
      </c>
      <c r="AJ246" s="62" t="str">
        <f>_xlfn.CONCAT("https://www.bauhaus.ch/fr/search?query=",Table1[[#This Row],[Bauhaus]])</f>
        <v>https://www.bauhaus.ch/fr/search?query=</v>
      </c>
      <c r="AK246" s="59"/>
      <c r="AL246" s="59"/>
      <c r="AM246" s="61" t="str">
        <f>IF(Table1[[#This Row],[BricoEtLoisirs]]="","", HYPERLINK(Table1[[#This Row],[Destination - BricoEtLoisirs]],_xlfn.CONCAT("Link (",Table1[[#This Row],[BricoEtLoisirs]],")")))</f>
        <v/>
      </c>
      <c r="AN246" s="62" t="str">
        <f>_xlfn.CONCAT("https://bricoetloisirs.ch/p/",Table1[[#This Row],[BricoEtLoisirs]])</f>
        <v>https://bricoetloisirs.ch/p/</v>
      </c>
      <c r="AO246" s="57"/>
      <c r="AP246" s="59"/>
      <c r="AQ246" s="61" t="str">
        <f>IF(Table1[[#This Row],[Aliexpress]]="","", HYPERLINK(Table1[[#This Row],[Destination - Aliexpress]],_xlfn.CONCAT("Link (",Table1[[#This Row],[Aliexpress]],")")))</f>
        <v/>
      </c>
      <c r="AR246" s="62" t="str">
        <f>_xlfn.CONCAT("https://www.aliexpress.com/item/",Table1[[#This Row],[Aliexpress]],".html")</f>
        <v>https://www.aliexpress.com/item/.html</v>
      </c>
      <c r="AS246" s="57"/>
      <c r="AT246" s="59"/>
      <c r="AU246" s="61" t="str">
        <f>IF(Table1[[#This Row],[Banggood]]="","", HYPERLINK(Table1[[#This Row],[Destination - Banggood]],_xlfn.CONCAT("Link (",Table1[[#This Row],[Banggood]],")")))</f>
        <v/>
      </c>
      <c r="AV246" s="62" t="str">
        <f>_xlfn.CONCAT("https://www.banggood.com/search/",Table1[[#This Row],[Banggood]],".html")</f>
        <v>https://www.banggood.com/search/.html</v>
      </c>
      <c r="AW246" s="59" t="str">
        <f>IF(Table1[[#This Row],[Other]]&lt;&gt;"","Other","")</f>
        <v/>
      </c>
      <c r="AX246" s="57"/>
      <c r="AY246" s="59"/>
      <c r="AZ246" s="61" t="str">
        <f>IF(Table1[[#This Row],[Other]]="","",IF(Table1[[#This Row],[Destination - Other]]="","",HYPERLINK(Table1[[#This Row],[Destination - Other]],_xlfn.CONCAT("Link ("&amp;Table1[[#This Row],[Other]]&amp;")"))))</f>
        <v/>
      </c>
      <c r="BA246" s="59"/>
      <c r="BB246" s="58" t="str">
        <f>IF(AND( Table1[[#This Row],[Auto Order]]=1,Table1[[#This Row],[Obsolete]]=""),IF(Table1[[#This Row],[In stock]]&lt;Table1[[#This Row],[Min in stock]],1,""),"")</f>
        <v/>
      </c>
      <c r="BC246" s="64"/>
      <c r="BD246" s="66" t="str">
        <f>IF(Table1[[#This Row],[Obsolete]],Table1[[#This Row],[Art. Number]],"")</f>
        <v/>
      </c>
    </row>
    <row r="247" spans="1:56" x14ac:dyDescent="0.25">
      <c r="A247" s="65" t="s">
        <v>1456</v>
      </c>
      <c r="B247" s="57" t="s">
        <v>168</v>
      </c>
      <c r="C247" s="57" t="s">
        <v>97</v>
      </c>
      <c r="D247" s="57" t="s">
        <v>1457</v>
      </c>
      <c r="E247" s="57" t="s">
        <v>151</v>
      </c>
      <c r="F247" s="58">
        <v>0</v>
      </c>
      <c r="G247" s="58"/>
      <c r="H247" s="58"/>
      <c r="I24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RHM220DCT-ND</v>
      </c>
      <c r="J24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(RHM220DCT-ND)</v>
      </c>
      <c r="M247" s="57" t="s">
        <v>1458</v>
      </c>
      <c r="N247" s="59">
        <v>0.1</v>
      </c>
      <c r="O247" s="61" t="str">
        <f>IF(Table1[[#This Row],[Digikey]]="","", HYPERLINK(Table1[[#This Row],[Destination - Digikey]],_xlfn.CONCAT("Link (",Table1[[#This Row],[Digikey]],")")))</f>
        <v>Link (RHM220DCT-ND)</v>
      </c>
      <c r="P247" s="62" t="str">
        <f>_xlfn.CONCAT("https://www.digikey.ch/products/en?keywords=",Table1[[#This Row],[Digikey]])</f>
        <v>https://www.digikey.ch/products/en?keywords=RHM220DCT-ND</v>
      </c>
      <c r="Q247" s="57"/>
      <c r="R247" s="59"/>
      <c r="S247" s="61" t="str">
        <f>IF(Table1[[#This Row],[Farnell]]="","", HYPERLINK(Table1[[#This Row],[Destination - Farnell]],_xlfn.CONCAT("Link (",Table1[[#This Row],[Farnell]],")")))</f>
        <v/>
      </c>
      <c r="T247" s="62" t="str">
        <f>_xlfn.CONCAT("https://ch.farnell.com/fr-CH/",Table1[[#This Row],[Farnell]])</f>
        <v>https://ch.farnell.com/fr-CH/</v>
      </c>
      <c r="U247" s="57"/>
      <c r="V247" s="59"/>
      <c r="W247" s="61" t="str">
        <f>IF(Table1[[#This Row],[Distrelec]]="","", HYPERLINK(Table1[[#This Row],[Destination - Distrelec]],_xlfn.CONCAT("Link (",Table1[[#This Row],[Distrelec]],")")))</f>
        <v/>
      </c>
      <c r="X247" s="62" t="str">
        <f>_xlfn.CONCAT("https://www.distrelec.ch/search?q=",Table1[[#This Row],[Distrelec]])</f>
        <v>https://www.distrelec.ch/search?q=</v>
      </c>
      <c r="Y247" s="57"/>
      <c r="Z247" s="59"/>
      <c r="AA247" s="61" t="str">
        <f>IF(Table1[[#This Row],[Conrad]]="","", HYPERLINK(Table1[[#This Row],[Destination - Conrad]],_xlfn.CONCAT("Link (",Table1[[#This Row],[Conrad]],")")))</f>
        <v/>
      </c>
      <c r="AB247" s="62"/>
      <c r="AC247" s="57"/>
      <c r="AD247" s="59"/>
      <c r="AE247" s="61" t="str">
        <f>IF(Table1[[#This Row],[Mouser]]="","", HYPERLINK(Table1[[#This Row],[Destination - Mouser]],_xlfn.CONCAT("Link (",Table1[[#This Row],[Mouser]],")")))</f>
        <v/>
      </c>
      <c r="AF247" s="62" t="str">
        <f>_xlfn.CONCAT("https://www.mouser.ch/ProductDetail/",Table1[[#This Row],[Mouser]])</f>
        <v>https://www.mouser.ch/ProductDetail/</v>
      </c>
      <c r="AG247" s="57"/>
      <c r="AH247" s="59"/>
      <c r="AI247" s="61" t="str">
        <f>IF(Table1[[#This Row],[Bauhaus]]="","", HYPERLINK(Table1[[#This Row],[Destination - Bauhaus]],_xlfn.CONCAT("Link (",Table1[[#This Row],[Bauhaus]],")")))</f>
        <v/>
      </c>
      <c r="AJ247" s="62" t="str">
        <f>_xlfn.CONCAT("https://www.bauhaus.ch/fr/search?query=",Table1[[#This Row],[Bauhaus]])</f>
        <v>https://www.bauhaus.ch/fr/search?query=</v>
      </c>
      <c r="AK247" s="59"/>
      <c r="AL247" s="59"/>
      <c r="AM247" s="61" t="str">
        <f>IF(Table1[[#This Row],[BricoEtLoisirs]]="","", HYPERLINK(Table1[[#This Row],[Destination - BricoEtLoisirs]],_xlfn.CONCAT("Link (",Table1[[#This Row],[BricoEtLoisirs]],")")))</f>
        <v/>
      </c>
      <c r="AN247" s="62" t="str">
        <f>_xlfn.CONCAT("https://bricoetloisirs.ch/p/",Table1[[#This Row],[BricoEtLoisirs]])</f>
        <v>https://bricoetloisirs.ch/p/</v>
      </c>
      <c r="AO247" s="57"/>
      <c r="AP247" s="59"/>
      <c r="AQ247" s="61" t="str">
        <f>IF(Table1[[#This Row],[Aliexpress]]="","", HYPERLINK(Table1[[#This Row],[Destination - Aliexpress]],_xlfn.CONCAT("Link (",Table1[[#This Row],[Aliexpress]],")")))</f>
        <v/>
      </c>
      <c r="AR247" s="62" t="str">
        <f>_xlfn.CONCAT("https://www.aliexpress.com/item/",Table1[[#This Row],[Aliexpress]],".html")</f>
        <v>https://www.aliexpress.com/item/.html</v>
      </c>
      <c r="AS247" s="57"/>
      <c r="AT247" s="59"/>
      <c r="AU247" s="61" t="str">
        <f>IF(Table1[[#This Row],[Banggood]]="","", HYPERLINK(Table1[[#This Row],[Destination - Banggood]],_xlfn.CONCAT("Link (",Table1[[#This Row],[Banggood]],")")))</f>
        <v/>
      </c>
      <c r="AV247" s="62" t="str">
        <f>_xlfn.CONCAT("https://www.banggood.com/search/",Table1[[#This Row],[Banggood]],".html")</f>
        <v>https://www.banggood.com/search/.html</v>
      </c>
      <c r="AW247" s="59" t="str">
        <f>IF(Table1[[#This Row],[Other]]&lt;&gt;"","Other","")</f>
        <v/>
      </c>
      <c r="AX247" s="57"/>
      <c r="AY247" s="59"/>
      <c r="AZ247" s="61" t="str">
        <f>IF(Table1[[#This Row],[Other]]="","",IF(Table1[[#This Row],[Destination - Other]]="","",HYPERLINK(Table1[[#This Row],[Destination - Other]],_xlfn.CONCAT("Link ("&amp;Table1[[#This Row],[Other]]&amp;")"))))</f>
        <v/>
      </c>
      <c r="BA247" s="59"/>
      <c r="BB247" s="58" t="str">
        <f>IF(AND( Table1[[#This Row],[Auto Order]]=1,Table1[[#This Row],[Obsolete]]=""),IF(Table1[[#This Row],[In stock]]&lt;Table1[[#This Row],[Min in stock]],1,""),"")</f>
        <v/>
      </c>
      <c r="BC247" s="64"/>
      <c r="BD247" s="66" t="str">
        <f>IF(Table1[[#This Row],[Obsolete]],Table1[[#This Row],[Art. Number]],"")</f>
        <v/>
      </c>
    </row>
    <row r="248" spans="1:56" x14ac:dyDescent="0.25">
      <c r="A248" s="65" t="s">
        <v>1462</v>
      </c>
      <c r="B248" s="57" t="s">
        <v>168</v>
      </c>
      <c r="C248" s="57" t="s">
        <v>1463</v>
      </c>
      <c r="D248" s="57" t="s">
        <v>1464</v>
      </c>
      <c r="E248" s="57" t="s">
        <v>151</v>
      </c>
      <c r="F248" s="58">
        <v>10</v>
      </c>
      <c r="G248" s="58">
        <v>10</v>
      </c>
      <c r="H248" s="58">
        <v>1</v>
      </c>
      <c r="I24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RHM2.2KDCT-ND</v>
      </c>
      <c r="J24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(RHM2.2KDCT-ND)</v>
      </c>
      <c r="M248" s="57" t="s">
        <v>1465</v>
      </c>
      <c r="N248" s="59">
        <v>0.1</v>
      </c>
      <c r="O248" s="61" t="str">
        <f>IF(Table1[[#This Row],[Digikey]]="","", HYPERLINK(Table1[[#This Row],[Destination - Digikey]],_xlfn.CONCAT("Link (",Table1[[#This Row],[Digikey]],")")))</f>
        <v>Link (RHM2.2KDCT-ND)</v>
      </c>
      <c r="P248" s="62" t="str">
        <f>_xlfn.CONCAT("https://www.digikey.ch/products/en?keywords=",Table1[[#This Row],[Digikey]])</f>
        <v>https://www.digikey.ch/products/en?keywords=RHM2.2KDCT-ND</v>
      </c>
      <c r="Q248" s="57"/>
      <c r="R248" s="59"/>
      <c r="S248" s="61" t="str">
        <f>IF(Table1[[#This Row],[Farnell]]="","", HYPERLINK(Table1[[#This Row],[Destination - Farnell]],_xlfn.CONCAT("Link (",Table1[[#This Row],[Farnell]],")")))</f>
        <v/>
      </c>
      <c r="T248" s="62" t="str">
        <f>_xlfn.CONCAT("https://ch.farnell.com/fr-CH/",Table1[[#This Row],[Farnell]])</f>
        <v>https://ch.farnell.com/fr-CH/</v>
      </c>
      <c r="U248" s="57"/>
      <c r="V248" s="59"/>
      <c r="W248" s="61" t="str">
        <f>IF(Table1[[#This Row],[Distrelec]]="","", HYPERLINK(Table1[[#This Row],[Destination - Distrelec]],_xlfn.CONCAT("Link (",Table1[[#This Row],[Distrelec]],")")))</f>
        <v/>
      </c>
      <c r="X248" s="62" t="str">
        <f>_xlfn.CONCAT("https://www.distrelec.ch/search?q=",Table1[[#This Row],[Distrelec]])</f>
        <v>https://www.distrelec.ch/search?q=</v>
      </c>
      <c r="Y248" s="57"/>
      <c r="Z248" s="59"/>
      <c r="AA248" s="61" t="str">
        <f>IF(Table1[[#This Row],[Conrad]]="","", HYPERLINK(Table1[[#This Row],[Destination - Conrad]],_xlfn.CONCAT("Link (",Table1[[#This Row],[Conrad]],")")))</f>
        <v/>
      </c>
      <c r="AB248" s="62"/>
      <c r="AC248" s="57"/>
      <c r="AD248" s="59"/>
      <c r="AE248" s="61" t="str">
        <f>IF(Table1[[#This Row],[Mouser]]="","", HYPERLINK(Table1[[#This Row],[Destination - Mouser]],_xlfn.CONCAT("Link (",Table1[[#This Row],[Mouser]],")")))</f>
        <v/>
      </c>
      <c r="AF248" s="62" t="str">
        <f>_xlfn.CONCAT("https://www.mouser.ch/ProductDetail/",Table1[[#This Row],[Mouser]])</f>
        <v>https://www.mouser.ch/ProductDetail/</v>
      </c>
      <c r="AG248" s="57"/>
      <c r="AH248" s="59"/>
      <c r="AI248" s="61" t="str">
        <f>IF(Table1[[#This Row],[Bauhaus]]="","", HYPERLINK(Table1[[#This Row],[Destination - Bauhaus]],_xlfn.CONCAT("Link (",Table1[[#This Row],[Bauhaus]],")")))</f>
        <v/>
      </c>
      <c r="AJ248" s="62" t="str">
        <f>_xlfn.CONCAT("https://www.bauhaus.ch/fr/search?query=",Table1[[#This Row],[Bauhaus]])</f>
        <v>https://www.bauhaus.ch/fr/search?query=</v>
      </c>
      <c r="AK248" s="59"/>
      <c r="AL248" s="59"/>
      <c r="AM248" s="61" t="str">
        <f>IF(Table1[[#This Row],[BricoEtLoisirs]]="","", HYPERLINK(Table1[[#This Row],[Destination - BricoEtLoisirs]],_xlfn.CONCAT("Link (",Table1[[#This Row],[BricoEtLoisirs]],")")))</f>
        <v/>
      </c>
      <c r="AN248" s="62" t="str">
        <f>_xlfn.CONCAT("https://bricoetloisirs.ch/p/",Table1[[#This Row],[BricoEtLoisirs]])</f>
        <v>https://bricoetloisirs.ch/p/</v>
      </c>
      <c r="AO248" s="57"/>
      <c r="AP248" s="59"/>
      <c r="AQ248" s="61" t="str">
        <f>IF(Table1[[#This Row],[Aliexpress]]="","", HYPERLINK(Table1[[#This Row],[Destination - Aliexpress]],_xlfn.CONCAT("Link (",Table1[[#This Row],[Aliexpress]],")")))</f>
        <v/>
      </c>
      <c r="AR248" s="62" t="str">
        <f>_xlfn.CONCAT("https://www.aliexpress.com/item/",Table1[[#This Row],[Aliexpress]],".html")</f>
        <v>https://www.aliexpress.com/item/.html</v>
      </c>
      <c r="AS248" s="57"/>
      <c r="AT248" s="59"/>
      <c r="AU248" s="61" t="str">
        <f>IF(Table1[[#This Row],[Banggood]]="","", HYPERLINK(Table1[[#This Row],[Destination - Banggood]],_xlfn.CONCAT("Link (",Table1[[#This Row],[Banggood]],")")))</f>
        <v/>
      </c>
      <c r="AV248" s="62" t="str">
        <f>_xlfn.CONCAT("https://www.banggood.com/search/",Table1[[#This Row],[Banggood]],".html")</f>
        <v>https://www.banggood.com/search/.html</v>
      </c>
      <c r="AW248" s="59" t="str">
        <f>IF(Table1[[#This Row],[Other]]&lt;&gt;"","Other","")</f>
        <v/>
      </c>
      <c r="AX248" s="57"/>
      <c r="AY248" s="59"/>
      <c r="AZ248" s="61" t="str">
        <f>IF(Table1[[#This Row],[Other]]="","",IF(Table1[[#This Row],[Destination - Other]]="","",HYPERLINK(Table1[[#This Row],[Destination - Other]],_xlfn.CONCAT("Link ("&amp;Table1[[#This Row],[Other]]&amp;")"))))</f>
        <v/>
      </c>
      <c r="BA248" s="59"/>
      <c r="BB248" s="58" t="str">
        <f>IF(AND( Table1[[#This Row],[Auto Order]]=1,Table1[[#This Row],[Obsolete]]=""),IF(Table1[[#This Row],[In stock]]&lt;Table1[[#This Row],[Min in stock]],1,""),"")</f>
        <v/>
      </c>
      <c r="BC248" s="64"/>
      <c r="BD248" s="66" t="str">
        <f>IF(Table1[[#This Row],[Obsolete]],Table1[[#This Row],[Art. Number]],"")</f>
        <v/>
      </c>
    </row>
    <row r="249" spans="1:56" x14ac:dyDescent="0.25">
      <c r="A249" s="65" t="s">
        <v>1469</v>
      </c>
      <c r="B249" s="57" t="s">
        <v>168</v>
      </c>
      <c r="C249" s="57" t="s">
        <v>97</v>
      </c>
      <c r="D249" s="57" t="s">
        <v>1470</v>
      </c>
      <c r="E249" s="57" t="s">
        <v>151</v>
      </c>
      <c r="F249" s="58">
        <v>0</v>
      </c>
      <c r="G249" s="58"/>
      <c r="H249" s="58"/>
      <c r="I24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RHM22KDCT-ND</v>
      </c>
      <c r="J24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4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4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(RHM22KDCT-ND)</v>
      </c>
      <c r="M249" s="57" t="s">
        <v>1471</v>
      </c>
      <c r="N249" s="59">
        <v>0.1</v>
      </c>
      <c r="O249" s="61" t="str">
        <f>IF(Table1[[#This Row],[Digikey]]="","", HYPERLINK(Table1[[#This Row],[Destination - Digikey]],_xlfn.CONCAT("Link (",Table1[[#This Row],[Digikey]],")")))</f>
        <v>Link (RHM22KDCT-ND)</v>
      </c>
      <c r="P249" s="62" t="str">
        <f>_xlfn.CONCAT("https://www.digikey.ch/products/en?keywords=",Table1[[#This Row],[Digikey]])</f>
        <v>https://www.digikey.ch/products/en?keywords=RHM22KDCT-ND</v>
      </c>
      <c r="Q249" s="57"/>
      <c r="R249" s="59"/>
      <c r="S249" s="61" t="str">
        <f>IF(Table1[[#This Row],[Farnell]]="","", HYPERLINK(Table1[[#This Row],[Destination - Farnell]],_xlfn.CONCAT("Link (",Table1[[#This Row],[Farnell]],")")))</f>
        <v/>
      </c>
      <c r="T249" s="62" t="str">
        <f>_xlfn.CONCAT("https://ch.farnell.com/fr-CH/",Table1[[#This Row],[Farnell]])</f>
        <v>https://ch.farnell.com/fr-CH/</v>
      </c>
      <c r="U249" s="57"/>
      <c r="V249" s="59"/>
      <c r="W249" s="61" t="str">
        <f>IF(Table1[[#This Row],[Distrelec]]="","", HYPERLINK(Table1[[#This Row],[Destination - Distrelec]],_xlfn.CONCAT("Link (",Table1[[#This Row],[Distrelec]],")")))</f>
        <v/>
      </c>
      <c r="X249" s="62" t="str">
        <f>_xlfn.CONCAT("https://www.distrelec.ch/search?q=",Table1[[#This Row],[Distrelec]])</f>
        <v>https://www.distrelec.ch/search?q=</v>
      </c>
      <c r="Y249" s="57"/>
      <c r="Z249" s="59"/>
      <c r="AA249" s="61" t="str">
        <f>IF(Table1[[#This Row],[Conrad]]="","", HYPERLINK(Table1[[#This Row],[Destination - Conrad]],_xlfn.CONCAT("Link (",Table1[[#This Row],[Conrad]],")")))</f>
        <v/>
      </c>
      <c r="AB249" s="62"/>
      <c r="AC249" s="57"/>
      <c r="AD249" s="59"/>
      <c r="AE249" s="61" t="str">
        <f>IF(Table1[[#This Row],[Mouser]]="","", HYPERLINK(Table1[[#This Row],[Destination - Mouser]],_xlfn.CONCAT("Link (",Table1[[#This Row],[Mouser]],")")))</f>
        <v/>
      </c>
      <c r="AF249" s="62" t="str">
        <f>_xlfn.CONCAT("https://www.mouser.ch/ProductDetail/",Table1[[#This Row],[Mouser]])</f>
        <v>https://www.mouser.ch/ProductDetail/</v>
      </c>
      <c r="AG249" s="57"/>
      <c r="AH249" s="59"/>
      <c r="AI249" s="61" t="str">
        <f>IF(Table1[[#This Row],[Bauhaus]]="","", HYPERLINK(Table1[[#This Row],[Destination - Bauhaus]],_xlfn.CONCAT("Link (",Table1[[#This Row],[Bauhaus]],")")))</f>
        <v/>
      </c>
      <c r="AJ249" s="62" t="str">
        <f>_xlfn.CONCAT("https://www.bauhaus.ch/fr/search?query=",Table1[[#This Row],[Bauhaus]])</f>
        <v>https://www.bauhaus.ch/fr/search?query=</v>
      </c>
      <c r="AK249" s="59"/>
      <c r="AL249" s="59"/>
      <c r="AM249" s="61" t="str">
        <f>IF(Table1[[#This Row],[BricoEtLoisirs]]="","", HYPERLINK(Table1[[#This Row],[Destination - BricoEtLoisirs]],_xlfn.CONCAT("Link (",Table1[[#This Row],[BricoEtLoisirs]],")")))</f>
        <v/>
      </c>
      <c r="AN249" s="62" t="str">
        <f>_xlfn.CONCAT("https://bricoetloisirs.ch/p/",Table1[[#This Row],[BricoEtLoisirs]])</f>
        <v>https://bricoetloisirs.ch/p/</v>
      </c>
      <c r="AO249" s="57"/>
      <c r="AP249" s="59"/>
      <c r="AQ249" s="61" t="str">
        <f>IF(Table1[[#This Row],[Aliexpress]]="","", HYPERLINK(Table1[[#This Row],[Destination - Aliexpress]],_xlfn.CONCAT("Link (",Table1[[#This Row],[Aliexpress]],")")))</f>
        <v/>
      </c>
      <c r="AR249" s="62" t="str">
        <f>_xlfn.CONCAT("https://www.aliexpress.com/item/",Table1[[#This Row],[Aliexpress]],".html")</f>
        <v>https://www.aliexpress.com/item/.html</v>
      </c>
      <c r="AS249" s="57"/>
      <c r="AT249" s="59"/>
      <c r="AU249" s="61" t="str">
        <f>IF(Table1[[#This Row],[Banggood]]="","", HYPERLINK(Table1[[#This Row],[Destination - Banggood]],_xlfn.CONCAT("Link (",Table1[[#This Row],[Banggood]],")")))</f>
        <v/>
      </c>
      <c r="AV249" s="62" t="str">
        <f>_xlfn.CONCAT("https://www.banggood.com/search/",Table1[[#This Row],[Banggood]],".html")</f>
        <v>https://www.banggood.com/search/.html</v>
      </c>
      <c r="AW249" s="59" t="str">
        <f>IF(Table1[[#This Row],[Other]]&lt;&gt;"","Other","")</f>
        <v/>
      </c>
      <c r="AX249" s="57"/>
      <c r="AY249" s="59"/>
      <c r="AZ249" s="61" t="str">
        <f>IF(Table1[[#This Row],[Other]]="","",IF(Table1[[#This Row],[Destination - Other]]="","",HYPERLINK(Table1[[#This Row],[Destination - Other]],_xlfn.CONCAT("Link ("&amp;Table1[[#This Row],[Other]]&amp;")"))))</f>
        <v/>
      </c>
      <c r="BA249" s="59"/>
      <c r="BB249" s="58" t="str">
        <f>IF(AND( Table1[[#This Row],[Auto Order]]=1,Table1[[#This Row],[Obsolete]]=""),IF(Table1[[#This Row],[In stock]]&lt;Table1[[#This Row],[Min in stock]],1,""),"")</f>
        <v/>
      </c>
      <c r="BC249" s="64"/>
      <c r="BD249" s="66" t="str">
        <f>IF(Table1[[#This Row],[Obsolete]],Table1[[#This Row],[Art. Number]],"")</f>
        <v/>
      </c>
    </row>
    <row r="250" spans="1:56" x14ac:dyDescent="0.25">
      <c r="A250" s="65" t="s">
        <v>1475</v>
      </c>
      <c r="B250" s="57" t="s">
        <v>168</v>
      </c>
      <c r="C250" s="57" t="s">
        <v>97</v>
      </c>
      <c r="D250" s="57" t="s">
        <v>1476</v>
      </c>
      <c r="E250" s="57" t="s">
        <v>151</v>
      </c>
      <c r="F250" s="58">
        <v>0</v>
      </c>
      <c r="G250" s="58"/>
      <c r="H250" s="58"/>
      <c r="I25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RHM220KDCT-ND</v>
      </c>
      <c r="J25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(RHM220KDCT-ND)</v>
      </c>
      <c r="M250" s="57" t="s">
        <v>1477</v>
      </c>
      <c r="N250" s="59">
        <v>0.1</v>
      </c>
      <c r="O250" s="61" t="str">
        <f>IF(Table1[[#This Row],[Digikey]]="","", HYPERLINK(Table1[[#This Row],[Destination - Digikey]],_xlfn.CONCAT("Link (",Table1[[#This Row],[Digikey]],")")))</f>
        <v>Link (RHM220KDCT-ND)</v>
      </c>
      <c r="P250" s="62" t="str">
        <f>_xlfn.CONCAT("https://www.digikey.ch/products/en?keywords=",Table1[[#This Row],[Digikey]])</f>
        <v>https://www.digikey.ch/products/en?keywords=RHM220KDCT-ND</v>
      </c>
      <c r="Q250" s="57"/>
      <c r="R250" s="59"/>
      <c r="S250" s="61" t="str">
        <f>IF(Table1[[#This Row],[Farnell]]="","", HYPERLINK(Table1[[#This Row],[Destination - Farnell]],_xlfn.CONCAT("Link (",Table1[[#This Row],[Farnell]],")")))</f>
        <v/>
      </c>
      <c r="T250" s="62" t="str">
        <f>_xlfn.CONCAT("https://ch.farnell.com/fr-CH/",Table1[[#This Row],[Farnell]])</f>
        <v>https://ch.farnell.com/fr-CH/</v>
      </c>
      <c r="U250" s="57"/>
      <c r="V250" s="59"/>
      <c r="W250" s="61" t="str">
        <f>IF(Table1[[#This Row],[Distrelec]]="","", HYPERLINK(Table1[[#This Row],[Destination - Distrelec]],_xlfn.CONCAT("Link (",Table1[[#This Row],[Distrelec]],")")))</f>
        <v/>
      </c>
      <c r="X250" s="62" t="str">
        <f>_xlfn.CONCAT("https://www.distrelec.ch/search?q=",Table1[[#This Row],[Distrelec]])</f>
        <v>https://www.distrelec.ch/search?q=</v>
      </c>
      <c r="Y250" s="57"/>
      <c r="Z250" s="59"/>
      <c r="AA250" s="61" t="str">
        <f>IF(Table1[[#This Row],[Conrad]]="","", HYPERLINK(Table1[[#This Row],[Destination - Conrad]],_xlfn.CONCAT("Link (",Table1[[#This Row],[Conrad]],")")))</f>
        <v/>
      </c>
      <c r="AB250" s="62"/>
      <c r="AC250" s="57"/>
      <c r="AD250" s="59"/>
      <c r="AE250" s="61" t="str">
        <f>IF(Table1[[#This Row],[Mouser]]="","", HYPERLINK(Table1[[#This Row],[Destination - Mouser]],_xlfn.CONCAT("Link (",Table1[[#This Row],[Mouser]],")")))</f>
        <v/>
      </c>
      <c r="AF250" s="62" t="str">
        <f>_xlfn.CONCAT("https://www.mouser.ch/ProductDetail/",Table1[[#This Row],[Mouser]])</f>
        <v>https://www.mouser.ch/ProductDetail/</v>
      </c>
      <c r="AG250" s="57"/>
      <c r="AH250" s="59"/>
      <c r="AI250" s="61" t="str">
        <f>IF(Table1[[#This Row],[Bauhaus]]="","", HYPERLINK(Table1[[#This Row],[Destination - Bauhaus]],_xlfn.CONCAT("Link (",Table1[[#This Row],[Bauhaus]],")")))</f>
        <v/>
      </c>
      <c r="AJ250" s="62" t="str">
        <f>_xlfn.CONCAT("https://www.bauhaus.ch/fr/search?query=",Table1[[#This Row],[Bauhaus]])</f>
        <v>https://www.bauhaus.ch/fr/search?query=</v>
      </c>
      <c r="AK250" s="59"/>
      <c r="AL250" s="59"/>
      <c r="AM250" s="61" t="str">
        <f>IF(Table1[[#This Row],[BricoEtLoisirs]]="","", HYPERLINK(Table1[[#This Row],[Destination - BricoEtLoisirs]],_xlfn.CONCAT("Link (",Table1[[#This Row],[BricoEtLoisirs]],")")))</f>
        <v/>
      </c>
      <c r="AN250" s="62" t="str">
        <f>_xlfn.CONCAT("https://bricoetloisirs.ch/p/",Table1[[#This Row],[BricoEtLoisirs]])</f>
        <v>https://bricoetloisirs.ch/p/</v>
      </c>
      <c r="AO250" s="57"/>
      <c r="AP250" s="59"/>
      <c r="AQ250" s="61" t="str">
        <f>IF(Table1[[#This Row],[Aliexpress]]="","", HYPERLINK(Table1[[#This Row],[Destination - Aliexpress]],_xlfn.CONCAT("Link (",Table1[[#This Row],[Aliexpress]],")")))</f>
        <v/>
      </c>
      <c r="AR250" s="62" t="str">
        <f>_xlfn.CONCAT("https://www.aliexpress.com/item/",Table1[[#This Row],[Aliexpress]],".html")</f>
        <v>https://www.aliexpress.com/item/.html</v>
      </c>
      <c r="AS250" s="57"/>
      <c r="AT250" s="59"/>
      <c r="AU250" s="61" t="str">
        <f>IF(Table1[[#This Row],[Banggood]]="","", HYPERLINK(Table1[[#This Row],[Destination - Banggood]],_xlfn.CONCAT("Link (",Table1[[#This Row],[Banggood]],")")))</f>
        <v/>
      </c>
      <c r="AV250" s="62" t="str">
        <f>_xlfn.CONCAT("https://www.banggood.com/search/",Table1[[#This Row],[Banggood]],".html")</f>
        <v>https://www.banggood.com/search/.html</v>
      </c>
      <c r="AW250" s="59" t="str">
        <f>IF(Table1[[#This Row],[Other]]&lt;&gt;"","Other","")</f>
        <v/>
      </c>
      <c r="AX250" s="57"/>
      <c r="AY250" s="59"/>
      <c r="AZ250" s="61" t="str">
        <f>IF(Table1[[#This Row],[Other]]="","",IF(Table1[[#This Row],[Destination - Other]]="","",HYPERLINK(Table1[[#This Row],[Destination - Other]],_xlfn.CONCAT("Link ("&amp;Table1[[#This Row],[Other]]&amp;")"))))</f>
        <v/>
      </c>
      <c r="BA250" s="59"/>
      <c r="BB250" s="58" t="str">
        <f>IF(AND( Table1[[#This Row],[Auto Order]]=1,Table1[[#This Row],[Obsolete]]=""),IF(Table1[[#This Row],[In stock]]&lt;Table1[[#This Row],[Min in stock]],1,""),"")</f>
        <v/>
      </c>
      <c r="BC250" s="64"/>
      <c r="BD250" s="66" t="str">
        <f>IF(Table1[[#This Row],[Obsolete]],Table1[[#This Row],[Art. Number]],"")</f>
        <v/>
      </c>
    </row>
    <row r="251" spans="1:56" x14ac:dyDescent="0.25">
      <c r="A251" s="65" t="s">
        <v>1481</v>
      </c>
      <c r="B251" s="57" t="s">
        <v>168</v>
      </c>
      <c r="C251" s="57" t="s">
        <v>97</v>
      </c>
      <c r="D251" s="57" t="s">
        <v>1482</v>
      </c>
      <c r="E251" s="57" t="s">
        <v>151</v>
      </c>
      <c r="F251" s="58">
        <v>0</v>
      </c>
      <c r="G251" s="58"/>
      <c r="H251" s="58"/>
      <c r="I25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RHM2.2MDCT-ND</v>
      </c>
      <c r="J25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(RHM2.2MDCT-ND)</v>
      </c>
      <c r="M251" s="57" t="s">
        <v>1483</v>
      </c>
      <c r="N251" s="59">
        <v>0.1</v>
      </c>
      <c r="O251" s="61" t="str">
        <f>IF(Table1[[#This Row],[Digikey]]="","", HYPERLINK(Table1[[#This Row],[Destination - Digikey]],_xlfn.CONCAT("Link (",Table1[[#This Row],[Digikey]],")")))</f>
        <v>Link (RHM2.2MDCT-ND)</v>
      </c>
      <c r="P251" s="62" t="str">
        <f>_xlfn.CONCAT("https://www.digikey.ch/products/en?keywords=",Table1[[#This Row],[Digikey]])</f>
        <v>https://www.digikey.ch/products/en?keywords=RHM2.2MDCT-ND</v>
      </c>
      <c r="Q251" s="57"/>
      <c r="R251" s="59"/>
      <c r="S251" s="61" t="str">
        <f>IF(Table1[[#This Row],[Farnell]]="","", HYPERLINK(Table1[[#This Row],[Destination - Farnell]],_xlfn.CONCAT("Link (",Table1[[#This Row],[Farnell]],")")))</f>
        <v/>
      </c>
      <c r="T251" s="62" t="str">
        <f>_xlfn.CONCAT("https://ch.farnell.com/fr-CH/",Table1[[#This Row],[Farnell]])</f>
        <v>https://ch.farnell.com/fr-CH/</v>
      </c>
      <c r="U251" s="57"/>
      <c r="V251" s="59"/>
      <c r="W251" s="61" t="str">
        <f>IF(Table1[[#This Row],[Distrelec]]="","", HYPERLINK(Table1[[#This Row],[Destination - Distrelec]],_xlfn.CONCAT("Link (",Table1[[#This Row],[Distrelec]],")")))</f>
        <v/>
      </c>
      <c r="X251" s="62" t="str">
        <f>_xlfn.CONCAT("https://www.distrelec.ch/search?q=",Table1[[#This Row],[Distrelec]])</f>
        <v>https://www.distrelec.ch/search?q=</v>
      </c>
      <c r="Y251" s="57"/>
      <c r="Z251" s="59"/>
      <c r="AA251" s="61" t="str">
        <f>IF(Table1[[#This Row],[Conrad]]="","", HYPERLINK(Table1[[#This Row],[Destination - Conrad]],_xlfn.CONCAT("Link (",Table1[[#This Row],[Conrad]],")")))</f>
        <v/>
      </c>
      <c r="AB251" s="62"/>
      <c r="AC251" s="57"/>
      <c r="AD251" s="59"/>
      <c r="AE251" s="61" t="str">
        <f>IF(Table1[[#This Row],[Mouser]]="","", HYPERLINK(Table1[[#This Row],[Destination - Mouser]],_xlfn.CONCAT("Link (",Table1[[#This Row],[Mouser]],")")))</f>
        <v/>
      </c>
      <c r="AF251" s="62" t="str">
        <f>_xlfn.CONCAT("https://www.mouser.ch/ProductDetail/",Table1[[#This Row],[Mouser]])</f>
        <v>https://www.mouser.ch/ProductDetail/</v>
      </c>
      <c r="AG251" s="57"/>
      <c r="AH251" s="59"/>
      <c r="AI251" s="61" t="str">
        <f>IF(Table1[[#This Row],[Bauhaus]]="","", HYPERLINK(Table1[[#This Row],[Destination - Bauhaus]],_xlfn.CONCAT("Link (",Table1[[#This Row],[Bauhaus]],")")))</f>
        <v/>
      </c>
      <c r="AJ251" s="62" t="str">
        <f>_xlfn.CONCAT("https://www.bauhaus.ch/fr/search?query=",Table1[[#This Row],[Bauhaus]])</f>
        <v>https://www.bauhaus.ch/fr/search?query=</v>
      </c>
      <c r="AK251" s="59"/>
      <c r="AL251" s="59"/>
      <c r="AM251" s="61" t="str">
        <f>IF(Table1[[#This Row],[BricoEtLoisirs]]="","", HYPERLINK(Table1[[#This Row],[Destination - BricoEtLoisirs]],_xlfn.CONCAT("Link (",Table1[[#This Row],[BricoEtLoisirs]],")")))</f>
        <v/>
      </c>
      <c r="AN251" s="62" t="str">
        <f>_xlfn.CONCAT("https://bricoetloisirs.ch/p/",Table1[[#This Row],[BricoEtLoisirs]])</f>
        <v>https://bricoetloisirs.ch/p/</v>
      </c>
      <c r="AO251" s="57"/>
      <c r="AP251" s="59"/>
      <c r="AQ251" s="61" t="str">
        <f>IF(Table1[[#This Row],[Aliexpress]]="","", HYPERLINK(Table1[[#This Row],[Destination - Aliexpress]],_xlfn.CONCAT("Link (",Table1[[#This Row],[Aliexpress]],")")))</f>
        <v/>
      </c>
      <c r="AR251" s="62" t="str">
        <f>_xlfn.CONCAT("https://www.aliexpress.com/item/",Table1[[#This Row],[Aliexpress]],".html")</f>
        <v>https://www.aliexpress.com/item/.html</v>
      </c>
      <c r="AS251" s="57"/>
      <c r="AT251" s="59"/>
      <c r="AU251" s="61" t="str">
        <f>IF(Table1[[#This Row],[Banggood]]="","", HYPERLINK(Table1[[#This Row],[Destination - Banggood]],_xlfn.CONCAT("Link (",Table1[[#This Row],[Banggood]],")")))</f>
        <v/>
      </c>
      <c r="AV251" s="62" t="str">
        <f>_xlfn.CONCAT("https://www.banggood.com/search/",Table1[[#This Row],[Banggood]],".html")</f>
        <v>https://www.banggood.com/search/.html</v>
      </c>
      <c r="AW251" s="59" t="str">
        <f>IF(Table1[[#This Row],[Other]]&lt;&gt;"","Other","")</f>
        <v/>
      </c>
      <c r="AX251" s="57"/>
      <c r="AY251" s="59"/>
      <c r="AZ251" s="61" t="str">
        <f>IF(Table1[[#This Row],[Other]]="","",IF(Table1[[#This Row],[Destination - Other]]="","",HYPERLINK(Table1[[#This Row],[Destination - Other]],_xlfn.CONCAT("Link ("&amp;Table1[[#This Row],[Other]]&amp;")"))))</f>
        <v/>
      </c>
      <c r="BA251" s="59"/>
      <c r="BB251" s="58" t="str">
        <f>IF(AND( Table1[[#This Row],[Auto Order]]=1,Table1[[#This Row],[Obsolete]]=""),IF(Table1[[#This Row],[In stock]]&lt;Table1[[#This Row],[Min in stock]],1,""),"")</f>
        <v/>
      </c>
      <c r="BC251" s="64"/>
      <c r="BD251" s="66" t="str">
        <f>IF(Table1[[#This Row],[Obsolete]],Table1[[#This Row],[Art. Number]],"")</f>
        <v/>
      </c>
    </row>
    <row r="252" spans="1:56" x14ac:dyDescent="0.25">
      <c r="A252" s="65" t="s">
        <v>1487</v>
      </c>
      <c r="B252" s="57" t="s">
        <v>168</v>
      </c>
      <c r="C252" s="57" t="s">
        <v>97</v>
      </c>
      <c r="D252" s="57" t="s">
        <v>1488</v>
      </c>
      <c r="E252" s="57" t="s">
        <v>151</v>
      </c>
      <c r="F252" s="58">
        <v>0</v>
      </c>
      <c r="G252" s="58"/>
      <c r="H252" s="58"/>
      <c r="I25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RHM24DCT-ND</v>
      </c>
      <c r="J25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(RHM24DCT-ND)</v>
      </c>
      <c r="M252" s="57" t="s">
        <v>1489</v>
      </c>
      <c r="N252" s="59">
        <v>0.1</v>
      </c>
      <c r="O252" s="61" t="str">
        <f>IF(Table1[[#This Row],[Digikey]]="","", HYPERLINK(Table1[[#This Row],[Destination - Digikey]],_xlfn.CONCAT("Link (",Table1[[#This Row],[Digikey]],")")))</f>
        <v>Link (RHM24DCT-ND)</v>
      </c>
      <c r="P252" s="62" t="str">
        <f>_xlfn.CONCAT("https://www.digikey.ch/products/en?keywords=",Table1[[#This Row],[Digikey]])</f>
        <v>https://www.digikey.ch/products/en?keywords=RHM24DCT-ND</v>
      </c>
      <c r="Q252" s="57"/>
      <c r="R252" s="59"/>
      <c r="S252" s="61" t="str">
        <f>IF(Table1[[#This Row],[Farnell]]="","", HYPERLINK(Table1[[#This Row],[Destination - Farnell]],_xlfn.CONCAT("Link (",Table1[[#This Row],[Farnell]],")")))</f>
        <v/>
      </c>
      <c r="T252" s="62" t="str">
        <f>_xlfn.CONCAT("https://ch.farnell.com/fr-CH/",Table1[[#This Row],[Farnell]])</f>
        <v>https://ch.farnell.com/fr-CH/</v>
      </c>
      <c r="U252" s="57"/>
      <c r="V252" s="59"/>
      <c r="W252" s="61" t="str">
        <f>IF(Table1[[#This Row],[Distrelec]]="","", HYPERLINK(Table1[[#This Row],[Destination - Distrelec]],_xlfn.CONCAT("Link (",Table1[[#This Row],[Distrelec]],")")))</f>
        <v/>
      </c>
      <c r="X252" s="62" t="str">
        <f>_xlfn.CONCAT("https://www.distrelec.ch/search?q=",Table1[[#This Row],[Distrelec]])</f>
        <v>https://www.distrelec.ch/search?q=</v>
      </c>
      <c r="Y252" s="57"/>
      <c r="Z252" s="59"/>
      <c r="AA252" s="61" t="str">
        <f>IF(Table1[[#This Row],[Conrad]]="","", HYPERLINK(Table1[[#This Row],[Destination - Conrad]],_xlfn.CONCAT("Link (",Table1[[#This Row],[Conrad]],")")))</f>
        <v/>
      </c>
      <c r="AB252" s="62"/>
      <c r="AC252" s="57"/>
      <c r="AD252" s="59"/>
      <c r="AE252" s="61" t="str">
        <f>IF(Table1[[#This Row],[Mouser]]="","", HYPERLINK(Table1[[#This Row],[Destination - Mouser]],_xlfn.CONCAT("Link (",Table1[[#This Row],[Mouser]],")")))</f>
        <v/>
      </c>
      <c r="AF252" s="62" t="str">
        <f>_xlfn.CONCAT("https://www.mouser.ch/ProductDetail/",Table1[[#This Row],[Mouser]])</f>
        <v>https://www.mouser.ch/ProductDetail/</v>
      </c>
      <c r="AG252" s="57"/>
      <c r="AH252" s="59"/>
      <c r="AI252" s="61" t="str">
        <f>IF(Table1[[#This Row],[Bauhaus]]="","", HYPERLINK(Table1[[#This Row],[Destination - Bauhaus]],_xlfn.CONCAT("Link (",Table1[[#This Row],[Bauhaus]],")")))</f>
        <v/>
      </c>
      <c r="AJ252" s="62" t="str">
        <f>_xlfn.CONCAT("https://www.bauhaus.ch/fr/search?query=",Table1[[#This Row],[Bauhaus]])</f>
        <v>https://www.bauhaus.ch/fr/search?query=</v>
      </c>
      <c r="AK252" s="59"/>
      <c r="AL252" s="59"/>
      <c r="AM252" s="61" t="str">
        <f>IF(Table1[[#This Row],[BricoEtLoisirs]]="","", HYPERLINK(Table1[[#This Row],[Destination - BricoEtLoisirs]],_xlfn.CONCAT("Link (",Table1[[#This Row],[BricoEtLoisirs]],")")))</f>
        <v/>
      </c>
      <c r="AN252" s="62" t="str">
        <f>_xlfn.CONCAT("https://bricoetloisirs.ch/p/",Table1[[#This Row],[BricoEtLoisirs]])</f>
        <v>https://bricoetloisirs.ch/p/</v>
      </c>
      <c r="AO252" s="57"/>
      <c r="AP252" s="59"/>
      <c r="AQ252" s="61" t="str">
        <f>IF(Table1[[#This Row],[Aliexpress]]="","", HYPERLINK(Table1[[#This Row],[Destination - Aliexpress]],_xlfn.CONCAT("Link (",Table1[[#This Row],[Aliexpress]],")")))</f>
        <v/>
      </c>
      <c r="AR252" s="62" t="str">
        <f>_xlfn.CONCAT("https://www.aliexpress.com/item/",Table1[[#This Row],[Aliexpress]],".html")</f>
        <v>https://www.aliexpress.com/item/.html</v>
      </c>
      <c r="AS252" s="57"/>
      <c r="AT252" s="59"/>
      <c r="AU252" s="61" t="str">
        <f>IF(Table1[[#This Row],[Banggood]]="","", HYPERLINK(Table1[[#This Row],[Destination - Banggood]],_xlfn.CONCAT("Link (",Table1[[#This Row],[Banggood]],")")))</f>
        <v/>
      </c>
      <c r="AV252" s="62" t="str">
        <f>_xlfn.CONCAT("https://www.banggood.com/search/",Table1[[#This Row],[Banggood]],".html")</f>
        <v>https://www.banggood.com/search/.html</v>
      </c>
      <c r="AW252" s="59" t="str">
        <f>IF(Table1[[#This Row],[Other]]&lt;&gt;"","Other","")</f>
        <v/>
      </c>
      <c r="AX252" s="57"/>
      <c r="AY252" s="59"/>
      <c r="AZ252" s="61" t="str">
        <f>IF(Table1[[#This Row],[Other]]="","",IF(Table1[[#This Row],[Destination - Other]]="","",HYPERLINK(Table1[[#This Row],[Destination - Other]],_xlfn.CONCAT("Link ("&amp;Table1[[#This Row],[Other]]&amp;")"))))</f>
        <v/>
      </c>
      <c r="BA252" s="59"/>
      <c r="BB252" s="58" t="str">
        <f>IF(AND( Table1[[#This Row],[Auto Order]]=1,Table1[[#This Row],[Obsolete]]=""),IF(Table1[[#This Row],[In stock]]&lt;Table1[[#This Row],[Min in stock]],1,""),"")</f>
        <v/>
      </c>
      <c r="BC252" s="64"/>
      <c r="BD252" s="66" t="str">
        <f>IF(Table1[[#This Row],[Obsolete]],Table1[[#This Row],[Art. Number]],"")</f>
        <v/>
      </c>
    </row>
    <row r="253" spans="1:56" x14ac:dyDescent="0.25">
      <c r="A253" s="65" t="s">
        <v>1493</v>
      </c>
      <c r="B253" s="57" t="s">
        <v>168</v>
      </c>
      <c r="C253" s="57" t="s">
        <v>97</v>
      </c>
      <c r="D253" s="57" t="s">
        <v>1494</v>
      </c>
      <c r="E253" s="57" t="s">
        <v>151</v>
      </c>
      <c r="F253" s="58">
        <v>0</v>
      </c>
      <c r="G253" s="58"/>
      <c r="H253" s="58"/>
      <c r="I25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RHM240DCT-ND</v>
      </c>
      <c r="J25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(RHM240DCT-ND)</v>
      </c>
      <c r="M253" s="57" t="s">
        <v>1495</v>
      </c>
      <c r="N253" s="59">
        <v>0.1</v>
      </c>
      <c r="O253" s="61" t="str">
        <f>IF(Table1[[#This Row],[Digikey]]="","", HYPERLINK(Table1[[#This Row],[Destination - Digikey]],_xlfn.CONCAT("Link (",Table1[[#This Row],[Digikey]],")")))</f>
        <v>Link (RHM240DCT-ND)</v>
      </c>
      <c r="P253" s="62" t="str">
        <f>_xlfn.CONCAT("https://www.digikey.ch/products/en?keywords=",Table1[[#This Row],[Digikey]])</f>
        <v>https://www.digikey.ch/products/en?keywords=RHM240DCT-ND</v>
      </c>
      <c r="Q253" s="57"/>
      <c r="R253" s="59"/>
      <c r="S253" s="61" t="str">
        <f>IF(Table1[[#This Row],[Farnell]]="","", HYPERLINK(Table1[[#This Row],[Destination - Farnell]],_xlfn.CONCAT("Link (",Table1[[#This Row],[Farnell]],")")))</f>
        <v/>
      </c>
      <c r="T253" s="62" t="str">
        <f>_xlfn.CONCAT("https://ch.farnell.com/fr-CH/",Table1[[#This Row],[Farnell]])</f>
        <v>https://ch.farnell.com/fr-CH/</v>
      </c>
      <c r="U253" s="57"/>
      <c r="V253" s="59"/>
      <c r="W253" s="61" t="str">
        <f>IF(Table1[[#This Row],[Distrelec]]="","", HYPERLINK(Table1[[#This Row],[Destination - Distrelec]],_xlfn.CONCAT("Link (",Table1[[#This Row],[Distrelec]],")")))</f>
        <v/>
      </c>
      <c r="X253" s="62" t="str">
        <f>_xlfn.CONCAT("https://www.distrelec.ch/search?q=",Table1[[#This Row],[Distrelec]])</f>
        <v>https://www.distrelec.ch/search?q=</v>
      </c>
      <c r="Y253" s="57"/>
      <c r="Z253" s="59"/>
      <c r="AA253" s="61" t="str">
        <f>IF(Table1[[#This Row],[Conrad]]="","", HYPERLINK(Table1[[#This Row],[Destination - Conrad]],_xlfn.CONCAT("Link (",Table1[[#This Row],[Conrad]],")")))</f>
        <v/>
      </c>
      <c r="AB253" s="62"/>
      <c r="AC253" s="57"/>
      <c r="AD253" s="59"/>
      <c r="AE253" s="61" t="str">
        <f>IF(Table1[[#This Row],[Mouser]]="","", HYPERLINK(Table1[[#This Row],[Destination - Mouser]],_xlfn.CONCAT("Link (",Table1[[#This Row],[Mouser]],")")))</f>
        <v/>
      </c>
      <c r="AF253" s="62" t="str">
        <f>_xlfn.CONCAT("https://www.mouser.ch/ProductDetail/",Table1[[#This Row],[Mouser]])</f>
        <v>https://www.mouser.ch/ProductDetail/</v>
      </c>
      <c r="AG253" s="57"/>
      <c r="AH253" s="59"/>
      <c r="AI253" s="61" t="str">
        <f>IF(Table1[[#This Row],[Bauhaus]]="","", HYPERLINK(Table1[[#This Row],[Destination - Bauhaus]],_xlfn.CONCAT("Link (",Table1[[#This Row],[Bauhaus]],")")))</f>
        <v/>
      </c>
      <c r="AJ253" s="62" t="str">
        <f>_xlfn.CONCAT("https://www.bauhaus.ch/fr/search?query=",Table1[[#This Row],[Bauhaus]])</f>
        <v>https://www.bauhaus.ch/fr/search?query=</v>
      </c>
      <c r="AK253" s="59"/>
      <c r="AL253" s="59"/>
      <c r="AM253" s="61" t="str">
        <f>IF(Table1[[#This Row],[BricoEtLoisirs]]="","", HYPERLINK(Table1[[#This Row],[Destination - BricoEtLoisirs]],_xlfn.CONCAT("Link (",Table1[[#This Row],[BricoEtLoisirs]],")")))</f>
        <v/>
      </c>
      <c r="AN253" s="62" t="str">
        <f>_xlfn.CONCAT("https://bricoetloisirs.ch/p/",Table1[[#This Row],[BricoEtLoisirs]])</f>
        <v>https://bricoetloisirs.ch/p/</v>
      </c>
      <c r="AO253" s="57"/>
      <c r="AP253" s="59"/>
      <c r="AQ253" s="61" t="str">
        <f>IF(Table1[[#This Row],[Aliexpress]]="","", HYPERLINK(Table1[[#This Row],[Destination - Aliexpress]],_xlfn.CONCAT("Link (",Table1[[#This Row],[Aliexpress]],")")))</f>
        <v/>
      </c>
      <c r="AR253" s="62" t="str">
        <f>_xlfn.CONCAT("https://www.aliexpress.com/item/",Table1[[#This Row],[Aliexpress]],".html")</f>
        <v>https://www.aliexpress.com/item/.html</v>
      </c>
      <c r="AS253" s="57"/>
      <c r="AT253" s="59"/>
      <c r="AU253" s="61" t="str">
        <f>IF(Table1[[#This Row],[Banggood]]="","", HYPERLINK(Table1[[#This Row],[Destination - Banggood]],_xlfn.CONCAT("Link (",Table1[[#This Row],[Banggood]],")")))</f>
        <v/>
      </c>
      <c r="AV253" s="62" t="str">
        <f>_xlfn.CONCAT("https://www.banggood.com/search/",Table1[[#This Row],[Banggood]],".html")</f>
        <v>https://www.banggood.com/search/.html</v>
      </c>
      <c r="AW253" s="59" t="str">
        <f>IF(Table1[[#This Row],[Other]]&lt;&gt;"","Other","")</f>
        <v/>
      </c>
      <c r="AX253" s="57"/>
      <c r="AY253" s="59"/>
      <c r="AZ253" s="61" t="str">
        <f>IF(Table1[[#This Row],[Other]]="","",IF(Table1[[#This Row],[Destination - Other]]="","",HYPERLINK(Table1[[#This Row],[Destination - Other]],_xlfn.CONCAT("Link ("&amp;Table1[[#This Row],[Other]]&amp;")"))))</f>
        <v/>
      </c>
      <c r="BA253" s="59"/>
      <c r="BB253" s="58" t="str">
        <f>IF(AND( Table1[[#This Row],[Auto Order]]=1,Table1[[#This Row],[Obsolete]]=""),IF(Table1[[#This Row],[In stock]]&lt;Table1[[#This Row],[Min in stock]],1,""),"")</f>
        <v/>
      </c>
      <c r="BC253" s="64"/>
      <c r="BD253" s="66" t="str">
        <f>IF(Table1[[#This Row],[Obsolete]],Table1[[#This Row],[Art. Number]],"")</f>
        <v/>
      </c>
    </row>
    <row r="254" spans="1:56" x14ac:dyDescent="0.25">
      <c r="A254" s="65" t="s">
        <v>1499</v>
      </c>
      <c r="B254" s="57" t="s">
        <v>168</v>
      </c>
      <c r="C254" s="57" t="s">
        <v>97</v>
      </c>
      <c r="D254" s="57" t="s">
        <v>1500</v>
      </c>
      <c r="E254" s="57" t="s">
        <v>151</v>
      </c>
      <c r="F254" s="58">
        <v>0</v>
      </c>
      <c r="G254" s="58"/>
      <c r="H254" s="58"/>
      <c r="I25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RHM2.4KDCT-ND</v>
      </c>
      <c r="J25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(RHM2.4KDCT-ND)</v>
      </c>
      <c r="M254" s="57" t="s">
        <v>1501</v>
      </c>
      <c r="N254" s="59">
        <v>0.1</v>
      </c>
      <c r="O254" s="61" t="str">
        <f>IF(Table1[[#This Row],[Digikey]]="","", HYPERLINK(Table1[[#This Row],[Destination - Digikey]],_xlfn.CONCAT("Link (",Table1[[#This Row],[Digikey]],")")))</f>
        <v>Link (RHM2.4KDCT-ND)</v>
      </c>
      <c r="P254" s="62" t="str">
        <f>_xlfn.CONCAT("https://www.digikey.ch/products/en?keywords=",Table1[[#This Row],[Digikey]])</f>
        <v>https://www.digikey.ch/products/en?keywords=RHM2.4KDCT-ND</v>
      </c>
      <c r="Q254" s="57"/>
      <c r="R254" s="59"/>
      <c r="S254" s="61" t="str">
        <f>IF(Table1[[#This Row],[Farnell]]="","", HYPERLINK(Table1[[#This Row],[Destination - Farnell]],_xlfn.CONCAT("Link (",Table1[[#This Row],[Farnell]],")")))</f>
        <v/>
      </c>
      <c r="T254" s="62" t="str">
        <f>_xlfn.CONCAT("https://ch.farnell.com/fr-CH/",Table1[[#This Row],[Farnell]])</f>
        <v>https://ch.farnell.com/fr-CH/</v>
      </c>
      <c r="U254" s="57"/>
      <c r="V254" s="59"/>
      <c r="W254" s="61" t="str">
        <f>IF(Table1[[#This Row],[Distrelec]]="","", HYPERLINK(Table1[[#This Row],[Destination - Distrelec]],_xlfn.CONCAT("Link (",Table1[[#This Row],[Distrelec]],")")))</f>
        <v/>
      </c>
      <c r="X254" s="62" t="str">
        <f>_xlfn.CONCAT("https://www.distrelec.ch/search?q=",Table1[[#This Row],[Distrelec]])</f>
        <v>https://www.distrelec.ch/search?q=</v>
      </c>
      <c r="Y254" s="57"/>
      <c r="Z254" s="59"/>
      <c r="AA254" s="61" t="str">
        <f>IF(Table1[[#This Row],[Conrad]]="","", HYPERLINK(Table1[[#This Row],[Destination - Conrad]],_xlfn.CONCAT("Link (",Table1[[#This Row],[Conrad]],")")))</f>
        <v/>
      </c>
      <c r="AB254" s="62"/>
      <c r="AC254" s="57"/>
      <c r="AD254" s="59"/>
      <c r="AE254" s="61" t="str">
        <f>IF(Table1[[#This Row],[Mouser]]="","", HYPERLINK(Table1[[#This Row],[Destination - Mouser]],_xlfn.CONCAT("Link (",Table1[[#This Row],[Mouser]],")")))</f>
        <v/>
      </c>
      <c r="AF254" s="62" t="str">
        <f>_xlfn.CONCAT("https://www.mouser.ch/ProductDetail/",Table1[[#This Row],[Mouser]])</f>
        <v>https://www.mouser.ch/ProductDetail/</v>
      </c>
      <c r="AG254" s="57"/>
      <c r="AH254" s="59"/>
      <c r="AI254" s="61" t="str">
        <f>IF(Table1[[#This Row],[Bauhaus]]="","", HYPERLINK(Table1[[#This Row],[Destination - Bauhaus]],_xlfn.CONCAT("Link (",Table1[[#This Row],[Bauhaus]],")")))</f>
        <v/>
      </c>
      <c r="AJ254" s="62" t="str">
        <f>_xlfn.CONCAT("https://www.bauhaus.ch/fr/search?query=",Table1[[#This Row],[Bauhaus]])</f>
        <v>https://www.bauhaus.ch/fr/search?query=</v>
      </c>
      <c r="AK254" s="59"/>
      <c r="AL254" s="59"/>
      <c r="AM254" s="61" t="str">
        <f>IF(Table1[[#This Row],[BricoEtLoisirs]]="","", HYPERLINK(Table1[[#This Row],[Destination - BricoEtLoisirs]],_xlfn.CONCAT("Link (",Table1[[#This Row],[BricoEtLoisirs]],")")))</f>
        <v/>
      </c>
      <c r="AN254" s="62" t="str">
        <f>_xlfn.CONCAT("https://bricoetloisirs.ch/p/",Table1[[#This Row],[BricoEtLoisirs]])</f>
        <v>https://bricoetloisirs.ch/p/</v>
      </c>
      <c r="AO254" s="57"/>
      <c r="AP254" s="59"/>
      <c r="AQ254" s="61" t="str">
        <f>IF(Table1[[#This Row],[Aliexpress]]="","", HYPERLINK(Table1[[#This Row],[Destination - Aliexpress]],_xlfn.CONCAT("Link (",Table1[[#This Row],[Aliexpress]],")")))</f>
        <v/>
      </c>
      <c r="AR254" s="62" t="str">
        <f>_xlfn.CONCAT("https://www.aliexpress.com/item/",Table1[[#This Row],[Aliexpress]],".html")</f>
        <v>https://www.aliexpress.com/item/.html</v>
      </c>
      <c r="AS254" s="57"/>
      <c r="AT254" s="59"/>
      <c r="AU254" s="61" t="str">
        <f>IF(Table1[[#This Row],[Banggood]]="","", HYPERLINK(Table1[[#This Row],[Destination - Banggood]],_xlfn.CONCAT("Link (",Table1[[#This Row],[Banggood]],")")))</f>
        <v/>
      </c>
      <c r="AV254" s="62" t="str">
        <f>_xlfn.CONCAT("https://www.banggood.com/search/",Table1[[#This Row],[Banggood]],".html")</f>
        <v>https://www.banggood.com/search/.html</v>
      </c>
      <c r="AW254" s="59" t="str">
        <f>IF(Table1[[#This Row],[Other]]&lt;&gt;"","Other","")</f>
        <v/>
      </c>
      <c r="AX254" s="57"/>
      <c r="AY254" s="59"/>
      <c r="AZ254" s="61" t="str">
        <f>IF(Table1[[#This Row],[Other]]="","",IF(Table1[[#This Row],[Destination - Other]]="","",HYPERLINK(Table1[[#This Row],[Destination - Other]],_xlfn.CONCAT("Link ("&amp;Table1[[#This Row],[Other]]&amp;")"))))</f>
        <v/>
      </c>
      <c r="BA254" s="59"/>
      <c r="BB254" s="58" t="str">
        <f>IF(AND( Table1[[#This Row],[Auto Order]]=1,Table1[[#This Row],[Obsolete]]=""),IF(Table1[[#This Row],[In stock]]&lt;Table1[[#This Row],[Min in stock]],1,""),"")</f>
        <v/>
      </c>
      <c r="BC254" s="64"/>
      <c r="BD254" s="66" t="str">
        <f>IF(Table1[[#This Row],[Obsolete]],Table1[[#This Row],[Art. Number]],"")</f>
        <v/>
      </c>
    </row>
    <row r="255" spans="1:56" x14ac:dyDescent="0.25">
      <c r="A255" s="65" t="s">
        <v>1505</v>
      </c>
      <c r="B255" s="57" t="s">
        <v>168</v>
      </c>
      <c r="C255" s="57" t="s">
        <v>97</v>
      </c>
      <c r="D255" s="57" t="s">
        <v>1506</v>
      </c>
      <c r="E255" s="57" t="s">
        <v>151</v>
      </c>
      <c r="F255" s="58">
        <v>0</v>
      </c>
      <c r="G255" s="58"/>
      <c r="H255" s="58"/>
      <c r="I25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RHM24KDCT-ND</v>
      </c>
      <c r="J25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(RHM24KDCT-ND)</v>
      </c>
      <c r="M255" s="57" t="s">
        <v>1507</v>
      </c>
      <c r="N255" s="59">
        <v>0.1</v>
      </c>
      <c r="O255" s="61" t="str">
        <f>IF(Table1[[#This Row],[Digikey]]="","", HYPERLINK(Table1[[#This Row],[Destination - Digikey]],_xlfn.CONCAT("Link (",Table1[[#This Row],[Digikey]],")")))</f>
        <v>Link (RHM24KDCT-ND)</v>
      </c>
      <c r="P255" s="62" t="str">
        <f>_xlfn.CONCAT("https://www.digikey.ch/products/en?keywords=",Table1[[#This Row],[Digikey]])</f>
        <v>https://www.digikey.ch/products/en?keywords=RHM24KDCT-ND</v>
      </c>
      <c r="Q255" s="57"/>
      <c r="R255" s="59"/>
      <c r="S255" s="61" t="str">
        <f>IF(Table1[[#This Row],[Farnell]]="","", HYPERLINK(Table1[[#This Row],[Destination - Farnell]],_xlfn.CONCAT("Link (",Table1[[#This Row],[Farnell]],")")))</f>
        <v/>
      </c>
      <c r="T255" s="62" t="str">
        <f>_xlfn.CONCAT("https://ch.farnell.com/fr-CH/",Table1[[#This Row],[Farnell]])</f>
        <v>https://ch.farnell.com/fr-CH/</v>
      </c>
      <c r="U255" s="57"/>
      <c r="V255" s="59"/>
      <c r="W255" s="61" t="str">
        <f>IF(Table1[[#This Row],[Distrelec]]="","", HYPERLINK(Table1[[#This Row],[Destination - Distrelec]],_xlfn.CONCAT("Link (",Table1[[#This Row],[Distrelec]],")")))</f>
        <v/>
      </c>
      <c r="X255" s="62" t="str">
        <f>_xlfn.CONCAT("https://www.distrelec.ch/search?q=",Table1[[#This Row],[Distrelec]])</f>
        <v>https://www.distrelec.ch/search?q=</v>
      </c>
      <c r="Y255" s="57"/>
      <c r="Z255" s="59"/>
      <c r="AA255" s="61" t="str">
        <f>IF(Table1[[#This Row],[Conrad]]="","", HYPERLINK(Table1[[#This Row],[Destination - Conrad]],_xlfn.CONCAT("Link (",Table1[[#This Row],[Conrad]],")")))</f>
        <v/>
      </c>
      <c r="AB255" s="62"/>
      <c r="AC255" s="57"/>
      <c r="AD255" s="59"/>
      <c r="AE255" s="61" t="str">
        <f>IF(Table1[[#This Row],[Mouser]]="","", HYPERLINK(Table1[[#This Row],[Destination - Mouser]],_xlfn.CONCAT("Link (",Table1[[#This Row],[Mouser]],")")))</f>
        <v/>
      </c>
      <c r="AF255" s="62" t="str">
        <f>_xlfn.CONCAT("https://www.mouser.ch/ProductDetail/",Table1[[#This Row],[Mouser]])</f>
        <v>https://www.mouser.ch/ProductDetail/</v>
      </c>
      <c r="AG255" s="57"/>
      <c r="AH255" s="59"/>
      <c r="AI255" s="61" t="str">
        <f>IF(Table1[[#This Row],[Bauhaus]]="","", HYPERLINK(Table1[[#This Row],[Destination - Bauhaus]],_xlfn.CONCAT("Link (",Table1[[#This Row],[Bauhaus]],")")))</f>
        <v/>
      </c>
      <c r="AJ255" s="62" t="str">
        <f>_xlfn.CONCAT("https://www.bauhaus.ch/fr/search?query=",Table1[[#This Row],[Bauhaus]])</f>
        <v>https://www.bauhaus.ch/fr/search?query=</v>
      </c>
      <c r="AK255" s="59"/>
      <c r="AL255" s="59"/>
      <c r="AM255" s="61" t="str">
        <f>IF(Table1[[#This Row],[BricoEtLoisirs]]="","", HYPERLINK(Table1[[#This Row],[Destination - BricoEtLoisirs]],_xlfn.CONCAT("Link (",Table1[[#This Row],[BricoEtLoisirs]],")")))</f>
        <v/>
      </c>
      <c r="AN255" s="62" t="str">
        <f>_xlfn.CONCAT("https://bricoetloisirs.ch/p/",Table1[[#This Row],[BricoEtLoisirs]])</f>
        <v>https://bricoetloisirs.ch/p/</v>
      </c>
      <c r="AO255" s="57"/>
      <c r="AP255" s="59"/>
      <c r="AQ255" s="61" t="str">
        <f>IF(Table1[[#This Row],[Aliexpress]]="","", HYPERLINK(Table1[[#This Row],[Destination - Aliexpress]],_xlfn.CONCAT("Link (",Table1[[#This Row],[Aliexpress]],")")))</f>
        <v/>
      </c>
      <c r="AR255" s="62" t="str">
        <f>_xlfn.CONCAT("https://www.aliexpress.com/item/",Table1[[#This Row],[Aliexpress]],".html")</f>
        <v>https://www.aliexpress.com/item/.html</v>
      </c>
      <c r="AS255" s="57"/>
      <c r="AT255" s="59"/>
      <c r="AU255" s="61" t="str">
        <f>IF(Table1[[#This Row],[Banggood]]="","", HYPERLINK(Table1[[#This Row],[Destination - Banggood]],_xlfn.CONCAT("Link (",Table1[[#This Row],[Banggood]],")")))</f>
        <v/>
      </c>
      <c r="AV255" s="62" t="str">
        <f>_xlfn.CONCAT("https://www.banggood.com/search/",Table1[[#This Row],[Banggood]],".html")</f>
        <v>https://www.banggood.com/search/.html</v>
      </c>
      <c r="AW255" s="59" t="str">
        <f>IF(Table1[[#This Row],[Other]]&lt;&gt;"","Other","")</f>
        <v/>
      </c>
      <c r="AX255" s="57"/>
      <c r="AY255" s="59"/>
      <c r="AZ255" s="61" t="str">
        <f>IF(Table1[[#This Row],[Other]]="","",IF(Table1[[#This Row],[Destination - Other]]="","",HYPERLINK(Table1[[#This Row],[Destination - Other]],_xlfn.CONCAT("Link ("&amp;Table1[[#This Row],[Other]]&amp;")"))))</f>
        <v/>
      </c>
      <c r="BA255" s="59"/>
      <c r="BB255" s="58" t="str">
        <f>IF(AND( Table1[[#This Row],[Auto Order]]=1,Table1[[#This Row],[Obsolete]]=""),IF(Table1[[#This Row],[In stock]]&lt;Table1[[#This Row],[Min in stock]],1,""),"")</f>
        <v/>
      </c>
      <c r="BC255" s="64"/>
      <c r="BD255" s="66" t="str">
        <f>IF(Table1[[#This Row],[Obsolete]],Table1[[#This Row],[Art. Number]],"")</f>
        <v/>
      </c>
    </row>
    <row r="256" spans="1:56" x14ac:dyDescent="0.25">
      <c r="A256" s="65" t="s">
        <v>1511</v>
      </c>
      <c r="B256" s="57" t="s">
        <v>168</v>
      </c>
      <c r="C256" s="57" t="s">
        <v>97</v>
      </c>
      <c r="D256" s="57" t="s">
        <v>1512</v>
      </c>
      <c r="E256" s="57" t="s">
        <v>151</v>
      </c>
      <c r="F256" s="58">
        <v>0</v>
      </c>
      <c r="G256" s="58"/>
      <c r="H256" s="58"/>
      <c r="I25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RHM240KDCT-ND</v>
      </c>
      <c r="J25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(RHM240KDCT-ND)</v>
      </c>
      <c r="M256" s="57" t="s">
        <v>1513</v>
      </c>
      <c r="N256" s="59">
        <v>0.1</v>
      </c>
      <c r="O256" s="61" t="str">
        <f>IF(Table1[[#This Row],[Digikey]]="","", HYPERLINK(Table1[[#This Row],[Destination - Digikey]],_xlfn.CONCAT("Link (",Table1[[#This Row],[Digikey]],")")))</f>
        <v>Link (RHM240KDCT-ND)</v>
      </c>
      <c r="P256" s="62" t="str">
        <f>_xlfn.CONCAT("https://www.digikey.ch/products/en?keywords=",Table1[[#This Row],[Digikey]])</f>
        <v>https://www.digikey.ch/products/en?keywords=RHM240KDCT-ND</v>
      </c>
      <c r="Q256" s="57"/>
      <c r="R256" s="59"/>
      <c r="S256" s="61" t="str">
        <f>IF(Table1[[#This Row],[Farnell]]="","", HYPERLINK(Table1[[#This Row],[Destination - Farnell]],_xlfn.CONCAT("Link (",Table1[[#This Row],[Farnell]],")")))</f>
        <v/>
      </c>
      <c r="T256" s="62" t="str">
        <f>_xlfn.CONCAT("https://ch.farnell.com/fr-CH/",Table1[[#This Row],[Farnell]])</f>
        <v>https://ch.farnell.com/fr-CH/</v>
      </c>
      <c r="U256" s="57"/>
      <c r="V256" s="59"/>
      <c r="W256" s="61" t="str">
        <f>IF(Table1[[#This Row],[Distrelec]]="","", HYPERLINK(Table1[[#This Row],[Destination - Distrelec]],_xlfn.CONCAT("Link (",Table1[[#This Row],[Distrelec]],")")))</f>
        <v/>
      </c>
      <c r="X256" s="62" t="str">
        <f>_xlfn.CONCAT("https://www.distrelec.ch/search?q=",Table1[[#This Row],[Distrelec]])</f>
        <v>https://www.distrelec.ch/search?q=</v>
      </c>
      <c r="Y256" s="57"/>
      <c r="Z256" s="59"/>
      <c r="AA256" s="61" t="str">
        <f>IF(Table1[[#This Row],[Conrad]]="","", HYPERLINK(Table1[[#This Row],[Destination - Conrad]],_xlfn.CONCAT("Link (",Table1[[#This Row],[Conrad]],")")))</f>
        <v/>
      </c>
      <c r="AB256" s="62"/>
      <c r="AC256" s="57"/>
      <c r="AD256" s="59"/>
      <c r="AE256" s="61" t="str">
        <f>IF(Table1[[#This Row],[Mouser]]="","", HYPERLINK(Table1[[#This Row],[Destination - Mouser]],_xlfn.CONCAT("Link (",Table1[[#This Row],[Mouser]],")")))</f>
        <v/>
      </c>
      <c r="AF256" s="62" t="str">
        <f>_xlfn.CONCAT("https://www.mouser.ch/ProductDetail/",Table1[[#This Row],[Mouser]])</f>
        <v>https://www.mouser.ch/ProductDetail/</v>
      </c>
      <c r="AG256" s="57"/>
      <c r="AH256" s="59"/>
      <c r="AI256" s="61" t="str">
        <f>IF(Table1[[#This Row],[Bauhaus]]="","", HYPERLINK(Table1[[#This Row],[Destination - Bauhaus]],_xlfn.CONCAT("Link (",Table1[[#This Row],[Bauhaus]],")")))</f>
        <v/>
      </c>
      <c r="AJ256" s="62" t="str">
        <f>_xlfn.CONCAT("https://www.bauhaus.ch/fr/search?query=",Table1[[#This Row],[Bauhaus]])</f>
        <v>https://www.bauhaus.ch/fr/search?query=</v>
      </c>
      <c r="AK256" s="59"/>
      <c r="AL256" s="59"/>
      <c r="AM256" s="61" t="str">
        <f>IF(Table1[[#This Row],[BricoEtLoisirs]]="","", HYPERLINK(Table1[[#This Row],[Destination - BricoEtLoisirs]],_xlfn.CONCAT("Link (",Table1[[#This Row],[BricoEtLoisirs]],")")))</f>
        <v/>
      </c>
      <c r="AN256" s="62" t="str">
        <f>_xlfn.CONCAT("https://bricoetloisirs.ch/p/",Table1[[#This Row],[BricoEtLoisirs]])</f>
        <v>https://bricoetloisirs.ch/p/</v>
      </c>
      <c r="AO256" s="57"/>
      <c r="AP256" s="59"/>
      <c r="AQ256" s="61" t="str">
        <f>IF(Table1[[#This Row],[Aliexpress]]="","", HYPERLINK(Table1[[#This Row],[Destination - Aliexpress]],_xlfn.CONCAT("Link (",Table1[[#This Row],[Aliexpress]],")")))</f>
        <v/>
      </c>
      <c r="AR256" s="62" t="str">
        <f>_xlfn.CONCAT("https://www.aliexpress.com/item/",Table1[[#This Row],[Aliexpress]],".html")</f>
        <v>https://www.aliexpress.com/item/.html</v>
      </c>
      <c r="AS256" s="57"/>
      <c r="AT256" s="59"/>
      <c r="AU256" s="61" t="str">
        <f>IF(Table1[[#This Row],[Banggood]]="","", HYPERLINK(Table1[[#This Row],[Destination - Banggood]],_xlfn.CONCAT("Link (",Table1[[#This Row],[Banggood]],")")))</f>
        <v/>
      </c>
      <c r="AV256" s="62" t="str">
        <f>_xlfn.CONCAT("https://www.banggood.com/search/",Table1[[#This Row],[Banggood]],".html")</f>
        <v>https://www.banggood.com/search/.html</v>
      </c>
      <c r="AW256" s="59" t="str">
        <f>IF(Table1[[#This Row],[Other]]&lt;&gt;"","Other","")</f>
        <v/>
      </c>
      <c r="AX256" s="57"/>
      <c r="AY256" s="59"/>
      <c r="AZ256" s="61" t="str">
        <f>IF(Table1[[#This Row],[Other]]="","",IF(Table1[[#This Row],[Destination - Other]]="","",HYPERLINK(Table1[[#This Row],[Destination - Other]],_xlfn.CONCAT("Link ("&amp;Table1[[#This Row],[Other]]&amp;")"))))</f>
        <v/>
      </c>
      <c r="BA256" s="59"/>
      <c r="BB256" s="58" t="str">
        <f>IF(AND( Table1[[#This Row],[Auto Order]]=1,Table1[[#This Row],[Obsolete]]=""),IF(Table1[[#This Row],[In stock]]&lt;Table1[[#This Row],[Min in stock]],1,""),"")</f>
        <v/>
      </c>
      <c r="BC256" s="64"/>
      <c r="BD256" s="66" t="str">
        <f>IF(Table1[[#This Row],[Obsolete]],Table1[[#This Row],[Art. Number]],"")</f>
        <v/>
      </c>
    </row>
    <row r="257" spans="1:56" x14ac:dyDescent="0.25">
      <c r="A257" s="65" t="s">
        <v>1517</v>
      </c>
      <c r="B257" s="57" t="s">
        <v>168</v>
      </c>
      <c r="C257" s="57" t="s">
        <v>97</v>
      </c>
      <c r="D257" s="57" t="s">
        <v>1518</v>
      </c>
      <c r="E257" s="57" t="s">
        <v>151</v>
      </c>
      <c r="F257" s="58">
        <v>0</v>
      </c>
      <c r="G257" s="58"/>
      <c r="H257" s="58"/>
      <c r="I25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RHM2.4MDCT-ND</v>
      </c>
      <c r="J25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(RHM2.4MDCT-ND)</v>
      </c>
      <c r="M257" s="57" t="s">
        <v>1519</v>
      </c>
      <c r="N257" s="59">
        <v>0.1</v>
      </c>
      <c r="O257" s="61" t="str">
        <f>IF(Table1[[#This Row],[Digikey]]="","", HYPERLINK(Table1[[#This Row],[Destination - Digikey]],_xlfn.CONCAT("Link (",Table1[[#This Row],[Digikey]],")")))</f>
        <v>Link (RHM2.4MDCT-ND)</v>
      </c>
      <c r="P257" s="62" t="str">
        <f>_xlfn.CONCAT("https://www.digikey.ch/products/en?keywords=",Table1[[#This Row],[Digikey]])</f>
        <v>https://www.digikey.ch/products/en?keywords=RHM2.4MDCT-ND</v>
      </c>
      <c r="Q257" s="57"/>
      <c r="R257" s="59"/>
      <c r="S257" s="61" t="str">
        <f>IF(Table1[[#This Row],[Farnell]]="","", HYPERLINK(Table1[[#This Row],[Destination - Farnell]],_xlfn.CONCAT("Link (",Table1[[#This Row],[Farnell]],")")))</f>
        <v/>
      </c>
      <c r="T257" s="62" t="str">
        <f>_xlfn.CONCAT("https://ch.farnell.com/fr-CH/",Table1[[#This Row],[Farnell]])</f>
        <v>https://ch.farnell.com/fr-CH/</v>
      </c>
      <c r="U257" s="57"/>
      <c r="V257" s="59"/>
      <c r="W257" s="61" t="str">
        <f>IF(Table1[[#This Row],[Distrelec]]="","", HYPERLINK(Table1[[#This Row],[Destination - Distrelec]],_xlfn.CONCAT("Link (",Table1[[#This Row],[Distrelec]],")")))</f>
        <v/>
      </c>
      <c r="X257" s="62" t="str">
        <f>_xlfn.CONCAT("https://www.distrelec.ch/search?q=",Table1[[#This Row],[Distrelec]])</f>
        <v>https://www.distrelec.ch/search?q=</v>
      </c>
      <c r="Y257" s="57"/>
      <c r="Z257" s="59"/>
      <c r="AA257" s="61" t="str">
        <f>IF(Table1[[#This Row],[Conrad]]="","", HYPERLINK(Table1[[#This Row],[Destination - Conrad]],_xlfn.CONCAT("Link (",Table1[[#This Row],[Conrad]],")")))</f>
        <v/>
      </c>
      <c r="AB257" s="62"/>
      <c r="AC257" s="57"/>
      <c r="AD257" s="59"/>
      <c r="AE257" s="61" t="str">
        <f>IF(Table1[[#This Row],[Mouser]]="","", HYPERLINK(Table1[[#This Row],[Destination - Mouser]],_xlfn.CONCAT("Link (",Table1[[#This Row],[Mouser]],")")))</f>
        <v/>
      </c>
      <c r="AF257" s="62" t="str">
        <f>_xlfn.CONCAT("https://www.mouser.ch/ProductDetail/",Table1[[#This Row],[Mouser]])</f>
        <v>https://www.mouser.ch/ProductDetail/</v>
      </c>
      <c r="AG257" s="57"/>
      <c r="AH257" s="59"/>
      <c r="AI257" s="61" t="str">
        <f>IF(Table1[[#This Row],[Bauhaus]]="","", HYPERLINK(Table1[[#This Row],[Destination - Bauhaus]],_xlfn.CONCAT("Link (",Table1[[#This Row],[Bauhaus]],")")))</f>
        <v/>
      </c>
      <c r="AJ257" s="62" t="str">
        <f>_xlfn.CONCAT("https://www.bauhaus.ch/fr/search?query=",Table1[[#This Row],[Bauhaus]])</f>
        <v>https://www.bauhaus.ch/fr/search?query=</v>
      </c>
      <c r="AK257" s="59"/>
      <c r="AL257" s="59"/>
      <c r="AM257" s="61" t="str">
        <f>IF(Table1[[#This Row],[BricoEtLoisirs]]="","", HYPERLINK(Table1[[#This Row],[Destination - BricoEtLoisirs]],_xlfn.CONCAT("Link (",Table1[[#This Row],[BricoEtLoisirs]],")")))</f>
        <v/>
      </c>
      <c r="AN257" s="62" t="str">
        <f>_xlfn.CONCAT("https://bricoetloisirs.ch/p/",Table1[[#This Row],[BricoEtLoisirs]])</f>
        <v>https://bricoetloisirs.ch/p/</v>
      </c>
      <c r="AO257" s="57"/>
      <c r="AP257" s="59"/>
      <c r="AQ257" s="61" t="str">
        <f>IF(Table1[[#This Row],[Aliexpress]]="","", HYPERLINK(Table1[[#This Row],[Destination - Aliexpress]],_xlfn.CONCAT("Link (",Table1[[#This Row],[Aliexpress]],")")))</f>
        <v/>
      </c>
      <c r="AR257" s="62" t="str">
        <f>_xlfn.CONCAT("https://www.aliexpress.com/item/",Table1[[#This Row],[Aliexpress]],".html")</f>
        <v>https://www.aliexpress.com/item/.html</v>
      </c>
      <c r="AS257" s="57"/>
      <c r="AT257" s="59"/>
      <c r="AU257" s="61" t="str">
        <f>IF(Table1[[#This Row],[Banggood]]="","", HYPERLINK(Table1[[#This Row],[Destination - Banggood]],_xlfn.CONCAT("Link (",Table1[[#This Row],[Banggood]],")")))</f>
        <v/>
      </c>
      <c r="AV257" s="62" t="str">
        <f>_xlfn.CONCAT("https://www.banggood.com/search/",Table1[[#This Row],[Banggood]],".html")</f>
        <v>https://www.banggood.com/search/.html</v>
      </c>
      <c r="AW257" s="59" t="str">
        <f>IF(Table1[[#This Row],[Other]]&lt;&gt;"","Other","")</f>
        <v/>
      </c>
      <c r="AX257" s="57"/>
      <c r="AY257" s="59"/>
      <c r="AZ257" s="61" t="str">
        <f>IF(Table1[[#This Row],[Other]]="","",IF(Table1[[#This Row],[Destination - Other]]="","",HYPERLINK(Table1[[#This Row],[Destination - Other]],_xlfn.CONCAT("Link ("&amp;Table1[[#This Row],[Other]]&amp;")"))))</f>
        <v/>
      </c>
      <c r="BA257" s="59"/>
      <c r="BB257" s="58" t="str">
        <f>IF(AND( Table1[[#This Row],[Auto Order]]=1,Table1[[#This Row],[Obsolete]]=""),IF(Table1[[#This Row],[In stock]]&lt;Table1[[#This Row],[Min in stock]],1,""),"")</f>
        <v/>
      </c>
      <c r="BC257" s="64"/>
      <c r="BD257" s="66" t="str">
        <f>IF(Table1[[#This Row],[Obsolete]],Table1[[#This Row],[Art. Number]],"")</f>
        <v/>
      </c>
    </row>
    <row r="258" spans="1:56" x14ac:dyDescent="0.25">
      <c r="A258" s="65" t="s">
        <v>1523</v>
      </c>
      <c r="B258" s="57" t="s">
        <v>168</v>
      </c>
      <c r="C258" s="57" t="s">
        <v>97</v>
      </c>
      <c r="D258" s="57" t="s">
        <v>1524</v>
      </c>
      <c r="E258" s="57" t="s">
        <v>151</v>
      </c>
      <c r="F258" s="58">
        <v>0</v>
      </c>
      <c r="G258" s="58"/>
      <c r="H258" s="58"/>
      <c r="I25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RHM27DCT-ND</v>
      </c>
      <c r="J25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(RHM27DCT-ND)</v>
      </c>
      <c r="M258" s="57" t="s">
        <v>1525</v>
      </c>
      <c r="N258" s="59">
        <v>0.1</v>
      </c>
      <c r="O258" s="61" t="str">
        <f>IF(Table1[[#This Row],[Digikey]]="","", HYPERLINK(Table1[[#This Row],[Destination - Digikey]],_xlfn.CONCAT("Link (",Table1[[#This Row],[Digikey]],")")))</f>
        <v>Link (RHM27DCT-ND)</v>
      </c>
      <c r="P258" s="62" t="str">
        <f>_xlfn.CONCAT("https://www.digikey.ch/products/en?keywords=",Table1[[#This Row],[Digikey]])</f>
        <v>https://www.digikey.ch/products/en?keywords=RHM27DCT-ND</v>
      </c>
      <c r="Q258" s="57"/>
      <c r="R258" s="59"/>
      <c r="S258" s="61" t="str">
        <f>IF(Table1[[#This Row],[Farnell]]="","", HYPERLINK(Table1[[#This Row],[Destination - Farnell]],_xlfn.CONCAT("Link (",Table1[[#This Row],[Farnell]],")")))</f>
        <v/>
      </c>
      <c r="T258" s="62" t="str">
        <f>_xlfn.CONCAT("https://ch.farnell.com/fr-CH/",Table1[[#This Row],[Farnell]])</f>
        <v>https://ch.farnell.com/fr-CH/</v>
      </c>
      <c r="U258" s="57"/>
      <c r="V258" s="59"/>
      <c r="W258" s="61" t="str">
        <f>IF(Table1[[#This Row],[Distrelec]]="","", HYPERLINK(Table1[[#This Row],[Destination - Distrelec]],_xlfn.CONCAT("Link (",Table1[[#This Row],[Distrelec]],")")))</f>
        <v/>
      </c>
      <c r="X258" s="62" t="str">
        <f>_xlfn.CONCAT("https://www.distrelec.ch/search?q=",Table1[[#This Row],[Distrelec]])</f>
        <v>https://www.distrelec.ch/search?q=</v>
      </c>
      <c r="Y258" s="57"/>
      <c r="Z258" s="59"/>
      <c r="AA258" s="61" t="str">
        <f>IF(Table1[[#This Row],[Conrad]]="","", HYPERLINK(Table1[[#This Row],[Destination - Conrad]],_xlfn.CONCAT("Link (",Table1[[#This Row],[Conrad]],")")))</f>
        <v/>
      </c>
      <c r="AB258" s="62"/>
      <c r="AC258" s="57"/>
      <c r="AD258" s="59"/>
      <c r="AE258" s="61" t="str">
        <f>IF(Table1[[#This Row],[Mouser]]="","", HYPERLINK(Table1[[#This Row],[Destination - Mouser]],_xlfn.CONCAT("Link (",Table1[[#This Row],[Mouser]],")")))</f>
        <v/>
      </c>
      <c r="AF258" s="62" t="str">
        <f>_xlfn.CONCAT("https://www.mouser.ch/ProductDetail/",Table1[[#This Row],[Mouser]])</f>
        <v>https://www.mouser.ch/ProductDetail/</v>
      </c>
      <c r="AG258" s="57"/>
      <c r="AH258" s="59"/>
      <c r="AI258" s="61" t="str">
        <f>IF(Table1[[#This Row],[Bauhaus]]="","", HYPERLINK(Table1[[#This Row],[Destination - Bauhaus]],_xlfn.CONCAT("Link (",Table1[[#This Row],[Bauhaus]],")")))</f>
        <v/>
      </c>
      <c r="AJ258" s="62" t="str">
        <f>_xlfn.CONCAT("https://www.bauhaus.ch/fr/search?query=",Table1[[#This Row],[Bauhaus]])</f>
        <v>https://www.bauhaus.ch/fr/search?query=</v>
      </c>
      <c r="AK258" s="59"/>
      <c r="AL258" s="59"/>
      <c r="AM258" s="61" t="str">
        <f>IF(Table1[[#This Row],[BricoEtLoisirs]]="","", HYPERLINK(Table1[[#This Row],[Destination - BricoEtLoisirs]],_xlfn.CONCAT("Link (",Table1[[#This Row],[BricoEtLoisirs]],")")))</f>
        <v/>
      </c>
      <c r="AN258" s="62" t="str">
        <f>_xlfn.CONCAT("https://bricoetloisirs.ch/p/",Table1[[#This Row],[BricoEtLoisirs]])</f>
        <v>https://bricoetloisirs.ch/p/</v>
      </c>
      <c r="AO258" s="57"/>
      <c r="AP258" s="59"/>
      <c r="AQ258" s="61" t="str">
        <f>IF(Table1[[#This Row],[Aliexpress]]="","", HYPERLINK(Table1[[#This Row],[Destination - Aliexpress]],_xlfn.CONCAT("Link (",Table1[[#This Row],[Aliexpress]],")")))</f>
        <v/>
      </c>
      <c r="AR258" s="62" t="str">
        <f>_xlfn.CONCAT("https://www.aliexpress.com/item/",Table1[[#This Row],[Aliexpress]],".html")</f>
        <v>https://www.aliexpress.com/item/.html</v>
      </c>
      <c r="AS258" s="57"/>
      <c r="AT258" s="59"/>
      <c r="AU258" s="61" t="str">
        <f>IF(Table1[[#This Row],[Banggood]]="","", HYPERLINK(Table1[[#This Row],[Destination - Banggood]],_xlfn.CONCAT("Link (",Table1[[#This Row],[Banggood]],")")))</f>
        <v/>
      </c>
      <c r="AV258" s="62" t="str">
        <f>_xlfn.CONCAT("https://www.banggood.com/search/",Table1[[#This Row],[Banggood]],".html")</f>
        <v>https://www.banggood.com/search/.html</v>
      </c>
      <c r="AW258" s="59" t="str">
        <f>IF(Table1[[#This Row],[Other]]&lt;&gt;"","Other","")</f>
        <v/>
      </c>
      <c r="AX258" s="57"/>
      <c r="AY258" s="59"/>
      <c r="AZ258" s="61" t="str">
        <f>IF(Table1[[#This Row],[Other]]="","",IF(Table1[[#This Row],[Destination - Other]]="","",HYPERLINK(Table1[[#This Row],[Destination - Other]],_xlfn.CONCAT("Link ("&amp;Table1[[#This Row],[Other]]&amp;")"))))</f>
        <v/>
      </c>
      <c r="BA258" s="59"/>
      <c r="BB258" s="58" t="str">
        <f>IF(AND( Table1[[#This Row],[Auto Order]]=1,Table1[[#This Row],[Obsolete]]=""),IF(Table1[[#This Row],[In stock]]&lt;Table1[[#This Row],[Min in stock]],1,""),"")</f>
        <v/>
      </c>
      <c r="BC258" s="64"/>
      <c r="BD258" s="66" t="str">
        <f>IF(Table1[[#This Row],[Obsolete]],Table1[[#This Row],[Art. Number]],"")</f>
        <v/>
      </c>
    </row>
    <row r="259" spans="1:56" x14ac:dyDescent="0.25">
      <c r="A259" s="65" t="s">
        <v>187</v>
      </c>
      <c r="B259" s="57" t="s">
        <v>168</v>
      </c>
      <c r="C259" s="57" t="s">
        <v>1529</v>
      </c>
      <c r="D259" s="57" t="s">
        <v>1530</v>
      </c>
      <c r="E259" s="57" t="s">
        <v>151</v>
      </c>
      <c r="F259" s="58">
        <v>7</v>
      </c>
      <c r="G259" s="58"/>
      <c r="H259" s="58"/>
      <c r="I25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RHM270DCT-ND</v>
      </c>
      <c r="J25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5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5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(RHM270DCT-ND)</v>
      </c>
      <c r="M259" s="57" t="s">
        <v>1531</v>
      </c>
      <c r="N259" s="59">
        <v>0.1</v>
      </c>
      <c r="O259" s="61" t="str">
        <f>IF(Table1[[#This Row],[Digikey]]="","", HYPERLINK(Table1[[#This Row],[Destination - Digikey]],_xlfn.CONCAT("Link (",Table1[[#This Row],[Digikey]],")")))</f>
        <v>Link (RHM270DCT-ND)</v>
      </c>
      <c r="P259" s="62" t="str">
        <f>_xlfn.CONCAT("https://www.digikey.ch/products/en?keywords=",Table1[[#This Row],[Digikey]])</f>
        <v>https://www.digikey.ch/products/en?keywords=RHM270DCT-ND</v>
      </c>
      <c r="Q259" s="57"/>
      <c r="R259" s="59"/>
      <c r="S259" s="61" t="str">
        <f>IF(Table1[[#This Row],[Farnell]]="","", HYPERLINK(Table1[[#This Row],[Destination - Farnell]],_xlfn.CONCAT("Link (",Table1[[#This Row],[Farnell]],")")))</f>
        <v/>
      </c>
      <c r="T259" s="62" t="str">
        <f>_xlfn.CONCAT("https://ch.farnell.com/fr-CH/",Table1[[#This Row],[Farnell]])</f>
        <v>https://ch.farnell.com/fr-CH/</v>
      </c>
      <c r="U259" s="57"/>
      <c r="V259" s="59"/>
      <c r="W259" s="61" t="str">
        <f>IF(Table1[[#This Row],[Distrelec]]="","", HYPERLINK(Table1[[#This Row],[Destination - Distrelec]],_xlfn.CONCAT("Link (",Table1[[#This Row],[Distrelec]],")")))</f>
        <v/>
      </c>
      <c r="X259" s="62" t="str">
        <f>_xlfn.CONCAT("https://www.distrelec.ch/search?q=",Table1[[#This Row],[Distrelec]])</f>
        <v>https://www.distrelec.ch/search?q=</v>
      </c>
      <c r="Y259" s="57"/>
      <c r="Z259" s="59"/>
      <c r="AA259" s="61" t="str">
        <f>IF(Table1[[#This Row],[Conrad]]="","", HYPERLINK(Table1[[#This Row],[Destination - Conrad]],_xlfn.CONCAT("Link (",Table1[[#This Row],[Conrad]],")")))</f>
        <v/>
      </c>
      <c r="AB259" s="62"/>
      <c r="AC259" s="57"/>
      <c r="AD259" s="59"/>
      <c r="AE259" s="61" t="str">
        <f>IF(Table1[[#This Row],[Mouser]]="","", HYPERLINK(Table1[[#This Row],[Destination - Mouser]],_xlfn.CONCAT("Link (",Table1[[#This Row],[Mouser]],")")))</f>
        <v/>
      </c>
      <c r="AF259" s="62" t="str">
        <f>_xlfn.CONCAT("https://www.mouser.ch/ProductDetail/",Table1[[#This Row],[Mouser]])</f>
        <v>https://www.mouser.ch/ProductDetail/</v>
      </c>
      <c r="AG259" s="57"/>
      <c r="AH259" s="59"/>
      <c r="AI259" s="61" t="str">
        <f>IF(Table1[[#This Row],[Bauhaus]]="","", HYPERLINK(Table1[[#This Row],[Destination - Bauhaus]],_xlfn.CONCAT("Link (",Table1[[#This Row],[Bauhaus]],")")))</f>
        <v/>
      </c>
      <c r="AJ259" s="62" t="str">
        <f>_xlfn.CONCAT("https://www.bauhaus.ch/fr/search?query=",Table1[[#This Row],[Bauhaus]])</f>
        <v>https://www.bauhaus.ch/fr/search?query=</v>
      </c>
      <c r="AK259" s="59"/>
      <c r="AL259" s="59"/>
      <c r="AM259" s="61" t="str">
        <f>IF(Table1[[#This Row],[BricoEtLoisirs]]="","", HYPERLINK(Table1[[#This Row],[Destination - BricoEtLoisirs]],_xlfn.CONCAT("Link (",Table1[[#This Row],[BricoEtLoisirs]],")")))</f>
        <v/>
      </c>
      <c r="AN259" s="62" t="str">
        <f>_xlfn.CONCAT("https://bricoetloisirs.ch/p/",Table1[[#This Row],[BricoEtLoisirs]])</f>
        <v>https://bricoetloisirs.ch/p/</v>
      </c>
      <c r="AO259" s="57"/>
      <c r="AP259" s="59"/>
      <c r="AQ259" s="61" t="str">
        <f>IF(Table1[[#This Row],[Aliexpress]]="","", HYPERLINK(Table1[[#This Row],[Destination - Aliexpress]],_xlfn.CONCAT("Link (",Table1[[#This Row],[Aliexpress]],")")))</f>
        <v/>
      </c>
      <c r="AR259" s="62" t="str">
        <f>_xlfn.CONCAT("https://www.aliexpress.com/item/",Table1[[#This Row],[Aliexpress]],".html")</f>
        <v>https://www.aliexpress.com/item/.html</v>
      </c>
      <c r="AS259" s="57"/>
      <c r="AT259" s="59"/>
      <c r="AU259" s="61" t="str">
        <f>IF(Table1[[#This Row],[Banggood]]="","", HYPERLINK(Table1[[#This Row],[Destination - Banggood]],_xlfn.CONCAT("Link (",Table1[[#This Row],[Banggood]],")")))</f>
        <v/>
      </c>
      <c r="AV259" s="62" t="str">
        <f>_xlfn.CONCAT("https://www.banggood.com/search/",Table1[[#This Row],[Banggood]],".html")</f>
        <v>https://www.banggood.com/search/.html</v>
      </c>
      <c r="AW259" s="59" t="str">
        <f>IF(Table1[[#This Row],[Other]]&lt;&gt;"","Other","")</f>
        <v/>
      </c>
      <c r="AX259" s="57"/>
      <c r="AY259" s="59"/>
      <c r="AZ259" s="61" t="str">
        <f>IF(Table1[[#This Row],[Other]]="","",IF(Table1[[#This Row],[Destination - Other]]="","",HYPERLINK(Table1[[#This Row],[Destination - Other]],_xlfn.CONCAT("Link ("&amp;Table1[[#This Row],[Other]]&amp;")"))))</f>
        <v/>
      </c>
      <c r="BA259" s="59"/>
      <c r="BB259" s="58" t="str">
        <f>IF(AND( Table1[[#This Row],[Auto Order]]=1,Table1[[#This Row],[Obsolete]]=""),IF(Table1[[#This Row],[In stock]]&lt;Table1[[#This Row],[Min in stock]],1,""),"")</f>
        <v/>
      </c>
      <c r="BC259" s="64"/>
      <c r="BD259" s="66" t="str">
        <f>IF(Table1[[#This Row],[Obsolete]],Table1[[#This Row],[Art. Number]],"")</f>
        <v/>
      </c>
    </row>
    <row r="260" spans="1:56" x14ac:dyDescent="0.25">
      <c r="A260" s="65" t="s">
        <v>1535</v>
      </c>
      <c r="B260" s="57" t="s">
        <v>168</v>
      </c>
      <c r="C260" s="57" t="s">
        <v>1536</v>
      </c>
      <c r="D260" s="57" t="s">
        <v>1537</v>
      </c>
      <c r="E260" s="57" t="s">
        <v>151</v>
      </c>
      <c r="F260" s="58">
        <v>10</v>
      </c>
      <c r="G260" s="58">
        <v>10</v>
      </c>
      <c r="H260" s="58">
        <v>1</v>
      </c>
      <c r="I26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RHM2.7KDCT-ND</v>
      </c>
      <c r="J26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(RHM2.7KDCT-ND)</v>
      </c>
      <c r="M260" s="57" t="s">
        <v>1538</v>
      </c>
      <c r="N260" s="59">
        <v>0.1</v>
      </c>
      <c r="O260" s="61" t="str">
        <f>IF(Table1[[#This Row],[Digikey]]="","", HYPERLINK(Table1[[#This Row],[Destination - Digikey]],_xlfn.CONCAT("Link (",Table1[[#This Row],[Digikey]],")")))</f>
        <v>Link (RHM2.7KDCT-ND)</v>
      </c>
      <c r="P260" s="62" t="str">
        <f>_xlfn.CONCAT("https://www.digikey.ch/products/en?keywords=",Table1[[#This Row],[Digikey]])</f>
        <v>https://www.digikey.ch/products/en?keywords=RHM2.7KDCT-ND</v>
      </c>
      <c r="Q260" s="57"/>
      <c r="R260" s="59"/>
      <c r="S260" s="61" t="str">
        <f>IF(Table1[[#This Row],[Farnell]]="","", HYPERLINK(Table1[[#This Row],[Destination - Farnell]],_xlfn.CONCAT("Link (",Table1[[#This Row],[Farnell]],")")))</f>
        <v/>
      </c>
      <c r="T260" s="62" t="str">
        <f>_xlfn.CONCAT("https://ch.farnell.com/fr-CH/",Table1[[#This Row],[Farnell]])</f>
        <v>https://ch.farnell.com/fr-CH/</v>
      </c>
      <c r="U260" s="57"/>
      <c r="V260" s="59"/>
      <c r="W260" s="61" t="str">
        <f>IF(Table1[[#This Row],[Distrelec]]="","", HYPERLINK(Table1[[#This Row],[Destination - Distrelec]],_xlfn.CONCAT("Link (",Table1[[#This Row],[Distrelec]],")")))</f>
        <v/>
      </c>
      <c r="X260" s="62" t="str">
        <f>_xlfn.CONCAT("https://www.distrelec.ch/search?q=",Table1[[#This Row],[Distrelec]])</f>
        <v>https://www.distrelec.ch/search?q=</v>
      </c>
      <c r="Y260" s="57"/>
      <c r="Z260" s="59"/>
      <c r="AA260" s="61" t="str">
        <f>IF(Table1[[#This Row],[Conrad]]="","", HYPERLINK(Table1[[#This Row],[Destination - Conrad]],_xlfn.CONCAT("Link (",Table1[[#This Row],[Conrad]],")")))</f>
        <v/>
      </c>
      <c r="AB260" s="62"/>
      <c r="AC260" s="57"/>
      <c r="AD260" s="59"/>
      <c r="AE260" s="61" t="str">
        <f>IF(Table1[[#This Row],[Mouser]]="","", HYPERLINK(Table1[[#This Row],[Destination - Mouser]],_xlfn.CONCAT("Link (",Table1[[#This Row],[Mouser]],")")))</f>
        <v/>
      </c>
      <c r="AF260" s="62" t="str">
        <f>_xlfn.CONCAT("https://www.mouser.ch/ProductDetail/",Table1[[#This Row],[Mouser]])</f>
        <v>https://www.mouser.ch/ProductDetail/</v>
      </c>
      <c r="AG260" s="57"/>
      <c r="AH260" s="59"/>
      <c r="AI260" s="61" t="str">
        <f>IF(Table1[[#This Row],[Bauhaus]]="","", HYPERLINK(Table1[[#This Row],[Destination - Bauhaus]],_xlfn.CONCAT("Link (",Table1[[#This Row],[Bauhaus]],")")))</f>
        <v/>
      </c>
      <c r="AJ260" s="62" t="str">
        <f>_xlfn.CONCAT("https://www.bauhaus.ch/fr/search?query=",Table1[[#This Row],[Bauhaus]])</f>
        <v>https://www.bauhaus.ch/fr/search?query=</v>
      </c>
      <c r="AK260" s="59"/>
      <c r="AL260" s="59"/>
      <c r="AM260" s="61" t="str">
        <f>IF(Table1[[#This Row],[BricoEtLoisirs]]="","", HYPERLINK(Table1[[#This Row],[Destination - BricoEtLoisirs]],_xlfn.CONCAT("Link (",Table1[[#This Row],[BricoEtLoisirs]],")")))</f>
        <v/>
      </c>
      <c r="AN260" s="62" t="str">
        <f>_xlfn.CONCAT("https://bricoetloisirs.ch/p/",Table1[[#This Row],[BricoEtLoisirs]])</f>
        <v>https://bricoetloisirs.ch/p/</v>
      </c>
      <c r="AO260" s="57"/>
      <c r="AP260" s="59"/>
      <c r="AQ260" s="61" t="str">
        <f>IF(Table1[[#This Row],[Aliexpress]]="","", HYPERLINK(Table1[[#This Row],[Destination - Aliexpress]],_xlfn.CONCAT("Link (",Table1[[#This Row],[Aliexpress]],")")))</f>
        <v/>
      </c>
      <c r="AR260" s="62" t="str">
        <f>_xlfn.CONCAT("https://www.aliexpress.com/item/",Table1[[#This Row],[Aliexpress]],".html")</f>
        <v>https://www.aliexpress.com/item/.html</v>
      </c>
      <c r="AS260" s="57"/>
      <c r="AT260" s="59"/>
      <c r="AU260" s="61" t="str">
        <f>IF(Table1[[#This Row],[Banggood]]="","", HYPERLINK(Table1[[#This Row],[Destination - Banggood]],_xlfn.CONCAT("Link (",Table1[[#This Row],[Banggood]],")")))</f>
        <v/>
      </c>
      <c r="AV260" s="62" t="str">
        <f>_xlfn.CONCAT("https://www.banggood.com/search/",Table1[[#This Row],[Banggood]],".html")</f>
        <v>https://www.banggood.com/search/.html</v>
      </c>
      <c r="AW260" s="59" t="str">
        <f>IF(Table1[[#This Row],[Other]]&lt;&gt;"","Other","")</f>
        <v/>
      </c>
      <c r="AX260" s="57"/>
      <c r="AY260" s="59"/>
      <c r="AZ260" s="61" t="str">
        <f>IF(Table1[[#This Row],[Other]]="","",IF(Table1[[#This Row],[Destination - Other]]="","",HYPERLINK(Table1[[#This Row],[Destination - Other]],_xlfn.CONCAT("Link ("&amp;Table1[[#This Row],[Other]]&amp;")"))))</f>
        <v/>
      </c>
      <c r="BA260" s="59"/>
      <c r="BB260" s="58" t="str">
        <f>IF(AND( Table1[[#This Row],[Auto Order]]=1,Table1[[#This Row],[Obsolete]]=""),IF(Table1[[#This Row],[In stock]]&lt;Table1[[#This Row],[Min in stock]],1,""),"")</f>
        <v/>
      </c>
      <c r="BC260" s="64"/>
      <c r="BD260" s="66" t="str">
        <f>IF(Table1[[#This Row],[Obsolete]],Table1[[#This Row],[Art. Number]],"")</f>
        <v/>
      </c>
    </row>
    <row r="261" spans="1:56" x14ac:dyDescent="0.25">
      <c r="A261" s="65" t="s">
        <v>186</v>
      </c>
      <c r="B261" s="57" t="s">
        <v>168</v>
      </c>
      <c r="C261" s="57" t="s">
        <v>1542</v>
      </c>
      <c r="D261" s="57" t="s">
        <v>1543</v>
      </c>
      <c r="E261" s="57" t="s">
        <v>151</v>
      </c>
      <c r="F261" s="58">
        <v>7</v>
      </c>
      <c r="G261" s="58"/>
      <c r="H261" s="58"/>
      <c r="I26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RHM27KDCT-ND</v>
      </c>
      <c r="J26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(RHM27KDCT-ND)</v>
      </c>
      <c r="M261" s="57" t="s">
        <v>1544</v>
      </c>
      <c r="N261" s="59">
        <v>0.1</v>
      </c>
      <c r="O261" s="61" t="str">
        <f>IF(Table1[[#This Row],[Digikey]]="","", HYPERLINK(Table1[[#This Row],[Destination - Digikey]],_xlfn.CONCAT("Link (",Table1[[#This Row],[Digikey]],")")))</f>
        <v>Link (RHM27KDCT-ND)</v>
      </c>
      <c r="P261" s="62" t="str">
        <f>_xlfn.CONCAT("https://www.digikey.ch/products/en?keywords=",Table1[[#This Row],[Digikey]])</f>
        <v>https://www.digikey.ch/products/en?keywords=RHM27KDCT-ND</v>
      </c>
      <c r="Q261" s="57"/>
      <c r="R261" s="59"/>
      <c r="S261" s="61" t="str">
        <f>IF(Table1[[#This Row],[Farnell]]="","", HYPERLINK(Table1[[#This Row],[Destination - Farnell]],_xlfn.CONCAT("Link (",Table1[[#This Row],[Farnell]],")")))</f>
        <v/>
      </c>
      <c r="T261" s="62" t="str">
        <f>_xlfn.CONCAT("https://ch.farnell.com/fr-CH/",Table1[[#This Row],[Farnell]])</f>
        <v>https://ch.farnell.com/fr-CH/</v>
      </c>
      <c r="U261" s="57"/>
      <c r="V261" s="59"/>
      <c r="W261" s="61" t="str">
        <f>IF(Table1[[#This Row],[Distrelec]]="","", HYPERLINK(Table1[[#This Row],[Destination - Distrelec]],_xlfn.CONCAT("Link (",Table1[[#This Row],[Distrelec]],")")))</f>
        <v/>
      </c>
      <c r="X261" s="62" t="str">
        <f>_xlfn.CONCAT("https://www.distrelec.ch/search?q=",Table1[[#This Row],[Distrelec]])</f>
        <v>https://www.distrelec.ch/search?q=</v>
      </c>
      <c r="Y261" s="57"/>
      <c r="Z261" s="59"/>
      <c r="AA261" s="61" t="str">
        <f>IF(Table1[[#This Row],[Conrad]]="","", HYPERLINK(Table1[[#This Row],[Destination - Conrad]],_xlfn.CONCAT("Link (",Table1[[#This Row],[Conrad]],")")))</f>
        <v/>
      </c>
      <c r="AB261" s="62"/>
      <c r="AC261" s="57"/>
      <c r="AD261" s="59"/>
      <c r="AE261" s="61" t="str">
        <f>IF(Table1[[#This Row],[Mouser]]="","", HYPERLINK(Table1[[#This Row],[Destination - Mouser]],_xlfn.CONCAT("Link (",Table1[[#This Row],[Mouser]],")")))</f>
        <v/>
      </c>
      <c r="AF261" s="62" t="str">
        <f>_xlfn.CONCAT("https://www.mouser.ch/ProductDetail/",Table1[[#This Row],[Mouser]])</f>
        <v>https://www.mouser.ch/ProductDetail/</v>
      </c>
      <c r="AG261" s="57"/>
      <c r="AH261" s="59"/>
      <c r="AI261" s="61" t="str">
        <f>IF(Table1[[#This Row],[Bauhaus]]="","", HYPERLINK(Table1[[#This Row],[Destination - Bauhaus]],_xlfn.CONCAT("Link (",Table1[[#This Row],[Bauhaus]],")")))</f>
        <v/>
      </c>
      <c r="AJ261" s="62" t="str">
        <f>_xlfn.CONCAT("https://www.bauhaus.ch/fr/search?query=",Table1[[#This Row],[Bauhaus]])</f>
        <v>https://www.bauhaus.ch/fr/search?query=</v>
      </c>
      <c r="AK261" s="59"/>
      <c r="AL261" s="59"/>
      <c r="AM261" s="61" t="str">
        <f>IF(Table1[[#This Row],[BricoEtLoisirs]]="","", HYPERLINK(Table1[[#This Row],[Destination - BricoEtLoisirs]],_xlfn.CONCAT("Link (",Table1[[#This Row],[BricoEtLoisirs]],")")))</f>
        <v/>
      </c>
      <c r="AN261" s="62" t="str">
        <f>_xlfn.CONCAT("https://bricoetloisirs.ch/p/",Table1[[#This Row],[BricoEtLoisirs]])</f>
        <v>https://bricoetloisirs.ch/p/</v>
      </c>
      <c r="AO261" s="57"/>
      <c r="AP261" s="59"/>
      <c r="AQ261" s="61" t="str">
        <f>IF(Table1[[#This Row],[Aliexpress]]="","", HYPERLINK(Table1[[#This Row],[Destination - Aliexpress]],_xlfn.CONCAT("Link (",Table1[[#This Row],[Aliexpress]],")")))</f>
        <v/>
      </c>
      <c r="AR261" s="62" t="str">
        <f>_xlfn.CONCAT("https://www.aliexpress.com/item/",Table1[[#This Row],[Aliexpress]],".html")</f>
        <v>https://www.aliexpress.com/item/.html</v>
      </c>
      <c r="AS261" s="57"/>
      <c r="AT261" s="59"/>
      <c r="AU261" s="61" t="str">
        <f>IF(Table1[[#This Row],[Banggood]]="","", HYPERLINK(Table1[[#This Row],[Destination - Banggood]],_xlfn.CONCAT("Link (",Table1[[#This Row],[Banggood]],")")))</f>
        <v/>
      </c>
      <c r="AV261" s="62" t="str">
        <f>_xlfn.CONCAT("https://www.banggood.com/search/",Table1[[#This Row],[Banggood]],".html")</f>
        <v>https://www.banggood.com/search/.html</v>
      </c>
      <c r="AW261" s="59" t="str">
        <f>IF(Table1[[#This Row],[Other]]&lt;&gt;"","Other","")</f>
        <v/>
      </c>
      <c r="AX261" s="57"/>
      <c r="AY261" s="59"/>
      <c r="AZ261" s="61" t="str">
        <f>IF(Table1[[#This Row],[Other]]="","",IF(Table1[[#This Row],[Destination - Other]]="","",HYPERLINK(Table1[[#This Row],[Destination - Other]],_xlfn.CONCAT("Link ("&amp;Table1[[#This Row],[Other]]&amp;")"))))</f>
        <v/>
      </c>
      <c r="BA261" s="59"/>
      <c r="BB261" s="58" t="str">
        <f>IF(AND( Table1[[#This Row],[Auto Order]]=1,Table1[[#This Row],[Obsolete]]=""),IF(Table1[[#This Row],[In stock]]&lt;Table1[[#This Row],[Min in stock]],1,""),"")</f>
        <v/>
      </c>
      <c r="BC261" s="64"/>
      <c r="BD261" s="66" t="str">
        <f>IF(Table1[[#This Row],[Obsolete]],Table1[[#This Row],[Art. Number]],"")</f>
        <v/>
      </c>
    </row>
    <row r="262" spans="1:56" x14ac:dyDescent="0.25">
      <c r="A262" s="65" t="s">
        <v>1548</v>
      </c>
      <c r="B262" s="57" t="s">
        <v>168</v>
      </c>
      <c r="C262" s="57" t="s">
        <v>97</v>
      </c>
      <c r="D262" s="57" t="s">
        <v>1549</v>
      </c>
      <c r="E262" s="57" t="s">
        <v>151</v>
      </c>
      <c r="F262" s="58">
        <v>0</v>
      </c>
      <c r="G262" s="58"/>
      <c r="H262" s="58"/>
      <c r="I26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RHM270KDCT-ND</v>
      </c>
      <c r="J26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(RHM270KDCT-ND)</v>
      </c>
      <c r="M262" s="57" t="s">
        <v>1550</v>
      </c>
      <c r="N262" s="59">
        <v>0.1</v>
      </c>
      <c r="O262" s="61" t="str">
        <f>IF(Table1[[#This Row],[Digikey]]="","", HYPERLINK(Table1[[#This Row],[Destination - Digikey]],_xlfn.CONCAT("Link (",Table1[[#This Row],[Digikey]],")")))</f>
        <v>Link (RHM270KDCT-ND)</v>
      </c>
      <c r="P262" s="62" t="str">
        <f>_xlfn.CONCAT("https://www.digikey.ch/products/en?keywords=",Table1[[#This Row],[Digikey]])</f>
        <v>https://www.digikey.ch/products/en?keywords=RHM270KDCT-ND</v>
      </c>
      <c r="Q262" s="57"/>
      <c r="R262" s="59"/>
      <c r="S262" s="61" t="str">
        <f>IF(Table1[[#This Row],[Farnell]]="","", HYPERLINK(Table1[[#This Row],[Destination - Farnell]],_xlfn.CONCAT("Link (",Table1[[#This Row],[Farnell]],")")))</f>
        <v/>
      </c>
      <c r="T262" s="62" t="str">
        <f>_xlfn.CONCAT("https://ch.farnell.com/fr-CH/",Table1[[#This Row],[Farnell]])</f>
        <v>https://ch.farnell.com/fr-CH/</v>
      </c>
      <c r="U262" s="57"/>
      <c r="V262" s="59"/>
      <c r="W262" s="61" t="str">
        <f>IF(Table1[[#This Row],[Distrelec]]="","", HYPERLINK(Table1[[#This Row],[Destination - Distrelec]],_xlfn.CONCAT("Link (",Table1[[#This Row],[Distrelec]],")")))</f>
        <v/>
      </c>
      <c r="X262" s="62" t="str">
        <f>_xlfn.CONCAT("https://www.distrelec.ch/search?q=",Table1[[#This Row],[Distrelec]])</f>
        <v>https://www.distrelec.ch/search?q=</v>
      </c>
      <c r="Y262" s="57"/>
      <c r="Z262" s="59"/>
      <c r="AA262" s="61" t="str">
        <f>IF(Table1[[#This Row],[Conrad]]="","", HYPERLINK(Table1[[#This Row],[Destination - Conrad]],_xlfn.CONCAT("Link (",Table1[[#This Row],[Conrad]],")")))</f>
        <v/>
      </c>
      <c r="AB262" s="62"/>
      <c r="AC262" s="57"/>
      <c r="AD262" s="59"/>
      <c r="AE262" s="61" t="str">
        <f>IF(Table1[[#This Row],[Mouser]]="","", HYPERLINK(Table1[[#This Row],[Destination - Mouser]],_xlfn.CONCAT("Link (",Table1[[#This Row],[Mouser]],")")))</f>
        <v/>
      </c>
      <c r="AF262" s="62" t="str">
        <f>_xlfn.CONCAT("https://www.mouser.ch/ProductDetail/",Table1[[#This Row],[Mouser]])</f>
        <v>https://www.mouser.ch/ProductDetail/</v>
      </c>
      <c r="AG262" s="57"/>
      <c r="AH262" s="59"/>
      <c r="AI262" s="61" t="str">
        <f>IF(Table1[[#This Row],[Bauhaus]]="","", HYPERLINK(Table1[[#This Row],[Destination - Bauhaus]],_xlfn.CONCAT("Link (",Table1[[#This Row],[Bauhaus]],")")))</f>
        <v/>
      </c>
      <c r="AJ262" s="62" t="str">
        <f>_xlfn.CONCAT("https://www.bauhaus.ch/fr/search?query=",Table1[[#This Row],[Bauhaus]])</f>
        <v>https://www.bauhaus.ch/fr/search?query=</v>
      </c>
      <c r="AK262" s="59"/>
      <c r="AL262" s="59"/>
      <c r="AM262" s="61" t="str">
        <f>IF(Table1[[#This Row],[BricoEtLoisirs]]="","", HYPERLINK(Table1[[#This Row],[Destination - BricoEtLoisirs]],_xlfn.CONCAT("Link (",Table1[[#This Row],[BricoEtLoisirs]],")")))</f>
        <v/>
      </c>
      <c r="AN262" s="62" t="str">
        <f>_xlfn.CONCAT("https://bricoetloisirs.ch/p/",Table1[[#This Row],[BricoEtLoisirs]])</f>
        <v>https://bricoetloisirs.ch/p/</v>
      </c>
      <c r="AO262" s="57"/>
      <c r="AP262" s="59"/>
      <c r="AQ262" s="61" t="str">
        <f>IF(Table1[[#This Row],[Aliexpress]]="","", HYPERLINK(Table1[[#This Row],[Destination - Aliexpress]],_xlfn.CONCAT("Link (",Table1[[#This Row],[Aliexpress]],")")))</f>
        <v/>
      </c>
      <c r="AR262" s="62" t="str">
        <f>_xlfn.CONCAT("https://www.aliexpress.com/item/",Table1[[#This Row],[Aliexpress]],".html")</f>
        <v>https://www.aliexpress.com/item/.html</v>
      </c>
      <c r="AS262" s="57"/>
      <c r="AT262" s="59"/>
      <c r="AU262" s="61" t="str">
        <f>IF(Table1[[#This Row],[Banggood]]="","", HYPERLINK(Table1[[#This Row],[Destination - Banggood]],_xlfn.CONCAT("Link (",Table1[[#This Row],[Banggood]],")")))</f>
        <v/>
      </c>
      <c r="AV262" s="62" t="str">
        <f>_xlfn.CONCAT("https://www.banggood.com/search/",Table1[[#This Row],[Banggood]],".html")</f>
        <v>https://www.banggood.com/search/.html</v>
      </c>
      <c r="AW262" s="59" t="str">
        <f>IF(Table1[[#This Row],[Other]]&lt;&gt;"","Other","")</f>
        <v/>
      </c>
      <c r="AX262" s="57"/>
      <c r="AY262" s="59"/>
      <c r="AZ262" s="61" t="str">
        <f>IF(Table1[[#This Row],[Other]]="","",IF(Table1[[#This Row],[Destination - Other]]="","",HYPERLINK(Table1[[#This Row],[Destination - Other]],_xlfn.CONCAT("Link ("&amp;Table1[[#This Row],[Other]]&amp;")"))))</f>
        <v/>
      </c>
      <c r="BA262" s="59"/>
      <c r="BB262" s="58" t="str">
        <f>IF(AND( Table1[[#This Row],[Auto Order]]=1,Table1[[#This Row],[Obsolete]]=""),IF(Table1[[#This Row],[In stock]]&lt;Table1[[#This Row],[Min in stock]],1,""),"")</f>
        <v/>
      </c>
      <c r="BC262" s="64"/>
      <c r="BD262" s="66" t="str">
        <f>IF(Table1[[#This Row],[Obsolete]],Table1[[#This Row],[Art. Number]],"")</f>
        <v/>
      </c>
    </row>
    <row r="263" spans="1:56" x14ac:dyDescent="0.25">
      <c r="A263" s="65" t="s">
        <v>1554</v>
      </c>
      <c r="B263" s="57" t="s">
        <v>168</v>
      </c>
      <c r="C263" s="57" t="s">
        <v>97</v>
      </c>
      <c r="D263" s="57" t="s">
        <v>1555</v>
      </c>
      <c r="E263" s="57" t="s">
        <v>151</v>
      </c>
      <c r="F263" s="58">
        <v>0</v>
      </c>
      <c r="G263" s="58"/>
      <c r="H263" s="58"/>
      <c r="I26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RHM2DCT-ND</v>
      </c>
      <c r="J26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(RHM2DCT-ND)</v>
      </c>
      <c r="M263" s="57" t="s">
        <v>1556</v>
      </c>
      <c r="N263" s="59">
        <v>0.1</v>
      </c>
      <c r="O263" s="61" t="str">
        <f>IF(Table1[[#This Row],[Digikey]]="","", HYPERLINK(Table1[[#This Row],[Destination - Digikey]],_xlfn.CONCAT("Link (",Table1[[#This Row],[Digikey]],")")))</f>
        <v>Link (RHM2DCT-ND)</v>
      </c>
      <c r="P263" s="62" t="str">
        <f>_xlfn.CONCAT("https://www.digikey.ch/products/en?keywords=",Table1[[#This Row],[Digikey]])</f>
        <v>https://www.digikey.ch/products/en?keywords=RHM2DCT-ND</v>
      </c>
      <c r="Q263" s="57"/>
      <c r="R263" s="59"/>
      <c r="S263" s="61" t="str">
        <f>IF(Table1[[#This Row],[Farnell]]="","", HYPERLINK(Table1[[#This Row],[Destination - Farnell]],_xlfn.CONCAT("Link (",Table1[[#This Row],[Farnell]],")")))</f>
        <v/>
      </c>
      <c r="T263" s="62" t="str">
        <f>_xlfn.CONCAT("https://ch.farnell.com/fr-CH/",Table1[[#This Row],[Farnell]])</f>
        <v>https://ch.farnell.com/fr-CH/</v>
      </c>
      <c r="U263" s="57"/>
      <c r="V263" s="59"/>
      <c r="W263" s="61" t="str">
        <f>IF(Table1[[#This Row],[Distrelec]]="","", HYPERLINK(Table1[[#This Row],[Destination - Distrelec]],_xlfn.CONCAT("Link (",Table1[[#This Row],[Distrelec]],")")))</f>
        <v/>
      </c>
      <c r="X263" s="62" t="str">
        <f>_xlfn.CONCAT("https://www.distrelec.ch/search?q=",Table1[[#This Row],[Distrelec]])</f>
        <v>https://www.distrelec.ch/search?q=</v>
      </c>
      <c r="Y263" s="57"/>
      <c r="Z263" s="59"/>
      <c r="AA263" s="61" t="str">
        <f>IF(Table1[[#This Row],[Conrad]]="","", HYPERLINK(Table1[[#This Row],[Destination - Conrad]],_xlfn.CONCAT("Link (",Table1[[#This Row],[Conrad]],")")))</f>
        <v/>
      </c>
      <c r="AB263" s="62"/>
      <c r="AC263" s="57"/>
      <c r="AD263" s="59"/>
      <c r="AE263" s="61" t="str">
        <f>IF(Table1[[#This Row],[Mouser]]="","", HYPERLINK(Table1[[#This Row],[Destination - Mouser]],_xlfn.CONCAT("Link (",Table1[[#This Row],[Mouser]],")")))</f>
        <v/>
      </c>
      <c r="AF263" s="62" t="str">
        <f>_xlfn.CONCAT("https://www.mouser.ch/ProductDetail/",Table1[[#This Row],[Mouser]])</f>
        <v>https://www.mouser.ch/ProductDetail/</v>
      </c>
      <c r="AG263" s="57"/>
      <c r="AH263" s="59"/>
      <c r="AI263" s="61" t="str">
        <f>IF(Table1[[#This Row],[Bauhaus]]="","", HYPERLINK(Table1[[#This Row],[Destination - Bauhaus]],_xlfn.CONCAT("Link (",Table1[[#This Row],[Bauhaus]],")")))</f>
        <v/>
      </c>
      <c r="AJ263" s="62" t="str">
        <f>_xlfn.CONCAT("https://www.bauhaus.ch/fr/search?query=",Table1[[#This Row],[Bauhaus]])</f>
        <v>https://www.bauhaus.ch/fr/search?query=</v>
      </c>
      <c r="AK263" s="59"/>
      <c r="AL263" s="59"/>
      <c r="AM263" s="61" t="str">
        <f>IF(Table1[[#This Row],[BricoEtLoisirs]]="","", HYPERLINK(Table1[[#This Row],[Destination - BricoEtLoisirs]],_xlfn.CONCAT("Link (",Table1[[#This Row],[BricoEtLoisirs]],")")))</f>
        <v/>
      </c>
      <c r="AN263" s="62" t="str">
        <f>_xlfn.CONCAT("https://bricoetloisirs.ch/p/",Table1[[#This Row],[BricoEtLoisirs]])</f>
        <v>https://bricoetloisirs.ch/p/</v>
      </c>
      <c r="AO263" s="57"/>
      <c r="AP263" s="59"/>
      <c r="AQ263" s="61" t="str">
        <f>IF(Table1[[#This Row],[Aliexpress]]="","", HYPERLINK(Table1[[#This Row],[Destination - Aliexpress]],_xlfn.CONCAT("Link (",Table1[[#This Row],[Aliexpress]],")")))</f>
        <v/>
      </c>
      <c r="AR263" s="62" t="str">
        <f>_xlfn.CONCAT("https://www.aliexpress.com/item/",Table1[[#This Row],[Aliexpress]],".html")</f>
        <v>https://www.aliexpress.com/item/.html</v>
      </c>
      <c r="AS263" s="57"/>
      <c r="AT263" s="59"/>
      <c r="AU263" s="61" t="str">
        <f>IF(Table1[[#This Row],[Banggood]]="","", HYPERLINK(Table1[[#This Row],[Destination - Banggood]],_xlfn.CONCAT("Link (",Table1[[#This Row],[Banggood]],")")))</f>
        <v/>
      </c>
      <c r="AV263" s="62" t="str">
        <f>_xlfn.CONCAT("https://www.banggood.com/search/",Table1[[#This Row],[Banggood]],".html")</f>
        <v>https://www.banggood.com/search/.html</v>
      </c>
      <c r="AW263" s="59" t="str">
        <f>IF(Table1[[#This Row],[Other]]&lt;&gt;"","Other","")</f>
        <v/>
      </c>
      <c r="AX263" s="57"/>
      <c r="AY263" s="59"/>
      <c r="AZ263" s="61" t="str">
        <f>IF(Table1[[#This Row],[Other]]="","",IF(Table1[[#This Row],[Destination - Other]]="","",HYPERLINK(Table1[[#This Row],[Destination - Other]],_xlfn.CONCAT("Link ("&amp;Table1[[#This Row],[Other]]&amp;")"))))</f>
        <v/>
      </c>
      <c r="BA263" s="59"/>
      <c r="BB263" s="58" t="str">
        <f>IF(AND( Table1[[#This Row],[Auto Order]]=1,Table1[[#This Row],[Obsolete]]=""),IF(Table1[[#This Row],[In stock]]&lt;Table1[[#This Row],[Min in stock]],1,""),"")</f>
        <v/>
      </c>
      <c r="BC263" s="64"/>
      <c r="BD263" s="66" t="str">
        <f>IF(Table1[[#This Row],[Obsolete]],Table1[[#This Row],[Art. Number]],"")</f>
        <v/>
      </c>
    </row>
    <row r="264" spans="1:56" x14ac:dyDescent="0.25">
      <c r="A264" s="65" t="s">
        <v>1560</v>
      </c>
      <c r="B264" s="57" t="s">
        <v>168</v>
      </c>
      <c r="C264" s="57" t="s">
        <v>97</v>
      </c>
      <c r="D264" s="57" t="s">
        <v>1561</v>
      </c>
      <c r="E264" s="57" t="s">
        <v>151</v>
      </c>
      <c r="F264" s="58">
        <v>0</v>
      </c>
      <c r="G264" s="58"/>
      <c r="H264" s="58"/>
      <c r="I26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RHM2.2DCT-ND</v>
      </c>
      <c r="J26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(RHM2.2DCT-ND)</v>
      </c>
      <c r="M264" s="57" t="s">
        <v>1562</v>
      </c>
      <c r="N264" s="59">
        <v>0.1</v>
      </c>
      <c r="O264" s="61" t="str">
        <f>IF(Table1[[#This Row],[Digikey]]="","", HYPERLINK(Table1[[#This Row],[Destination - Digikey]],_xlfn.CONCAT("Link (",Table1[[#This Row],[Digikey]],")")))</f>
        <v>Link (RHM2.2DCT-ND)</v>
      </c>
      <c r="P264" s="62" t="str">
        <f>_xlfn.CONCAT("https://www.digikey.ch/products/en?keywords=",Table1[[#This Row],[Digikey]])</f>
        <v>https://www.digikey.ch/products/en?keywords=RHM2.2DCT-ND</v>
      </c>
      <c r="Q264" s="57"/>
      <c r="R264" s="59"/>
      <c r="S264" s="61" t="str">
        <f>IF(Table1[[#This Row],[Farnell]]="","", HYPERLINK(Table1[[#This Row],[Destination - Farnell]],_xlfn.CONCAT("Link (",Table1[[#This Row],[Farnell]],")")))</f>
        <v/>
      </c>
      <c r="T264" s="62" t="str">
        <f>_xlfn.CONCAT("https://ch.farnell.com/fr-CH/",Table1[[#This Row],[Farnell]])</f>
        <v>https://ch.farnell.com/fr-CH/</v>
      </c>
      <c r="U264" s="57"/>
      <c r="V264" s="59"/>
      <c r="W264" s="61" t="str">
        <f>IF(Table1[[#This Row],[Distrelec]]="","", HYPERLINK(Table1[[#This Row],[Destination - Distrelec]],_xlfn.CONCAT("Link (",Table1[[#This Row],[Distrelec]],")")))</f>
        <v/>
      </c>
      <c r="X264" s="62" t="str">
        <f>_xlfn.CONCAT("https://www.distrelec.ch/search?q=",Table1[[#This Row],[Distrelec]])</f>
        <v>https://www.distrelec.ch/search?q=</v>
      </c>
      <c r="Y264" s="57"/>
      <c r="Z264" s="59"/>
      <c r="AA264" s="61" t="str">
        <f>IF(Table1[[#This Row],[Conrad]]="","", HYPERLINK(Table1[[#This Row],[Destination - Conrad]],_xlfn.CONCAT("Link (",Table1[[#This Row],[Conrad]],")")))</f>
        <v/>
      </c>
      <c r="AB264" s="62"/>
      <c r="AC264" s="57"/>
      <c r="AD264" s="59"/>
      <c r="AE264" s="61" t="str">
        <f>IF(Table1[[#This Row],[Mouser]]="","", HYPERLINK(Table1[[#This Row],[Destination - Mouser]],_xlfn.CONCAT("Link (",Table1[[#This Row],[Mouser]],")")))</f>
        <v/>
      </c>
      <c r="AF264" s="62" t="str">
        <f>_xlfn.CONCAT("https://www.mouser.ch/ProductDetail/",Table1[[#This Row],[Mouser]])</f>
        <v>https://www.mouser.ch/ProductDetail/</v>
      </c>
      <c r="AG264" s="57"/>
      <c r="AH264" s="59"/>
      <c r="AI264" s="61" t="str">
        <f>IF(Table1[[#This Row],[Bauhaus]]="","", HYPERLINK(Table1[[#This Row],[Destination - Bauhaus]],_xlfn.CONCAT("Link (",Table1[[#This Row],[Bauhaus]],")")))</f>
        <v/>
      </c>
      <c r="AJ264" s="62" t="str">
        <f>_xlfn.CONCAT("https://www.bauhaus.ch/fr/search?query=",Table1[[#This Row],[Bauhaus]])</f>
        <v>https://www.bauhaus.ch/fr/search?query=</v>
      </c>
      <c r="AK264" s="59"/>
      <c r="AL264" s="59"/>
      <c r="AM264" s="61" t="str">
        <f>IF(Table1[[#This Row],[BricoEtLoisirs]]="","", HYPERLINK(Table1[[#This Row],[Destination - BricoEtLoisirs]],_xlfn.CONCAT("Link (",Table1[[#This Row],[BricoEtLoisirs]],")")))</f>
        <v/>
      </c>
      <c r="AN264" s="62" t="str">
        <f>_xlfn.CONCAT("https://bricoetloisirs.ch/p/",Table1[[#This Row],[BricoEtLoisirs]])</f>
        <v>https://bricoetloisirs.ch/p/</v>
      </c>
      <c r="AO264" s="57"/>
      <c r="AP264" s="59"/>
      <c r="AQ264" s="61" t="str">
        <f>IF(Table1[[#This Row],[Aliexpress]]="","", HYPERLINK(Table1[[#This Row],[Destination - Aliexpress]],_xlfn.CONCAT("Link (",Table1[[#This Row],[Aliexpress]],")")))</f>
        <v/>
      </c>
      <c r="AR264" s="62" t="str">
        <f>_xlfn.CONCAT("https://www.aliexpress.com/item/",Table1[[#This Row],[Aliexpress]],".html")</f>
        <v>https://www.aliexpress.com/item/.html</v>
      </c>
      <c r="AS264" s="57"/>
      <c r="AT264" s="59"/>
      <c r="AU264" s="61" t="str">
        <f>IF(Table1[[#This Row],[Banggood]]="","", HYPERLINK(Table1[[#This Row],[Destination - Banggood]],_xlfn.CONCAT("Link (",Table1[[#This Row],[Banggood]],")")))</f>
        <v/>
      </c>
      <c r="AV264" s="62" t="str">
        <f>_xlfn.CONCAT("https://www.banggood.com/search/",Table1[[#This Row],[Banggood]],".html")</f>
        <v>https://www.banggood.com/search/.html</v>
      </c>
      <c r="AW264" s="59" t="str">
        <f>IF(Table1[[#This Row],[Other]]&lt;&gt;"","Other","")</f>
        <v/>
      </c>
      <c r="AX264" s="57"/>
      <c r="AY264" s="59"/>
      <c r="AZ264" s="61" t="str">
        <f>IF(Table1[[#This Row],[Other]]="","",IF(Table1[[#This Row],[Destination - Other]]="","",HYPERLINK(Table1[[#This Row],[Destination - Other]],_xlfn.CONCAT("Link ("&amp;Table1[[#This Row],[Other]]&amp;")"))))</f>
        <v/>
      </c>
      <c r="BA264" s="59"/>
      <c r="BB264" s="58" t="str">
        <f>IF(AND( Table1[[#This Row],[Auto Order]]=1,Table1[[#This Row],[Obsolete]]=""),IF(Table1[[#This Row],[In stock]]&lt;Table1[[#This Row],[Min in stock]],1,""),"")</f>
        <v/>
      </c>
      <c r="BC264" s="64"/>
      <c r="BD264" s="66" t="str">
        <f>IF(Table1[[#This Row],[Obsolete]],Table1[[#This Row],[Art. Number]],"")</f>
        <v/>
      </c>
    </row>
    <row r="265" spans="1:56" x14ac:dyDescent="0.25">
      <c r="A265" s="65" t="s">
        <v>1566</v>
      </c>
      <c r="B265" s="57" t="s">
        <v>168</v>
      </c>
      <c r="C265" s="57" t="s">
        <v>97</v>
      </c>
      <c r="D265" s="57" t="s">
        <v>1567</v>
      </c>
      <c r="E265" s="57" t="s">
        <v>151</v>
      </c>
      <c r="F265" s="58">
        <v>0</v>
      </c>
      <c r="G265" s="58"/>
      <c r="H265" s="58"/>
      <c r="I26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RHM2.4DCT-ND</v>
      </c>
      <c r="J26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(RHM2.4DCT-ND)</v>
      </c>
      <c r="M265" s="57" t="s">
        <v>1568</v>
      </c>
      <c r="N265" s="59">
        <v>0.1</v>
      </c>
      <c r="O265" s="61" t="str">
        <f>IF(Table1[[#This Row],[Digikey]]="","", HYPERLINK(Table1[[#This Row],[Destination - Digikey]],_xlfn.CONCAT("Link (",Table1[[#This Row],[Digikey]],")")))</f>
        <v>Link (RHM2.4DCT-ND)</v>
      </c>
      <c r="P265" s="62" t="str">
        <f>_xlfn.CONCAT("https://www.digikey.ch/products/en?keywords=",Table1[[#This Row],[Digikey]])</f>
        <v>https://www.digikey.ch/products/en?keywords=RHM2.4DCT-ND</v>
      </c>
      <c r="Q265" s="57"/>
      <c r="R265" s="59"/>
      <c r="S265" s="61" t="str">
        <f>IF(Table1[[#This Row],[Farnell]]="","", HYPERLINK(Table1[[#This Row],[Destination - Farnell]],_xlfn.CONCAT("Link (",Table1[[#This Row],[Farnell]],")")))</f>
        <v/>
      </c>
      <c r="T265" s="62" t="str">
        <f>_xlfn.CONCAT("https://ch.farnell.com/fr-CH/",Table1[[#This Row],[Farnell]])</f>
        <v>https://ch.farnell.com/fr-CH/</v>
      </c>
      <c r="U265" s="57"/>
      <c r="V265" s="59"/>
      <c r="W265" s="61" t="str">
        <f>IF(Table1[[#This Row],[Distrelec]]="","", HYPERLINK(Table1[[#This Row],[Destination - Distrelec]],_xlfn.CONCAT("Link (",Table1[[#This Row],[Distrelec]],")")))</f>
        <v/>
      </c>
      <c r="X265" s="62" t="str">
        <f>_xlfn.CONCAT("https://www.distrelec.ch/search?q=",Table1[[#This Row],[Distrelec]])</f>
        <v>https://www.distrelec.ch/search?q=</v>
      </c>
      <c r="Y265" s="57"/>
      <c r="Z265" s="59"/>
      <c r="AA265" s="61" t="str">
        <f>IF(Table1[[#This Row],[Conrad]]="","", HYPERLINK(Table1[[#This Row],[Destination - Conrad]],_xlfn.CONCAT("Link (",Table1[[#This Row],[Conrad]],")")))</f>
        <v/>
      </c>
      <c r="AB265" s="62"/>
      <c r="AC265" s="57"/>
      <c r="AD265" s="59"/>
      <c r="AE265" s="61" t="str">
        <f>IF(Table1[[#This Row],[Mouser]]="","", HYPERLINK(Table1[[#This Row],[Destination - Mouser]],_xlfn.CONCAT("Link (",Table1[[#This Row],[Mouser]],")")))</f>
        <v/>
      </c>
      <c r="AF265" s="62" t="str">
        <f>_xlfn.CONCAT("https://www.mouser.ch/ProductDetail/",Table1[[#This Row],[Mouser]])</f>
        <v>https://www.mouser.ch/ProductDetail/</v>
      </c>
      <c r="AG265" s="57"/>
      <c r="AH265" s="59"/>
      <c r="AI265" s="61" t="str">
        <f>IF(Table1[[#This Row],[Bauhaus]]="","", HYPERLINK(Table1[[#This Row],[Destination - Bauhaus]],_xlfn.CONCAT("Link (",Table1[[#This Row],[Bauhaus]],")")))</f>
        <v/>
      </c>
      <c r="AJ265" s="62" t="str">
        <f>_xlfn.CONCAT("https://www.bauhaus.ch/fr/search?query=",Table1[[#This Row],[Bauhaus]])</f>
        <v>https://www.bauhaus.ch/fr/search?query=</v>
      </c>
      <c r="AK265" s="59"/>
      <c r="AL265" s="59"/>
      <c r="AM265" s="61" t="str">
        <f>IF(Table1[[#This Row],[BricoEtLoisirs]]="","", HYPERLINK(Table1[[#This Row],[Destination - BricoEtLoisirs]],_xlfn.CONCAT("Link (",Table1[[#This Row],[BricoEtLoisirs]],")")))</f>
        <v/>
      </c>
      <c r="AN265" s="62" t="str">
        <f>_xlfn.CONCAT("https://bricoetloisirs.ch/p/",Table1[[#This Row],[BricoEtLoisirs]])</f>
        <v>https://bricoetloisirs.ch/p/</v>
      </c>
      <c r="AO265" s="57"/>
      <c r="AP265" s="59"/>
      <c r="AQ265" s="61" t="str">
        <f>IF(Table1[[#This Row],[Aliexpress]]="","", HYPERLINK(Table1[[#This Row],[Destination - Aliexpress]],_xlfn.CONCAT("Link (",Table1[[#This Row],[Aliexpress]],")")))</f>
        <v/>
      </c>
      <c r="AR265" s="62" t="str">
        <f>_xlfn.CONCAT("https://www.aliexpress.com/item/",Table1[[#This Row],[Aliexpress]],".html")</f>
        <v>https://www.aliexpress.com/item/.html</v>
      </c>
      <c r="AS265" s="57"/>
      <c r="AT265" s="59"/>
      <c r="AU265" s="61" t="str">
        <f>IF(Table1[[#This Row],[Banggood]]="","", HYPERLINK(Table1[[#This Row],[Destination - Banggood]],_xlfn.CONCAT("Link (",Table1[[#This Row],[Banggood]],")")))</f>
        <v/>
      </c>
      <c r="AV265" s="62" t="str">
        <f>_xlfn.CONCAT("https://www.banggood.com/search/",Table1[[#This Row],[Banggood]],".html")</f>
        <v>https://www.banggood.com/search/.html</v>
      </c>
      <c r="AW265" s="59" t="str">
        <f>IF(Table1[[#This Row],[Other]]&lt;&gt;"","Other","")</f>
        <v/>
      </c>
      <c r="AX265" s="57"/>
      <c r="AY265" s="59"/>
      <c r="AZ265" s="61" t="str">
        <f>IF(Table1[[#This Row],[Other]]="","",IF(Table1[[#This Row],[Destination - Other]]="","",HYPERLINK(Table1[[#This Row],[Destination - Other]],_xlfn.CONCAT("Link ("&amp;Table1[[#This Row],[Other]]&amp;")"))))</f>
        <v/>
      </c>
      <c r="BA265" s="59"/>
      <c r="BB265" s="58" t="str">
        <f>IF(AND( Table1[[#This Row],[Auto Order]]=1,Table1[[#This Row],[Obsolete]]=""),IF(Table1[[#This Row],[In stock]]&lt;Table1[[#This Row],[Min in stock]],1,""),"")</f>
        <v/>
      </c>
      <c r="BC265" s="64"/>
      <c r="BD265" s="66" t="str">
        <f>IF(Table1[[#This Row],[Obsolete]],Table1[[#This Row],[Art. Number]],"")</f>
        <v/>
      </c>
    </row>
    <row r="266" spans="1:56" x14ac:dyDescent="0.25">
      <c r="A266" s="65" t="s">
        <v>1572</v>
      </c>
      <c r="B266" s="57" t="s">
        <v>168</v>
      </c>
      <c r="C266" s="57" t="s">
        <v>97</v>
      </c>
      <c r="D266" s="57" t="s">
        <v>1573</v>
      </c>
      <c r="E266" s="57" t="s">
        <v>151</v>
      </c>
      <c r="F266" s="58">
        <v>0</v>
      </c>
      <c r="G266" s="58"/>
      <c r="H266" s="58"/>
      <c r="I26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RHM2.7DCT-ND</v>
      </c>
      <c r="J26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(RHM2.7DCT-ND)</v>
      </c>
      <c r="M266" s="57" t="s">
        <v>1574</v>
      </c>
      <c r="N266" s="59">
        <v>0.1</v>
      </c>
      <c r="O266" s="61" t="str">
        <f>IF(Table1[[#This Row],[Digikey]]="","", HYPERLINK(Table1[[#This Row],[Destination - Digikey]],_xlfn.CONCAT("Link (",Table1[[#This Row],[Digikey]],")")))</f>
        <v>Link (RHM2.7DCT-ND)</v>
      </c>
      <c r="P266" s="62" t="str">
        <f>_xlfn.CONCAT("https://www.digikey.ch/products/en?keywords=",Table1[[#This Row],[Digikey]])</f>
        <v>https://www.digikey.ch/products/en?keywords=RHM2.7DCT-ND</v>
      </c>
      <c r="Q266" s="57"/>
      <c r="R266" s="59"/>
      <c r="S266" s="61" t="str">
        <f>IF(Table1[[#This Row],[Farnell]]="","", HYPERLINK(Table1[[#This Row],[Destination - Farnell]],_xlfn.CONCAT("Link (",Table1[[#This Row],[Farnell]],")")))</f>
        <v/>
      </c>
      <c r="T266" s="62" t="str">
        <f>_xlfn.CONCAT("https://ch.farnell.com/fr-CH/",Table1[[#This Row],[Farnell]])</f>
        <v>https://ch.farnell.com/fr-CH/</v>
      </c>
      <c r="U266" s="57"/>
      <c r="V266" s="59"/>
      <c r="W266" s="61" t="str">
        <f>IF(Table1[[#This Row],[Distrelec]]="","", HYPERLINK(Table1[[#This Row],[Destination - Distrelec]],_xlfn.CONCAT("Link (",Table1[[#This Row],[Distrelec]],")")))</f>
        <v/>
      </c>
      <c r="X266" s="62" t="str">
        <f>_xlfn.CONCAT("https://www.distrelec.ch/search?q=",Table1[[#This Row],[Distrelec]])</f>
        <v>https://www.distrelec.ch/search?q=</v>
      </c>
      <c r="Y266" s="57"/>
      <c r="Z266" s="59"/>
      <c r="AA266" s="61" t="str">
        <f>IF(Table1[[#This Row],[Conrad]]="","", HYPERLINK(Table1[[#This Row],[Destination - Conrad]],_xlfn.CONCAT("Link (",Table1[[#This Row],[Conrad]],")")))</f>
        <v/>
      </c>
      <c r="AB266" s="62"/>
      <c r="AC266" s="57"/>
      <c r="AD266" s="59"/>
      <c r="AE266" s="61" t="str">
        <f>IF(Table1[[#This Row],[Mouser]]="","", HYPERLINK(Table1[[#This Row],[Destination - Mouser]],_xlfn.CONCAT("Link (",Table1[[#This Row],[Mouser]],")")))</f>
        <v/>
      </c>
      <c r="AF266" s="62" t="str">
        <f>_xlfn.CONCAT("https://www.mouser.ch/ProductDetail/",Table1[[#This Row],[Mouser]])</f>
        <v>https://www.mouser.ch/ProductDetail/</v>
      </c>
      <c r="AG266" s="57"/>
      <c r="AH266" s="59"/>
      <c r="AI266" s="61" t="str">
        <f>IF(Table1[[#This Row],[Bauhaus]]="","", HYPERLINK(Table1[[#This Row],[Destination - Bauhaus]],_xlfn.CONCAT("Link (",Table1[[#This Row],[Bauhaus]],")")))</f>
        <v/>
      </c>
      <c r="AJ266" s="62" t="str">
        <f>_xlfn.CONCAT("https://www.bauhaus.ch/fr/search?query=",Table1[[#This Row],[Bauhaus]])</f>
        <v>https://www.bauhaus.ch/fr/search?query=</v>
      </c>
      <c r="AK266" s="59"/>
      <c r="AL266" s="59"/>
      <c r="AM266" s="61" t="str">
        <f>IF(Table1[[#This Row],[BricoEtLoisirs]]="","", HYPERLINK(Table1[[#This Row],[Destination - BricoEtLoisirs]],_xlfn.CONCAT("Link (",Table1[[#This Row],[BricoEtLoisirs]],")")))</f>
        <v/>
      </c>
      <c r="AN266" s="62" t="str">
        <f>_xlfn.CONCAT("https://bricoetloisirs.ch/p/",Table1[[#This Row],[BricoEtLoisirs]])</f>
        <v>https://bricoetloisirs.ch/p/</v>
      </c>
      <c r="AO266" s="57"/>
      <c r="AP266" s="59"/>
      <c r="AQ266" s="61" t="str">
        <f>IF(Table1[[#This Row],[Aliexpress]]="","", HYPERLINK(Table1[[#This Row],[Destination - Aliexpress]],_xlfn.CONCAT("Link (",Table1[[#This Row],[Aliexpress]],")")))</f>
        <v/>
      </c>
      <c r="AR266" s="62" t="str">
        <f>_xlfn.CONCAT("https://www.aliexpress.com/item/",Table1[[#This Row],[Aliexpress]],".html")</f>
        <v>https://www.aliexpress.com/item/.html</v>
      </c>
      <c r="AS266" s="57"/>
      <c r="AT266" s="59"/>
      <c r="AU266" s="61" t="str">
        <f>IF(Table1[[#This Row],[Banggood]]="","", HYPERLINK(Table1[[#This Row],[Destination - Banggood]],_xlfn.CONCAT("Link (",Table1[[#This Row],[Banggood]],")")))</f>
        <v/>
      </c>
      <c r="AV266" s="62" t="str">
        <f>_xlfn.CONCAT("https://www.banggood.com/search/",Table1[[#This Row],[Banggood]],".html")</f>
        <v>https://www.banggood.com/search/.html</v>
      </c>
      <c r="AW266" s="59" t="str">
        <f>IF(Table1[[#This Row],[Other]]&lt;&gt;"","Other","")</f>
        <v/>
      </c>
      <c r="AX266" s="57"/>
      <c r="AY266" s="59"/>
      <c r="AZ266" s="61" t="str">
        <f>IF(Table1[[#This Row],[Other]]="","",IF(Table1[[#This Row],[Destination - Other]]="","",HYPERLINK(Table1[[#This Row],[Destination - Other]],_xlfn.CONCAT("Link ("&amp;Table1[[#This Row],[Other]]&amp;")"))))</f>
        <v/>
      </c>
      <c r="BA266" s="59"/>
      <c r="BB266" s="58" t="str">
        <f>IF(AND( Table1[[#This Row],[Auto Order]]=1,Table1[[#This Row],[Obsolete]]=""),IF(Table1[[#This Row],[In stock]]&lt;Table1[[#This Row],[Min in stock]],1,""),"")</f>
        <v/>
      </c>
      <c r="BC266" s="64"/>
      <c r="BD266" s="66" t="str">
        <f>IF(Table1[[#This Row],[Obsolete]],Table1[[#This Row],[Art. Number]],"")</f>
        <v/>
      </c>
    </row>
    <row r="267" spans="1:56" x14ac:dyDescent="0.25">
      <c r="A267" s="65" t="s">
        <v>1578</v>
      </c>
      <c r="B267" s="57" t="s">
        <v>168</v>
      </c>
      <c r="C267" s="57" t="s">
        <v>97</v>
      </c>
      <c r="D267" s="57" t="s">
        <v>1579</v>
      </c>
      <c r="E267" s="57" t="s">
        <v>151</v>
      </c>
      <c r="F267" s="58">
        <v>0</v>
      </c>
      <c r="G267" s="58"/>
      <c r="H267" s="58"/>
      <c r="I26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RHM30DCT-ND</v>
      </c>
      <c r="J26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(RHM30DCT-ND)</v>
      </c>
      <c r="M267" s="57" t="s">
        <v>1580</v>
      </c>
      <c r="N267" s="59">
        <v>0.1</v>
      </c>
      <c r="O267" s="61" t="str">
        <f>IF(Table1[[#This Row],[Digikey]]="","", HYPERLINK(Table1[[#This Row],[Destination - Digikey]],_xlfn.CONCAT("Link (",Table1[[#This Row],[Digikey]],")")))</f>
        <v>Link (RHM30DCT-ND)</v>
      </c>
      <c r="P267" s="62" t="str">
        <f>_xlfn.CONCAT("https://www.digikey.ch/products/en?keywords=",Table1[[#This Row],[Digikey]])</f>
        <v>https://www.digikey.ch/products/en?keywords=RHM30DCT-ND</v>
      </c>
      <c r="Q267" s="57"/>
      <c r="R267" s="59"/>
      <c r="S267" s="61" t="str">
        <f>IF(Table1[[#This Row],[Farnell]]="","", HYPERLINK(Table1[[#This Row],[Destination - Farnell]],_xlfn.CONCAT("Link (",Table1[[#This Row],[Farnell]],")")))</f>
        <v/>
      </c>
      <c r="T267" s="62" t="str">
        <f>_xlfn.CONCAT("https://ch.farnell.com/fr-CH/",Table1[[#This Row],[Farnell]])</f>
        <v>https://ch.farnell.com/fr-CH/</v>
      </c>
      <c r="U267" s="57"/>
      <c r="V267" s="59"/>
      <c r="W267" s="61" t="str">
        <f>IF(Table1[[#This Row],[Distrelec]]="","", HYPERLINK(Table1[[#This Row],[Destination - Distrelec]],_xlfn.CONCAT("Link (",Table1[[#This Row],[Distrelec]],")")))</f>
        <v/>
      </c>
      <c r="X267" s="62" t="str">
        <f>_xlfn.CONCAT("https://www.distrelec.ch/search?q=",Table1[[#This Row],[Distrelec]])</f>
        <v>https://www.distrelec.ch/search?q=</v>
      </c>
      <c r="Y267" s="57"/>
      <c r="Z267" s="59"/>
      <c r="AA267" s="61" t="str">
        <f>IF(Table1[[#This Row],[Conrad]]="","", HYPERLINK(Table1[[#This Row],[Destination - Conrad]],_xlfn.CONCAT("Link (",Table1[[#This Row],[Conrad]],")")))</f>
        <v/>
      </c>
      <c r="AB267" s="62"/>
      <c r="AC267" s="57"/>
      <c r="AD267" s="59"/>
      <c r="AE267" s="61" t="str">
        <f>IF(Table1[[#This Row],[Mouser]]="","", HYPERLINK(Table1[[#This Row],[Destination - Mouser]],_xlfn.CONCAT("Link (",Table1[[#This Row],[Mouser]],")")))</f>
        <v/>
      </c>
      <c r="AF267" s="62" t="str">
        <f>_xlfn.CONCAT("https://www.mouser.ch/ProductDetail/",Table1[[#This Row],[Mouser]])</f>
        <v>https://www.mouser.ch/ProductDetail/</v>
      </c>
      <c r="AG267" s="57"/>
      <c r="AH267" s="59"/>
      <c r="AI267" s="61" t="str">
        <f>IF(Table1[[#This Row],[Bauhaus]]="","", HYPERLINK(Table1[[#This Row],[Destination - Bauhaus]],_xlfn.CONCAT("Link (",Table1[[#This Row],[Bauhaus]],")")))</f>
        <v/>
      </c>
      <c r="AJ267" s="62" t="str">
        <f>_xlfn.CONCAT("https://www.bauhaus.ch/fr/search?query=",Table1[[#This Row],[Bauhaus]])</f>
        <v>https://www.bauhaus.ch/fr/search?query=</v>
      </c>
      <c r="AK267" s="59"/>
      <c r="AL267" s="59"/>
      <c r="AM267" s="61" t="str">
        <f>IF(Table1[[#This Row],[BricoEtLoisirs]]="","", HYPERLINK(Table1[[#This Row],[Destination - BricoEtLoisirs]],_xlfn.CONCAT("Link (",Table1[[#This Row],[BricoEtLoisirs]],")")))</f>
        <v/>
      </c>
      <c r="AN267" s="62" t="str">
        <f>_xlfn.CONCAT("https://bricoetloisirs.ch/p/",Table1[[#This Row],[BricoEtLoisirs]])</f>
        <v>https://bricoetloisirs.ch/p/</v>
      </c>
      <c r="AO267" s="57"/>
      <c r="AP267" s="59"/>
      <c r="AQ267" s="61" t="str">
        <f>IF(Table1[[#This Row],[Aliexpress]]="","", HYPERLINK(Table1[[#This Row],[Destination - Aliexpress]],_xlfn.CONCAT("Link (",Table1[[#This Row],[Aliexpress]],")")))</f>
        <v/>
      </c>
      <c r="AR267" s="62" t="str">
        <f>_xlfn.CONCAT("https://www.aliexpress.com/item/",Table1[[#This Row],[Aliexpress]],".html")</f>
        <v>https://www.aliexpress.com/item/.html</v>
      </c>
      <c r="AS267" s="57"/>
      <c r="AT267" s="59"/>
      <c r="AU267" s="61" t="str">
        <f>IF(Table1[[#This Row],[Banggood]]="","", HYPERLINK(Table1[[#This Row],[Destination - Banggood]],_xlfn.CONCAT("Link (",Table1[[#This Row],[Banggood]],")")))</f>
        <v/>
      </c>
      <c r="AV267" s="62" t="str">
        <f>_xlfn.CONCAT("https://www.banggood.com/search/",Table1[[#This Row],[Banggood]],".html")</f>
        <v>https://www.banggood.com/search/.html</v>
      </c>
      <c r="AW267" s="59" t="str">
        <f>IF(Table1[[#This Row],[Other]]&lt;&gt;"","Other","")</f>
        <v/>
      </c>
      <c r="AX267" s="57"/>
      <c r="AY267" s="59"/>
      <c r="AZ267" s="61" t="str">
        <f>IF(Table1[[#This Row],[Other]]="","",IF(Table1[[#This Row],[Destination - Other]]="","",HYPERLINK(Table1[[#This Row],[Destination - Other]],_xlfn.CONCAT("Link ("&amp;Table1[[#This Row],[Other]]&amp;")"))))</f>
        <v/>
      </c>
      <c r="BA267" s="59"/>
      <c r="BB267" s="58" t="str">
        <f>IF(AND( Table1[[#This Row],[Auto Order]]=1,Table1[[#This Row],[Obsolete]]=""),IF(Table1[[#This Row],[In stock]]&lt;Table1[[#This Row],[Min in stock]],1,""),"")</f>
        <v/>
      </c>
      <c r="BC267" s="64"/>
      <c r="BD267" s="66" t="str">
        <f>IF(Table1[[#This Row],[Obsolete]],Table1[[#This Row],[Art. Number]],"")</f>
        <v/>
      </c>
    </row>
    <row r="268" spans="1:56" x14ac:dyDescent="0.25">
      <c r="A268" s="65" t="s">
        <v>1584</v>
      </c>
      <c r="B268" s="57" t="s">
        <v>168</v>
      </c>
      <c r="C268" s="57" t="s">
        <v>97</v>
      </c>
      <c r="D268" s="57" t="s">
        <v>1585</v>
      </c>
      <c r="E268" s="57" t="s">
        <v>151</v>
      </c>
      <c r="F268" s="58">
        <v>0</v>
      </c>
      <c r="G268" s="58"/>
      <c r="H268" s="58"/>
      <c r="I26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RHM300DCT-ND</v>
      </c>
      <c r="J26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(RHM300DCT-ND)</v>
      </c>
      <c r="M268" s="57" t="s">
        <v>1586</v>
      </c>
      <c r="N268" s="59">
        <v>0.1</v>
      </c>
      <c r="O268" s="61" t="str">
        <f>IF(Table1[[#This Row],[Digikey]]="","", HYPERLINK(Table1[[#This Row],[Destination - Digikey]],_xlfn.CONCAT("Link (",Table1[[#This Row],[Digikey]],")")))</f>
        <v>Link (RHM300DCT-ND)</v>
      </c>
      <c r="P268" s="62" t="str">
        <f>_xlfn.CONCAT("https://www.digikey.ch/products/en?keywords=",Table1[[#This Row],[Digikey]])</f>
        <v>https://www.digikey.ch/products/en?keywords=RHM300DCT-ND</v>
      </c>
      <c r="Q268" s="57"/>
      <c r="R268" s="59"/>
      <c r="S268" s="61" t="str">
        <f>IF(Table1[[#This Row],[Farnell]]="","", HYPERLINK(Table1[[#This Row],[Destination - Farnell]],_xlfn.CONCAT("Link (",Table1[[#This Row],[Farnell]],")")))</f>
        <v/>
      </c>
      <c r="T268" s="62" t="str">
        <f>_xlfn.CONCAT("https://ch.farnell.com/fr-CH/",Table1[[#This Row],[Farnell]])</f>
        <v>https://ch.farnell.com/fr-CH/</v>
      </c>
      <c r="U268" s="57"/>
      <c r="V268" s="59"/>
      <c r="W268" s="61" t="str">
        <f>IF(Table1[[#This Row],[Distrelec]]="","", HYPERLINK(Table1[[#This Row],[Destination - Distrelec]],_xlfn.CONCAT("Link (",Table1[[#This Row],[Distrelec]],")")))</f>
        <v/>
      </c>
      <c r="X268" s="62" t="str">
        <f>_xlfn.CONCAT("https://www.distrelec.ch/search?q=",Table1[[#This Row],[Distrelec]])</f>
        <v>https://www.distrelec.ch/search?q=</v>
      </c>
      <c r="Y268" s="57"/>
      <c r="Z268" s="59"/>
      <c r="AA268" s="61" t="str">
        <f>IF(Table1[[#This Row],[Conrad]]="","", HYPERLINK(Table1[[#This Row],[Destination - Conrad]],_xlfn.CONCAT("Link (",Table1[[#This Row],[Conrad]],")")))</f>
        <v/>
      </c>
      <c r="AB268" s="62"/>
      <c r="AC268" s="57"/>
      <c r="AD268" s="59"/>
      <c r="AE268" s="61" t="str">
        <f>IF(Table1[[#This Row],[Mouser]]="","", HYPERLINK(Table1[[#This Row],[Destination - Mouser]],_xlfn.CONCAT("Link (",Table1[[#This Row],[Mouser]],")")))</f>
        <v/>
      </c>
      <c r="AF268" s="62" t="str">
        <f>_xlfn.CONCAT("https://www.mouser.ch/ProductDetail/",Table1[[#This Row],[Mouser]])</f>
        <v>https://www.mouser.ch/ProductDetail/</v>
      </c>
      <c r="AG268" s="57"/>
      <c r="AH268" s="59"/>
      <c r="AI268" s="61" t="str">
        <f>IF(Table1[[#This Row],[Bauhaus]]="","", HYPERLINK(Table1[[#This Row],[Destination - Bauhaus]],_xlfn.CONCAT("Link (",Table1[[#This Row],[Bauhaus]],")")))</f>
        <v/>
      </c>
      <c r="AJ268" s="62" t="str">
        <f>_xlfn.CONCAT("https://www.bauhaus.ch/fr/search?query=",Table1[[#This Row],[Bauhaus]])</f>
        <v>https://www.bauhaus.ch/fr/search?query=</v>
      </c>
      <c r="AK268" s="59"/>
      <c r="AL268" s="59"/>
      <c r="AM268" s="61" t="str">
        <f>IF(Table1[[#This Row],[BricoEtLoisirs]]="","", HYPERLINK(Table1[[#This Row],[Destination - BricoEtLoisirs]],_xlfn.CONCAT("Link (",Table1[[#This Row],[BricoEtLoisirs]],")")))</f>
        <v/>
      </c>
      <c r="AN268" s="62" t="str">
        <f>_xlfn.CONCAT("https://bricoetloisirs.ch/p/",Table1[[#This Row],[BricoEtLoisirs]])</f>
        <v>https://bricoetloisirs.ch/p/</v>
      </c>
      <c r="AO268" s="57"/>
      <c r="AP268" s="59"/>
      <c r="AQ268" s="61" t="str">
        <f>IF(Table1[[#This Row],[Aliexpress]]="","", HYPERLINK(Table1[[#This Row],[Destination - Aliexpress]],_xlfn.CONCAT("Link (",Table1[[#This Row],[Aliexpress]],")")))</f>
        <v/>
      </c>
      <c r="AR268" s="62" t="str">
        <f>_xlfn.CONCAT("https://www.aliexpress.com/item/",Table1[[#This Row],[Aliexpress]],".html")</f>
        <v>https://www.aliexpress.com/item/.html</v>
      </c>
      <c r="AS268" s="57"/>
      <c r="AT268" s="59"/>
      <c r="AU268" s="61" t="str">
        <f>IF(Table1[[#This Row],[Banggood]]="","", HYPERLINK(Table1[[#This Row],[Destination - Banggood]],_xlfn.CONCAT("Link (",Table1[[#This Row],[Banggood]],")")))</f>
        <v/>
      </c>
      <c r="AV268" s="62" t="str">
        <f>_xlfn.CONCAT("https://www.banggood.com/search/",Table1[[#This Row],[Banggood]],".html")</f>
        <v>https://www.banggood.com/search/.html</v>
      </c>
      <c r="AW268" s="59" t="str">
        <f>IF(Table1[[#This Row],[Other]]&lt;&gt;"","Other","")</f>
        <v/>
      </c>
      <c r="AX268" s="57"/>
      <c r="AY268" s="59"/>
      <c r="AZ268" s="61" t="str">
        <f>IF(Table1[[#This Row],[Other]]="","",IF(Table1[[#This Row],[Destination - Other]]="","",HYPERLINK(Table1[[#This Row],[Destination - Other]],_xlfn.CONCAT("Link ("&amp;Table1[[#This Row],[Other]]&amp;")"))))</f>
        <v/>
      </c>
      <c r="BA268" s="59"/>
      <c r="BB268" s="58" t="str">
        <f>IF(AND( Table1[[#This Row],[Auto Order]]=1,Table1[[#This Row],[Obsolete]]=""),IF(Table1[[#This Row],[In stock]]&lt;Table1[[#This Row],[Min in stock]],1,""),"")</f>
        <v/>
      </c>
      <c r="BC268" s="64"/>
      <c r="BD268" s="66" t="str">
        <f>IF(Table1[[#This Row],[Obsolete]],Table1[[#This Row],[Art. Number]],"")</f>
        <v/>
      </c>
    </row>
    <row r="269" spans="1:56" x14ac:dyDescent="0.25">
      <c r="A269" s="65" t="s">
        <v>1590</v>
      </c>
      <c r="B269" s="57" t="s">
        <v>168</v>
      </c>
      <c r="C269" s="57" t="s">
        <v>97</v>
      </c>
      <c r="D269" s="57" t="s">
        <v>1591</v>
      </c>
      <c r="E269" s="57" t="s">
        <v>151</v>
      </c>
      <c r="F269" s="58">
        <v>0</v>
      </c>
      <c r="G269" s="58"/>
      <c r="H269" s="58"/>
      <c r="I26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RHM3KDCT-ND</v>
      </c>
      <c r="J26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6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6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(RHM3KDCT-ND)</v>
      </c>
      <c r="M269" s="57" t="s">
        <v>1592</v>
      </c>
      <c r="N269" s="59">
        <v>0.1</v>
      </c>
      <c r="O269" s="61" t="str">
        <f>IF(Table1[[#This Row],[Digikey]]="","", HYPERLINK(Table1[[#This Row],[Destination - Digikey]],_xlfn.CONCAT("Link (",Table1[[#This Row],[Digikey]],")")))</f>
        <v>Link (RHM3KDCT-ND)</v>
      </c>
      <c r="P269" s="62" t="str">
        <f>_xlfn.CONCAT("https://www.digikey.ch/products/en?keywords=",Table1[[#This Row],[Digikey]])</f>
        <v>https://www.digikey.ch/products/en?keywords=RHM3KDCT-ND</v>
      </c>
      <c r="Q269" s="57"/>
      <c r="R269" s="59"/>
      <c r="S269" s="61" t="str">
        <f>IF(Table1[[#This Row],[Farnell]]="","", HYPERLINK(Table1[[#This Row],[Destination - Farnell]],_xlfn.CONCAT("Link (",Table1[[#This Row],[Farnell]],")")))</f>
        <v/>
      </c>
      <c r="T269" s="62" t="str">
        <f>_xlfn.CONCAT("https://ch.farnell.com/fr-CH/",Table1[[#This Row],[Farnell]])</f>
        <v>https://ch.farnell.com/fr-CH/</v>
      </c>
      <c r="U269" s="57"/>
      <c r="V269" s="59"/>
      <c r="W269" s="61" t="str">
        <f>IF(Table1[[#This Row],[Distrelec]]="","", HYPERLINK(Table1[[#This Row],[Destination - Distrelec]],_xlfn.CONCAT("Link (",Table1[[#This Row],[Distrelec]],")")))</f>
        <v/>
      </c>
      <c r="X269" s="62" t="str">
        <f>_xlfn.CONCAT("https://www.distrelec.ch/search?q=",Table1[[#This Row],[Distrelec]])</f>
        <v>https://www.distrelec.ch/search?q=</v>
      </c>
      <c r="Y269" s="57"/>
      <c r="Z269" s="59"/>
      <c r="AA269" s="61" t="str">
        <f>IF(Table1[[#This Row],[Conrad]]="","", HYPERLINK(Table1[[#This Row],[Destination - Conrad]],_xlfn.CONCAT("Link (",Table1[[#This Row],[Conrad]],")")))</f>
        <v/>
      </c>
      <c r="AB269" s="62"/>
      <c r="AC269" s="57"/>
      <c r="AD269" s="59"/>
      <c r="AE269" s="61" t="str">
        <f>IF(Table1[[#This Row],[Mouser]]="","", HYPERLINK(Table1[[#This Row],[Destination - Mouser]],_xlfn.CONCAT("Link (",Table1[[#This Row],[Mouser]],")")))</f>
        <v/>
      </c>
      <c r="AF269" s="62" t="str">
        <f>_xlfn.CONCAT("https://www.mouser.ch/ProductDetail/",Table1[[#This Row],[Mouser]])</f>
        <v>https://www.mouser.ch/ProductDetail/</v>
      </c>
      <c r="AG269" s="57"/>
      <c r="AH269" s="59"/>
      <c r="AI269" s="61" t="str">
        <f>IF(Table1[[#This Row],[Bauhaus]]="","", HYPERLINK(Table1[[#This Row],[Destination - Bauhaus]],_xlfn.CONCAT("Link (",Table1[[#This Row],[Bauhaus]],")")))</f>
        <v/>
      </c>
      <c r="AJ269" s="62" t="str">
        <f>_xlfn.CONCAT("https://www.bauhaus.ch/fr/search?query=",Table1[[#This Row],[Bauhaus]])</f>
        <v>https://www.bauhaus.ch/fr/search?query=</v>
      </c>
      <c r="AK269" s="59"/>
      <c r="AL269" s="59"/>
      <c r="AM269" s="61" t="str">
        <f>IF(Table1[[#This Row],[BricoEtLoisirs]]="","", HYPERLINK(Table1[[#This Row],[Destination - BricoEtLoisirs]],_xlfn.CONCAT("Link (",Table1[[#This Row],[BricoEtLoisirs]],")")))</f>
        <v/>
      </c>
      <c r="AN269" s="62" t="str">
        <f>_xlfn.CONCAT("https://bricoetloisirs.ch/p/",Table1[[#This Row],[BricoEtLoisirs]])</f>
        <v>https://bricoetloisirs.ch/p/</v>
      </c>
      <c r="AO269" s="57"/>
      <c r="AP269" s="59"/>
      <c r="AQ269" s="61" t="str">
        <f>IF(Table1[[#This Row],[Aliexpress]]="","", HYPERLINK(Table1[[#This Row],[Destination - Aliexpress]],_xlfn.CONCAT("Link (",Table1[[#This Row],[Aliexpress]],")")))</f>
        <v/>
      </c>
      <c r="AR269" s="62" t="str">
        <f>_xlfn.CONCAT("https://www.aliexpress.com/item/",Table1[[#This Row],[Aliexpress]],".html")</f>
        <v>https://www.aliexpress.com/item/.html</v>
      </c>
      <c r="AS269" s="57"/>
      <c r="AT269" s="59"/>
      <c r="AU269" s="61" t="str">
        <f>IF(Table1[[#This Row],[Banggood]]="","", HYPERLINK(Table1[[#This Row],[Destination - Banggood]],_xlfn.CONCAT("Link (",Table1[[#This Row],[Banggood]],")")))</f>
        <v/>
      </c>
      <c r="AV269" s="62" t="str">
        <f>_xlfn.CONCAT("https://www.banggood.com/search/",Table1[[#This Row],[Banggood]],".html")</f>
        <v>https://www.banggood.com/search/.html</v>
      </c>
      <c r="AW269" s="59" t="str">
        <f>IF(Table1[[#This Row],[Other]]&lt;&gt;"","Other","")</f>
        <v/>
      </c>
      <c r="AX269" s="57"/>
      <c r="AY269" s="59"/>
      <c r="AZ269" s="61" t="str">
        <f>IF(Table1[[#This Row],[Other]]="","",IF(Table1[[#This Row],[Destination - Other]]="","",HYPERLINK(Table1[[#This Row],[Destination - Other]],_xlfn.CONCAT("Link ("&amp;Table1[[#This Row],[Other]]&amp;")"))))</f>
        <v/>
      </c>
      <c r="BA269" s="59"/>
      <c r="BB269" s="58" t="str">
        <f>IF(AND( Table1[[#This Row],[Auto Order]]=1,Table1[[#This Row],[Obsolete]]=""),IF(Table1[[#This Row],[In stock]]&lt;Table1[[#This Row],[Min in stock]],1,""),"")</f>
        <v/>
      </c>
      <c r="BC269" s="64"/>
      <c r="BD269" s="66" t="str">
        <f>IF(Table1[[#This Row],[Obsolete]],Table1[[#This Row],[Art. Number]],"")</f>
        <v/>
      </c>
    </row>
    <row r="270" spans="1:56" x14ac:dyDescent="0.25">
      <c r="A270" s="65" t="s">
        <v>1596</v>
      </c>
      <c r="B270" s="57" t="s">
        <v>168</v>
      </c>
      <c r="C270" s="57" t="s">
        <v>97</v>
      </c>
      <c r="D270" s="57" t="s">
        <v>1597</v>
      </c>
      <c r="E270" s="57" t="s">
        <v>151</v>
      </c>
      <c r="F270" s="58">
        <v>0</v>
      </c>
      <c r="G270" s="58"/>
      <c r="H270" s="58"/>
      <c r="I27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RHM30KDCT-ND</v>
      </c>
      <c r="J27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(RHM30KDCT-ND)</v>
      </c>
      <c r="M270" s="57" t="s">
        <v>1598</v>
      </c>
      <c r="N270" s="59">
        <v>0.1</v>
      </c>
      <c r="O270" s="61" t="str">
        <f>IF(Table1[[#This Row],[Digikey]]="","", HYPERLINK(Table1[[#This Row],[Destination - Digikey]],_xlfn.CONCAT("Link (",Table1[[#This Row],[Digikey]],")")))</f>
        <v>Link (RHM30KDCT-ND)</v>
      </c>
      <c r="P270" s="62" t="str">
        <f>_xlfn.CONCAT("https://www.digikey.ch/products/en?keywords=",Table1[[#This Row],[Digikey]])</f>
        <v>https://www.digikey.ch/products/en?keywords=RHM30KDCT-ND</v>
      </c>
      <c r="Q270" s="57"/>
      <c r="R270" s="59"/>
      <c r="S270" s="61" t="str">
        <f>IF(Table1[[#This Row],[Farnell]]="","", HYPERLINK(Table1[[#This Row],[Destination - Farnell]],_xlfn.CONCAT("Link (",Table1[[#This Row],[Farnell]],")")))</f>
        <v/>
      </c>
      <c r="T270" s="62" t="str">
        <f>_xlfn.CONCAT("https://ch.farnell.com/fr-CH/",Table1[[#This Row],[Farnell]])</f>
        <v>https://ch.farnell.com/fr-CH/</v>
      </c>
      <c r="U270" s="57"/>
      <c r="V270" s="59"/>
      <c r="W270" s="61" t="str">
        <f>IF(Table1[[#This Row],[Distrelec]]="","", HYPERLINK(Table1[[#This Row],[Destination - Distrelec]],_xlfn.CONCAT("Link (",Table1[[#This Row],[Distrelec]],")")))</f>
        <v/>
      </c>
      <c r="X270" s="62" t="str">
        <f>_xlfn.CONCAT("https://www.distrelec.ch/search?q=",Table1[[#This Row],[Distrelec]])</f>
        <v>https://www.distrelec.ch/search?q=</v>
      </c>
      <c r="Y270" s="57"/>
      <c r="Z270" s="59"/>
      <c r="AA270" s="61" t="str">
        <f>IF(Table1[[#This Row],[Conrad]]="","", HYPERLINK(Table1[[#This Row],[Destination - Conrad]],_xlfn.CONCAT("Link (",Table1[[#This Row],[Conrad]],")")))</f>
        <v/>
      </c>
      <c r="AB270" s="62"/>
      <c r="AC270" s="57"/>
      <c r="AD270" s="59"/>
      <c r="AE270" s="61" t="str">
        <f>IF(Table1[[#This Row],[Mouser]]="","", HYPERLINK(Table1[[#This Row],[Destination - Mouser]],_xlfn.CONCAT("Link (",Table1[[#This Row],[Mouser]],")")))</f>
        <v/>
      </c>
      <c r="AF270" s="62" t="str">
        <f>_xlfn.CONCAT("https://www.mouser.ch/ProductDetail/",Table1[[#This Row],[Mouser]])</f>
        <v>https://www.mouser.ch/ProductDetail/</v>
      </c>
      <c r="AG270" s="57"/>
      <c r="AH270" s="59"/>
      <c r="AI270" s="61" t="str">
        <f>IF(Table1[[#This Row],[Bauhaus]]="","", HYPERLINK(Table1[[#This Row],[Destination - Bauhaus]],_xlfn.CONCAT("Link (",Table1[[#This Row],[Bauhaus]],")")))</f>
        <v/>
      </c>
      <c r="AJ270" s="62" t="str">
        <f>_xlfn.CONCAT("https://www.bauhaus.ch/fr/search?query=",Table1[[#This Row],[Bauhaus]])</f>
        <v>https://www.bauhaus.ch/fr/search?query=</v>
      </c>
      <c r="AK270" s="59"/>
      <c r="AL270" s="59"/>
      <c r="AM270" s="61" t="str">
        <f>IF(Table1[[#This Row],[BricoEtLoisirs]]="","", HYPERLINK(Table1[[#This Row],[Destination - BricoEtLoisirs]],_xlfn.CONCAT("Link (",Table1[[#This Row],[BricoEtLoisirs]],")")))</f>
        <v/>
      </c>
      <c r="AN270" s="62" t="str">
        <f>_xlfn.CONCAT("https://bricoetloisirs.ch/p/",Table1[[#This Row],[BricoEtLoisirs]])</f>
        <v>https://bricoetloisirs.ch/p/</v>
      </c>
      <c r="AO270" s="57"/>
      <c r="AP270" s="59"/>
      <c r="AQ270" s="61" t="str">
        <f>IF(Table1[[#This Row],[Aliexpress]]="","", HYPERLINK(Table1[[#This Row],[Destination - Aliexpress]],_xlfn.CONCAT("Link (",Table1[[#This Row],[Aliexpress]],")")))</f>
        <v/>
      </c>
      <c r="AR270" s="62" t="str">
        <f>_xlfn.CONCAT("https://www.aliexpress.com/item/",Table1[[#This Row],[Aliexpress]],".html")</f>
        <v>https://www.aliexpress.com/item/.html</v>
      </c>
      <c r="AS270" s="57"/>
      <c r="AT270" s="59"/>
      <c r="AU270" s="61" t="str">
        <f>IF(Table1[[#This Row],[Banggood]]="","", HYPERLINK(Table1[[#This Row],[Destination - Banggood]],_xlfn.CONCAT("Link (",Table1[[#This Row],[Banggood]],")")))</f>
        <v/>
      </c>
      <c r="AV270" s="62" t="str">
        <f>_xlfn.CONCAT("https://www.banggood.com/search/",Table1[[#This Row],[Banggood]],".html")</f>
        <v>https://www.banggood.com/search/.html</v>
      </c>
      <c r="AW270" s="59" t="str">
        <f>IF(Table1[[#This Row],[Other]]&lt;&gt;"","Other","")</f>
        <v/>
      </c>
      <c r="AX270" s="57"/>
      <c r="AY270" s="59"/>
      <c r="AZ270" s="61" t="str">
        <f>IF(Table1[[#This Row],[Other]]="","",IF(Table1[[#This Row],[Destination - Other]]="","",HYPERLINK(Table1[[#This Row],[Destination - Other]],_xlfn.CONCAT("Link ("&amp;Table1[[#This Row],[Other]]&amp;")"))))</f>
        <v/>
      </c>
      <c r="BA270" s="59"/>
      <c r="BB270" s="58" t="str">
        <f>IF(AND( Table1[[#This Row],[Auto Order]]=1,Table1[[#This Row],[Obsolete]]=""),IF(Table1[[#This Row],[In stock]]&lt;Table1[[#This Row],[Min in stock]],1,""),"")</f>
        <v/>
      </c>
      <c r="BC270" s="64"/>
      <c r="BD270" s="66" t="str">
        <f>IF(Table1[[#This Row],[Obsolete]],Table1[[#This Row],[Art. Number]],"")</f>
        <v/>
      </c>
    </row>
    <row r="271" spans="1:56" x14ac:dyDescent="0.25">
      <c r="A271" s="65" t="s">
        <v>1602</v>
      </c>
      <c r="B271" s="57" t="s">
        <v>168</v>
      </c>
      <c r="C271" s="57" t="s">
        <v>97</v>
      </c>
      <c r="D271" s="57" t="s">
        <v>1603</v>
      </c>
      <c r="E271" s="57" t="s">
        <v>151</v>
      </c>
      <c r="F271" s="58">
        <v>0</v>
      </c>
      <c r="G271" s="58"/>
      <c r="H271" s="58"/>
      <c r="I27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RHM300KDCT-ND</v>
      </c>
      <c r="J27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(RHM300KDCT-ND)</v>
      </c>
      <c r="M271" s="57" t="s">
        <v>1604</v>
      </c>
      <c r="N271" s="59">
        <v>0.1</v>
      </c>
      <c r="O271" s="61" t="str">
        <f>IF(Table1[[#This Row],[Digikey]]="","", HYPERLINK(Table1[[#This Row],[Destination - Digikey]],_xlfn.CONCAT("Link (",Table1[[#This Row],[Digikey]],")")))</f>
        <v>Link (RHM300KDCT-ND)</v>
      </c>
      <c r="P271" s="62" t="str">
        <f>_xlfn.CONCAT("https://www.digikey.ch/products/en?keywords=",Table1[[#This Row],[Digikey]])</f>
        <v>https://www.digikey.ch/products/en?keywords=RHM300KDCT-ND</v>
      </c>
      <c r="Q271" s="57"/>
      <c r="R271" s="59"/>
      <c r="S271" s="61" t="str">
        <f>IF(Table1[[#This Row],[Farnell]]="","", HYPERLINK(Table1[[#This Row],[Destination - Farnell]],_xlfn.CONCAT("Link (",Table1[[#This Row],[Farnell]],")")))</f>
        <v/>
      </c>
      <c r="T271" s="62" t="str">
        <f>_xlfn.CONCAT("https://ch.farnell.com/fr-CH/",Table1[[#This Row],[Farnell]])</f>
        <v>https://ch.farnell.com/fr-CH/</v>
      </c>
      <c r="U271" s="57"/>
      <c r="V271" s="59"/>
      <c r="W271" s="61" t="str">
        <f>IF(Table1[[#This Row],[Distrelec]]="","", HYPERLINK(Table1[[#This Row],[Destination - Distrelec]],_xlfn.CONCAT("Link (",Table1[[#This Row],[Distrelec]],")")))</f>
        <v/>
      </c>
      <c r="X271" s="62" t="str">
        <f>_xlfn.CONCAT("https://www.distrelec.ch/search?q=",Table1[[#This Row],[Distrelec]])</f>
        <v>https://www.distrelec.ch/search?q=</v>
      </c>
      <c r="Y271" s="57"/>
      <c r="Z271" s="59"/>
      <c r="AA271" s="61" t="str">
        <f>IF(Table1[[#This Row],[Conrad]]="","", HYPERLINK(Table1[[#This Row],[Destination - Conrad]],_xlfn.CONCAT("Link (",Table1[[#This Row],[Conrad]],")")))</f>
        <v/>
      </c>
      <c r="AB271" s="62"/>
      <c r="AC271" s="57"/>
      <c r="AD271" s="59"/>
      <c r="AE271" s="61" t="str">
        <f>IF(Table1[[#This Row],[Mouser]]="","", HYPERLINK(Table1[[#This Row],[Destination - Mouser]],_xlfn.CONCAT("Link (",Table1[[#This Row],[Mouser]],")")))</f>
        <v/>
      </c>
      <c r="AF271" s="62" t="str">
        <f>_xlfn.CONCAT("https://www.mouser.ch/ProductDetail/",Table1[[#This Row],[Mouser]])</f>
        <v>https://www.mouser.ch/ProductDetail/</v>
      </c>
      <c r="AG271" s="57"/>
      <c r="AH271" s="59"/>
      <c r="AI271" s="61" t="str">
        <f>IF(Table1[[#This Row],[Bauhaus]]="","", HYPERLINK(Table1[[#This Row],[Destination - Bauhaus]],_xlfn.CONCAT("Link (",Table1[[#This Row],[Bauhaus]],")")))</f>
        <v/>
      </c>
      <c r="AJ271" s="62" t="str">
        <f>_xlfn.CONCAT("https://www.bauhaus.ch/fr/search?query=",Table1[[#This Row],[Bauhaus]])</f>
        <v>https://www.bauhaus.ch/fr/search?query=</v>
      </c>
      <c r="AK271" s="59"/>
      <c r="AL271" s="59"/>
      <c r="AM271" s="61" t="str">
        <f>IF(Table1[[#This Row],[BricoEtLoisirs]]="","", HYPERLINK(Table1[[#This Row],[Destination - BricoEtLoisirs]],_xlfn.CONCAT("Link (",Table1[[#This Row],[BricoEtLoisirs]],")")))</f>
        <v/>
      </c>
      <c r="AN271" s="62" t="str">
        <f>_xlfn.CONCAT("https://bricoetloisirs.ch/p/",Table1[[#This Row],[BricoEtLoisirs]])</f>
        <v>https://bricoetloisirs.ch/p/</v>
      </c>
      <c r="AO271" s="57"/>
      <c r="AP271" s="59"/>
      <c r="AQ271" s="61" t="str">
        <f>IF(Table1[[#This Row],[Aliexpress]]="","", HYPERLINK(Table1[[#This Row],[Destination - Aliexpress]],_xlfn.CONCAT("Link (",Table1[[#This Row],[Aliexpress]],")")))</f>
        <v/>
      </c>
      <c r="AR271" s="62" t="str">
        <f>_xlfn.CONCAT("https://www.aliexpress.com/item/",Table1[[#This Row],[Aliexpress]],".html")</f>
        <v>https://www.aliexpress.com/item/.html</v>
      </c>
      <c r="AS271" s="57"/>
      <c r="AT271" s="59"/>
      <c r="AU271" s="61" t="str">
        <f>IF(Table1[[#This Row],[Banggood]]="","", HYPERLINK(Table1[[#This Row],[Destination - Banggood]],_xlfn.CONCAT("Link (",Table1[[#This Row],[Banggood]],")")))</f>
        <v/>
      </c>
      <c r="AV271" s="62" t="str">
        <f>_xlfn.CONCAT("https://www.banggood.com/search/",Table1[[#This Row],[Banggood]],".html")</f>
        <v>https://www.banggood.com/search/.html</v>
      </c>
      <c r="AW271" s="59" t="str">
        <f>IF(Table1[[#This Row],[Other]]&lt;&gt;"","Other","")</f>
        <v/>
      </c>
      <c r="AX271" s="57"/>
      <c r="AY271" s="59"/>
      <c r="AZ271" s="61" t="str">
        <f>IF(Table1[[#This Row],[Other]]="","",IF(Table1[[#This Row],[Destination - Other]]="","",HYPERLINK(Table1[[#This Row],[Destination - Other]],_xlfn.CONCAT("Link ("&amp;Table1[[#This Row],[Other]]&amp;")"))))</f>
        <v/>
      </c>
      <c r="BA271" s="59"/>
      <c r="BB271" s="58" t="str">
        <f>IF(AND( Table1[[#This Row],[Auto Order]]=1,Table1[[#This Row],[Obsolete]]=""),IF(Table1[[#This Row],[In stock]]&lt;Table1[[#This Row],[Min in stock]],1,""),"")</f>
        <v/>
      </c>
      <c r="BC271" s="64"/>
      <c r="BD271" s="66" t="str">
        <f>IF(Table1[[#This Row],[Obsolete]],Table1[[#This Row],[Art. Number]],"")</f>
        <v/>
      </c>
    </row>
    <row r="272" spans="1:56" x14ac:dyDescent="0.25">
      <c r="A272" s="65" t="s">
        <v>1608</v>
      </c>
      <c r="B272" s="57" t="s">
        <v>168</v>
      </c>
      <c r="C272" s="57" t="s">
        <v>97</v>
      </c>
      <c r="D272" s="57" t="s">
        <v>1609</v>
      </c>
      <c r="E272" s="57" t="s">
        <v>151</v>
      </c>
      <c r="F272" s="58">
        <v>0</v>
      </c>
      <c r="G272" s="58"/>
      <c r="H272" s="58"/>
      <c r="I27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RHM3MDCT-ND</v>
      </c>
      <c r="J27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(RHM3MDCT-ND)</v>
      </c>
      <c r="M272" s="57" t="s">
        <v>1610</v>
      </c>
      <c r="N272" s="59">
        <v>0.1</v>
      </c>
      <c r="O272" s="61" t="str">
        <f>IF(Table1[[#This Row],[Digikey]]="","", HYPERLINK(Table1[[#This Row],[Destination - Digikey]],_xlfn.CONCAT("Link (",Table1[[#This Row],[Digikey]],")")))</f>
        <v>Link (RHM3MDCT-ND)</v>
      </c>
      <c r="P272" s="62" t="str">
        <f>_xlfn.CONCAT("https://www.digikey.ch/products/en?keywords=",Table1[[#This Row],[Digikey]])</f>
        <v>https://www.digikey.ch/products/en?keywords=RHM3MDCT-ND</v>
      </c>
      <c r="Q272" s="57"/>
      <c r="R272" s="59"/>
      <c r="S272" s="61" t="str">
        <f>IF(Table1[[#This Row],[Farnell]]="","", HYPERLINK(Table1[[#This Row],[Destination - Farnell]],_xlfn.CONCAT("Link (",Table1[[#This Row],[Farnell]],")")))</f>
        <v/>
      </c>
      <c r="T272" s="62" t="str">
        <f>_xlfn.CONCAT("https://ch.farnell.com/fr-CH/",Table1[[#This Row],[Farnell]])</f>
        <v>https://ch.farnell.com/fr-CH/</v>
      </c>
      <c r="U272" s="57"/>
      <c r="V272" s="59"/>
      <c r="W272" s="61" t="str">
        <f>IF(Table1[[#This Row],[Distrelec]]="","", HYPERLINK(Table1[[#This Row],[Destination - Distrelec]],_xlfn.CONCAT("Link (",Table1[[#This Row],[Distrelec]],")")))</f>
        <v/>
      </c>
      <c r="X272" s="62" t="str">
        <f>_xlfn.CONCAT("https://www.distrelec.ch/search?q=",Table1[[#This Row],[Distrelec]])</f>
        <v>https://www.distrelec.ch/search?q=</v>
      </c>
      <c r="Y272" s="57"/>
      <c r="Z272" s="59"/>
      <c r="AA272" s="61" t="str">
        <f>IF(Table1[[#This Row],[Conrad]]="","", HYPERLINK(Table1[[#This Row],[Destination - Conrad]],_xlfn.CONCAT("Link (",Table1[[#This Row],[Conrad]],")")))</f>
        <v/>
      </c>
      <c r="AB272" s="62"/>
      <c r="AC272" s="57"/>
      <c r="AD272" s="59"/>
      <c r="AE272" s="61" t="str">
        <f>IF(Table1[[#This Row],[Mouser]]="","", HYPERLINK(Table1[[#This Row],[Destination - Mouser]],_xlfn.CONCAT("Link (",Table1[[#This Row],[Mouser]],")")))</f>
        <v/>
      </c>
      <c r="AF272" s="62" t="str">
        <f>_xlfn.CONCAT("https://www.mouser.ch/ProductDetail/",Table1[[#This Row],[Mouser]])</f>
        <v>https://www.mouser.ch/ProductDetail/</v>
      </c>
      <c r="AG272" s="57"/>
      <c r="AH272" s="59"/>
      <c r="AI272" s="61" t="str">
        <f>IF(Table1[[#This Row],[Bauhaus]]="","", HYPERLINK(Table1[[#This Row],[Destination - Bauhaus]],_xlfn.CONCAT("Link (",Table1[[#This Row],[Bauhaus]],")")))</f>
        <v/>
      </c>
      <c r="AJ272" s="62" t="str">
        <f>_xlfn.CONCAT("https://www.bauhaus.ch/fr/search?query=",Table1[[#This Row],[Bauhaus]])</f>
        <v>https://www.bauhaus.ch/fr/search?query=</v>
      </c>
      <c r="AK272" s="59"/>
      <c r="AL272" s="59"/>
      <c r="AM272" s="61" t="str">
        <f>IF(Table1[[#This Row],[BricoEtLoisirs]]="","", HYPERLINK(Table1[[#This Row],[Destination - BricoEtLoisirs]],_xlfn.CONCAT("Link (",Table1[[#This Row],[BricoEtLoisirs]],")")))</f>
        <v/>
      </c>
      <c r="AN272" s="62" t="str">
        <f>_xlfn.CONCAT("https://bricoetloisirs.ch/p/",Table1[[#This Row],[BricoEtLoisirs]])</f>
        <v>https://bricoetloisirs.ch/p/</v>
      </c>
      <c r="AO272" s="57"/>
      <c r="AP272" s="59"/>
      <c r="AQ272" s="61" t="str">
        <f>IF(Table1[[#This Row],[Aliexpress]]="","", HYPERLINK(Table1[[#This Row],[Destination - Aliexpress]],_xlfn.CONCAT("Link (",Table1[[#This Row],[Aliexpress]],")")))</f>
        <v/>
      </c>
      <c r="AR272" s="62" t="str">
        <f>_xlfn.CONCAT("https://www.aliexpress.com/item/",Table1[[#This Row],[Aliexpress]],".html")</f>
        <v>https://www.aliexpress.com/item/.html</v>
      </c>
      <c r="AS272" s="57"/>
      <c r="AT272" s="59"/>
      <c r="AU272" s="61" t="str">
        <f>IF(Table1[[#This Row],[Banggood]]="","", HYPERLINK(Table1[[#This Row],[Destination - Banggood]],_xlfn.CONCAT("Link (",Table1[[#This Row],[Banggood]],")")))</f>
        <v/>
      </c>
      <c r="AV272" s="62" t="str">
        <f>_xlfn.CONCAT("https://www.banggood.com/search/",Table1[[#This Row],[Banggood]],".html")</f>
        <v>https://www.banggood.com/search/.html</v>
      </c>
      <c r="AW272" s="59" t="str">
        <f>IF(Table1[[#This Row],[Other]]&lt;&gt;"","Other","")</f>
        <v/>
      </c>
      <c r="AX272" s="57"/>
      <c r="AY272" s="59"/>
      <c r="AZ272" s="61" t="str">
        <f>IF(Table1[[#This Row],[Other]]="","",IF(Table1[[#This Row],[Destination - Other]]="","",HYPERLINK(Table1[[#This Row],[Destination - Other]],_xlfn.CONCAT("Link ("&amp;Table1[[#This Row],[Other]]&amp;")"))))</f>
        <v/>
      </c>
      <c r="BA272" s="59"/>
      <c r="BB272" s="58" t="str">
        <f>IF(AND( Table1[[#This Row],[Auto Order]]=1,Table1[[#This Row],[Obsolete]]=""),IF(Table1[[#This Row],[In stock]]&lt;Table1[[#This Row],[Min in stock]],1,""),"")</f>
        <v/>
      </c>
      <c r="BC272" s="64"/>
      <c r="BD272" s="66" t="str">
        <f>IF(Table1[[#This Row],[Obsolete]],Table1[[#This Row],[Art. Number]],"")</f>
        <v/>
      </c>
    </row>
    <row r="273" spans="1:56" x14ac:dyDescent="0.25">
      <c r="A273" s="65" t="s">
        <v>1614</v>
      </c>
      <c r="B273" s="57" t="s">
        <v>168</v>
      </c>
      <c r="C273" s="57" t="s">
        <v>97</v>
      </c>
      <c r="D273" s="57" t="s">
        <v>1615</v>
      </c>
      <c r="E273" s="57" t="s">
        <v>151</v>
      </c>
      <c r="F273" s="58">
        <v>0</v>
      </c>
      <c r="G273" s="58"/>
      <c r="H273" s="58"/>
      <c r="I27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RHM33DCT-ND</v>
      </c>
      <c r="J27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(RHM33DCT-ND)</v>
      </c>
      <c r="M273" s="57" t="s">
        <v>1616</v>
      </c>
      <c r="N273" s="59">
        <v>0.1</v>
      </c>
      <c r="O273" s="61" t="str">
        <f>IF(Table1[[#This Row],[Digikey]]="","", HYPERLINK(Table1[[#This Row],[Destination - Digikey]],_xlfn.CONCAT("Link (",Table1[[#This Row],[Digikey]],")")))</f>
        <v>Link (RHM33DCT-ND)</v>
      </c>
      <c r="P273" s="62" t="str">
        <f>_xlfn.CONCAT("https://www.digikey.ch/products/en?keywords=",Table1[[#This Row],[Digikey]])</f>
        <v>https://www.digikey.ch/products/en?keywords=RHM33DCT-ND</v>
      </c>
      <c r="Q273" s="57"/>
      <c r="R273" s="59"/>
      <c r="S273" s="61" t="str">
        <f>IF(Table1[[#This Row],[Farnell]]="","", HYPERLINK(Table1[[#This Row],[Destination - Farnell]],_xlfn.CONCAT("Link (",Table1[[#This Row],[Farnell]],")")))</f>
        <v/>
      </c>
      <c r="T273" s="62" t="str">
        <f>_xlfn.CONCAT("https://ch.farnell.com/fr-CH/",Table1[[#This Row],[Farnell]])</f>
        <v>https://ch.farnell.com/fr-CH/</v>
      </c>
      <c r="U273" s="57"/>
      <c r="V273" s="59"/>
      <c r="W273" s="61" t="str">
        <f>IF(Table1[[#This Row],[Distrelec]]="","", HYPERLINK(Table1[[#This Row],[Destination - Distrelec]],_xlfn.CONCAT("Link (",Table1[[#This Row],[Distrelec]],")")))</f>
        <v/>
      </c>
      <c r="X273" s="62" t="str">
        <f>_xlfn.CONCAT("https://www.distrelec.ch/search?q=",Table1[[#This Row],[Distrelec]])</f>
        <v>https://www.distrelec.ch/search?q=</v>
      </c>
      <c r="Y273" s="57"/>
      <c r="Z273" s="59"/>
      <c r="AA273" s="61" t="str">
        <f>IF(Table1[[#This Row],[Conrad]]="","", HYPERLINK(Table1[[#This Row],[Destination - Conrad]],_xlfn.CONCAT("Link (",Table1[[#This Row],[Conrad]],")")))</f>
        <v/>
      </c>
      <c r="AB273" s="62"/>
      <c r="AC273" s="57"/>
      <c r="AD273" s="59"/>
      <c r="AE273" s="61" t="str">
        <f>IF(Table1[[#This Row],[Mouser]]="","", HYPERLINK(Table1[[#This Row],[Destination - Mouser]],_xlfn.CONCAT("Link (",Table1[[#This Row],[Mouser]],")")))</f>
        <v/>
      </c>
      <c r="AF273" s="62" t="str">
        <f>_xlfn.CONCAT("https://www.mouser.ch/ProductDetail/",Table1[[#This Row],[Mouser]])</f>
        <v>https://www.mouser.ch/ProductDetail/</v>
      </c>
      <c r="AG273" s="57"/>
      <c r="AH273" s="59"/>
      <c r="AI273" s="61" t="str">
        <f>IF(Table1[[#This Row],[Bauhaus]]="","", HYPERLINK(Table1[[#This Row],[Destination - Bauhaus]],_xlfn.CONCAT("Link (",Table1[[#This Row],[Bauhaus]],")")))</f>
        <v/>
      </c>
      <c r="AJ273" s="62" t="str">
        <f>_xlfn.CONCAT("https://www.bauhaus.ch/fr/search?query=",Table1[[#This Row],[Bauhaus]])</f>
        <v>https://www.bauhaus.ch/fr/search?query=</v>
      </c>
      <c r="AK273" s="59"/>
      <c r="AL273" s="59"/>
      <c r="AM273" s="61" t="str">
        <f>IF(Table1[[#This Row],[BricoEtLoisirs]]="","", HYPERLINK(Table1[[#This Row],[Destination - BricoEtLoisirs]],_xlfn.CONCAT("Link (",Table1[[#This Row],[BricoEtLoisirs]],")")))</f>
        <v/>
      </c>
      <c r="AN273" s="62" t="str">
        <f>_xlfn.CONCAT("https://bricoetloisirs.ch/p/",Table1[[#This Row],[BricoEtLoisirs]])</f>
        <v>https://bricoetloisirs.ch/p/</v>
      </c>
      <c r="AO273" s="57"/>
      <c r="AP273" s="59"/>
      <c r="AQ273" s="61" t="str">
        <f>IF(Table1[[#This Row],[Aliexpress]]="","", HYPERLINK(Table1[[#This Row],[Destination - Aliexpress]],_xlfn.CONCAT("Link (",Table1[[#This Row],[Aliexpress]],")")))</f>
        <v/>
      </c>
      <c r="AR273" s="62" t="str">
        <f>_xlfn.CONCAT("https://www.aliexpress.com/item/",Table1[[#This Row],[Aliexpress]],".html")</f>
        <v>https://www.aliexpress.com/item/.html</v>
      </c>
      <c r="AS273" s="57"/>
      <c r="AT273" s="59"/>
      <c r="AU273" s="61" t="str">
        <f>IF(Table1[[#This Row],[Banggood]]="","", HYPERLINK(Table1[[#This Row],[Destination - Banggood]],_xlfn.CONCAT("Link (",Table1[[#This Row],[Banggood]],")")))</f>
        <v/>
      </c>
      <c r="AV273" s="62" t="str">
        <f>_xlfn.CONCAT("https://www.banggood.com/search/",Table1[[#This Row],[Banggood]],".html")</f>
        <v>https://www.banggood.com/search/.html</v>
      </c>
      <c r="AW273" s="59" t="str">
        <f>IF(Table1[[#This Row],[Other]]&lt;&gt;"","Other","")</f>
        <v/>
      </c>
      <c r="AX273" s="57"/>
      <c r="AY273" s="59"/>
      <c r="AZ273" s="61" t="str">
        <f>IF(Table1[[#This Row],[Other]]="","",IF(Table1[[#This Row],[Destination - Other]]="","",HYPERLINK(Table1[[#This Row],[Destination - Other]],_xlfn.CONCAT("Link ("&amp;Table1[[#This Row],[Other]]&amp;")"))))</f>
        <v/>
      </c>
      <c r="BA273" s="59"/>
      <c r="BB273" s="58" t="str">
        <f>IF(AND( Table1[[#This Row],[Auto Order]]=1,Table1[[#This Row],[Obsolete]]=""),IF(Table1[[#This Row],[In stock]]&lt;Table1[[#This Row],[Min in stock]],1,""),"")</f>
        <v/>
      </c>
      <c r="BC273" s="64"/>
      <c r="BD273" s="66" t="str">
        <f>IF(Table1[[#This Row],[Obsolete]],Table1[[#This Row],[Art. Number]],"")</f>
        <v/>
      </c>
    </row>
    <row r="274" spans="1:56" x14ac:dyDescent="0.25">
      <c r="A274" s="65" t="s">
        <v>181</v>
      </c>
      <c r="B274" s="57" t="s">
        <v>168</v>
      </c>
      <c r="C274" s="57" t="s">
        <v>1620</v>
      </c>
      <c r="D274" s="57" t="s">
        <v>1621</v>
      </c>
      <c r="E274" s="57" t="s">
        <v>151</v>
      </c>
      <c r="F274" s="58">
        <v>8</v>
      </c>
      <c r="G274" s="58"/>
      <c r="H274" s="58"/>
      <c r="I27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RHM330DCT-ND</v>
      </c>
      <c r="J27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(RHM330DCT-ND)</v>
      </c>
      <c r="M274" s="57" t="s">
        <v>1622</v>
      </c>
      <c r="N274" s="59">
        <v>0.1</v>
      </c>
      <c r="O274" s="61" t="str">
        <f>IF(Table1[[#This Row],[Digikey]]="","", HYPERLINK(Table1[[#This Row],[Destination - Digikey]],_xlfn.CONCAT("Link (",Table1[[#This Row],[Digikey]],")")))</f>
        <v>Link (RHM330DCT-ND)</v>
      </c>
      <c r="P274" s="62" t="str">
        <f>_xlfn.CONCAT("https://www.digikey.ch/products/en?keywords=",Table1[[#This Row],[Digikey]])</f>
        <v>https://www.digikey.ch/products/en?keywords=RHM330DCT-ND</v>
      </c>
      <c r="Q274" s="57"/>
      <c r="R274" s="59"/>
      <c r="S274" s="61" t="str">
        <f>IF(Table1[[#This Row],[Farnell]]="","", HYPERLINK(Table1[[#This Row],[Destination - Farnell]],_xlfn.CONCAT("Link (",Table1[[#This Row],[Farnell]],")")))</f>
        <v/>
      </c>
      <c r="T274" s="62" t="str">
        <f>_xlfn.CONCAT("https://ch.farnell.com/fr-CH/",Table1[[#This Row],[Farnell]])</f>
        <v>https://ch.farnell.com/fr-CH/</v>
      </c>
      <c r="U274" s="57"/>
      <c r="V274" s="59"/>
      <c r="W274" s="61" t="str">
        <f>IF(Table1[[#This Row],[Distrelec]]="","", HYPERLINK(Table1[[#This Row],[Destination - Distrelec]],_xlfn.CONCAT("Link (",Table1[[#This Row],[Distrelec]],")")))</f>
        <v/>
      </c>
      <c r="X274" s="62" t="str">
        <f>_xlfn.CONCAT("https://www.distrelec.ch/search?q=",Table1[[#This Row],[Distrelec]])</f>
        <v>https://www.distrelec.ch/search?q=</v>
      </c>
      <c r="Y274" s="57"/>
      <c r="Z274" s="59"/>
      <c r="AA274" s="61" t="str">
        <f>IF(Table1[[#This Row],[Conrad]]="","", HYPERLINK(Table1[[#This Row],[Destination - Conrad]],_xlfn.CONCAT("Link (",Table1[[#This Row],[Conrad]],")")))</f>
        <v/>
      </c>
      <c r="AB274" s="62"/>
      <c r="AC274" s="57"/>
      <c r="AD274" s="59"/>
      <c r="AE274" s="61" t="str">
        <f>IF(Table1[[#This Row],[Mouser]]="","", HYPERLINK(Table1[[#This Row],[Destination - Mouser]],_xlfn.CONCAT("Link (",Table1[[#This Row],[Mouser]],")")))</f>
        <v/>
      </c>
      <c r="AF274" s="62" t="str">
        <f>_xlfn.CONCAT("https://www.mouser.ch/ProductDetail/",Table1[[#This Row],[Mouser]])</f>
        <v>https://www.mouser.ch/ProductDetail/</v>
      </c>
      <c r="AG274" s="57"/>
      <c r="AH274" s="59"/>
      <c r="AI274" s="61" t="str">
        <f>IF(Table1[[#This Row],[Bauhaus]]="","", HYPERLINK(Table1[[#This Row],[Destination - Bauhaus]],_xlfn.CONCAT("Link (",Table1[[#This Row],[Bauhaus]],")")))</f>
        <v/>
      </c>
      <c r="AJ274" s="62" t="str">
        <f>_xlfn.CONCAT("https://www.bauhaus.ch/fr/search?query=",Table1[[#This Row],[Bauhaus]])</f>
        <v>https://www.bauhaus.ch/fr/search?query=</v>
      </c>
      <c r="AK274" s="59"/>
      <c r="AL274" s="59"/>
      <c r="AM274" s="61" t="str">
        <f>IF(Table1[[#This Row],[BricoEtLoisirs]]="","", HYPERLINK(Table1[[#This Row],[Destination - BricoEtLoisirs]],_xlfn.CONCAT("Link (",Table1[[#This Row],[BricoEtLoisirs]],")")))</f>
        <v/>
      </c>
      <c r="AN274" s="62" t="str">
        <f>_xlfn.CONCAT("https://bricoetloisirs.ch/p/",Table1[[#This Row],[BricoEtLoisirs]])</f>
        <v>https://bricoetloisirs.ch/p/</v>
      </c>
      <c r="AO274" s="57"/>
      <c r="AP274" s="59"/>
      <c r="AQ274" s="61" t="str">
        <f>IF(Table1[[#This Row],[Aliexpress]]="","", HYPERLINK(Table1[[#This Row],[Destination - Aliexpress]],_xlfn.CONCAT("Link (",Table1[[#This Row],[Aliexpress]],")")))</f>
        <v/>
      </c>
      <c r="AR274" s="62" t="str">
        <f>_xlfn.CONCAT("https://www.aliexpress.com/item/",Table1[[#This Row],[Aliexpress]],".html")</f>
        <v>https://www.aliexpress.com/item/.html</v>
      </c>
      <c r="AS274" s="57"/>
      <c r="AT274" s="59"/>
      <c r="AU274" s="61" t="str">
        <f>IF(Table1[[#This Row],[Banggood]]="","", HYPERLINK(Table1[[#This Row],[Destination - Banggood]],_xlfn.CONCAT("Link (",Table1[[#This Row],[Banggood]],")")))</f>
        <v/>
      </c>
      <c r="AV274" s="62" t="str">
        <f>_xlfn.CONCAT("https://www.banggood.com/search/",Table1[[#This Row],[Banggood]],".html")</f>
        <v>https://www.banggood.com/search/.html</v>
      </c>
      <c r="AW274" s="59" t="str">
        <f>IF(Table1[[#This Row],[Other]]&lt;&gt;"","Other","")</f>
        <v/>
      </c>
      <c r="AX274" s="57"/>
      <c r="AY274" s="59"/>
      <c r="AZ274" s="61" t="str">
        <f>IF(Table1[[#This Row],[Other]]="","",IF(Table1[[#This Row],[Destination - Other]]="","",HYPERLINK(Table1[[#This Row],[Destination - Other]],_xlfn.CONCAT("Link ("&amp;Table1[[#This Row],[Other]]&amp;")"))))</f>
        <v/>
      </c>
      <c r="BA274" s="59"/>
      <c r="BB274" s="58" t="str">
        <f>IF(AND( Table1[[#This Row],[Auto Order]]=1,Table1[[#This Row],[Obsolete]]=""),IF(Table1[[#This Row],[In stock]]&lt;Table1[[#This Row],[Min in stock]],1,""),"")</f>
        <v/>
      </c>
      <c r="BC274" s="64"/>
      <c r="BD274" s="66" t="str">
        <f>IF(Table1[[#This Row],[Obsolete]],Table1[[#This Row],[Art. Number]],"")</f>
        <v/>
      </c>
    </row>
    <row r="275" spans="1:56" x14ac:dyDescent="0.25">
      <c r="A275" s="65" t="s">
        <v>1626</v>
      </c>
      <c r="B275" s="57" t="s">
        <v>168</v>
      </c>
      <c r="C275" s="57" t="s">
        <v>1627</v>
      </c>
      <c r="D275" s="57" t="s">
        <v>1628</v>
      </c>
      <c r="E275" s="57" t="s">
        <v>151</v>
      </c>
      <c r="F275" s="58">
        <v>10</v>
      </c>
      <c r="G275" s="58">
        <v>10</v>
      </c>
      <c r="H275" s="58">
        <v>1</v>
      </c>
      <c r="I27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RHM3.3KDCT-ND</v>
      </c>
      <c r="J27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(RHM3.3KDCT-ND)</v>
      </c>
      <c r="M275" s="57" t="s">
        <v>1629</v>
      </c>
      <c r="N275" s="59">
        <v>0.1</v>
      </c>
      <c r="O275" s="61" t="str">
        <f>IF(Table1[[#This Row],[Digikey]]="","", HYPERLINK(Table1[[#This Row],[Destination - Digikey]],_xlfn.CONCAT("Link (",Table1[[#This Row],[Digikey]],")")))</f>
        <v>Link (RHM3.3KDCT-ND)</v>
      </c>
      <c r="P275" s="62" t="str">
        <f>_xlfn.CONCAT("https://www.digikey.ch/products/en?keywords=",Table1[[#This Row],[Digikey]])</f>
        <v>https://www.digikey.ch/products/en?keywords=RHM3.3KDCT-ND</v>
      </c>
      <c r="Q275" s="57"/>
      <c r="R275" s="59"/>
      <c r="S275" s="61" t="str">
        <f>IF(Table1[[#This Row],[Farnell]]="","", HYPERLINK(Table1[[#This Row],[Destination - Farnell]],_xlfn.CONCAT("Link (",Table1[[#This Row],[Farnell]],")")))</f>
        <v/>
      </c>
      <c r="T275" s="62" t="str">
        <f>_xlfn.CONCAT("https://ch.farnell.com/fr-CH/",Table1[[#This Row],[Farnell]])</f>
        <v>https://ch.farnell.com/fr-CH/</v>
      </c>
      <c r="U275" s="57"/>
      <c r="V275" s="59"/>
      <c r="W275" s="61" t="str">
        <f>IF(Table1[[#This Row],[Distrelec]]="","", HYPERLINK(Table1[[#This Row],[Destination - Distrelec]],_xlfn.CONCAT("Link (",Table1[[#This Row],[Distrelec]],")")))</f>
        <v/>
      </c>
      <c r="X275" s="62" t="str">
        <f>_xlfn.CONCAT("https://www.distrelec.ch/search?q=",Table1[[#This Row],[Distrelec]])</f>
        <v>https://www.distrelec.ch/search?q=</v>
      </c>
      <c r="Y275" s="57"/>
      <c r="Z275" s="59"/>
      <c r="AA275" s="61" t="str">
        <f>IF(Table1[[#This Row],[Conrad]]="","", HYPERLINK(Table1[[#This Row],[Destination - Conrad]],_xlfn.CONCAT("Link (",Table1[[#This Row],[Conrad]],")")))</f>
        <v/>
      </c>
      <c r="AB275" s="62"/>
      <c r="AC275" s="57"/>
      <c r="AD275" s="59"/>
      <c r="AE275" s="61" t="str">
        <f>IF(Table1[[#This Row],[Mouser]]="","", HYPERLINK(Table1[[#This Row],[Destination - Mouser]],_xlfn.CONCAT("Link (",Table1[[#This Row],[Mouser]],")")))</f>
        <v/>
      </c>
      <c r="AF275" s="62" t="str">
        <f>_xlfn.CONCAT("https://www.mouser.ch/ProductDetail/",Table1[[#This Row],[Mouser]])</f>
        <v>https://www.mouser.ch/ProductDetail/</v>
      </c>
      <c r="AG275" s="57"/>
      <c r="AH275" s="59"/>
      <c r="AI275" s="61" t="str">
        <f>IF(Table1[[#This Row],[Bauhaus]]="","", HYPERLINK(Table1[[#This Row],[Destination - Bauhaus]],_xlfn.CONCAT("Link (",Table1[[#This Row],[Bauhaus]],")")))</f>
        <v/>
      </c>
      <c r="AJ275" s="62" t="str">
        <f>_xlfn.CONCAT("https://www.bauhaus.ch/fr/search?query=",Table1[[#This Row],[Bauhaus]])</f>
        <v>https://www.bauhaus.ch/fr/search?query=</v>
      </c>
      <c r="AK275" s="59"/>
      <c r="AL275" s="59"/>
      <c r="AM275" s="61" t="str">
        <f>IF(Table1[[#This Row],[BricoEtLoisirs]]="","", HYPERLINK(Table1[[#This Row],[Destination - BricoEtLoisirs]],_xlfn.CONCAT("Link (",Table1[[#This Row],[BricoEtLoisirs]],")")))</f>
        <v/>
      </c>
      <c r="AN275" s="62" t="str">
        <f>_xlfn.CONCAT("https://bricoetloisirs.ch/p/",Table1[[#This Row],[BricoEtLoisirs]])</f>
        <v>https://bricoetloisirs.ch/p/</v>
      </c>
      <c r="AO275" s="57"/>
      <c r="AP275" s="59"/>
      <c r="AQ275" s="61" t="str">
        <f>IF(Table1[[#This Row],[Aliexpress]]="","", HYPERLINK(Table1[[#This Row],[Destination - Aliexpress]],_xlfn.CONCAT("Link (",Table1[[#This Row],[Aliexpress]],")")))</f>
        <v/>
      </c>
      <c r="AR275" s="62" t="str">
        <f>_xlfn.CONCAT("https://www.aliexpress.com/item/",Table1[[#This Row],[Aliexpress]],".html")</f>
        <v>https://www.aliexpress.com/item/.html</v>
      </c>
      <c r="AS275" s="57"/>
      <c r="AT275" s="59"/>
      <c r="AU275" s="61" t="str">
        <f>IF(Table1[[#This Row],[Banggood]]="","", HYPERLINK(Table1[[#This Row],[Destination - Banggood]],_xlfn.CONCAT("Link (",Table1[[#This Row],[Banggood]],")")))</f>
        <v/>
      </c>
      <c r="AV275" s="62" t="str">
        <f>_xlfn.CONCAT("https://www.banggood.com/search/",Table1[[#This Row],[Banggood]],".html")</f>
        <v>https://www.banggood.com/search/.html</v>
      </c>
      <c r="AW275" s="59" t="str">
        <f>IF(Table1[[#This Row],[Other]]&lt;&gt;"","Other","")</f>
        <v/>
      </c>
      <c r="AX275" s="57"/>
      <c r="AY275" s="59"/>
      <c r="AZ275" s="61" t="str">
        <f>IF(Table1[[#This Row],[Other]]="","",IF(Table1[[#This Row],[Destination - Other]]="","",HYPERLINK(Table1[[#This Row],[Destination - Other]],_xlfn.CONCAT("Link ("&amp;Table1[[#This Row],[Other]]&amp;")"))))</f>
        <v/>
      </c>
      <c r="BA275" s="59"/>
      <c r="BB275" s="58" t="str">
        <f>IF(AND( Table1[[#This Row],[Auto Order]]=1,Table1[[#This Row],[Obsolete]]=""),IF(Table1[[#This Row],[In stock]]&lt;Table1[[#This Row],[Min in stock]],1,""),"")</f>
        <v/>
      </c>
      <c r="BC275" s="64"/>
      <c r="BD275" s="66" t="str">
        <f>IF(Table1[[#This Row],[Obsolete]],Table1[[#This Row],[Art. Number]],"")</f>
        <v/>
      </c>
    </row>
    <row r="276" spans="1:56" x14ac:dyDescent="0.25">
      <c r="A276" s="65" t="s">
        <v>1633</v>
      </c>
      <c r="B276" s="57" t="s">
        <v>168</v>
      </c>
      <c r="C276" s="57" t="s">
        <v>97</v>
      </c>
      <c r="D276" s="57" t="s">
        <v>1634</v>
      </c>
      <c r="E276" s="57" t="s">
        <v>151</v>
      </c>
      <c r="F276" s="58">
        <v>0</v>
      </c>
      <c r="G276" s="58"/>
      <c r="H276" s="58"/>
      <c r="I27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RHM33KDCT-ND</v>
      </c>
      <c r="J27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(RHM33KDCT-ND)</v>
      </c>
      <c r="M276" s="57" t="s">
        <v>1635</v>
      </c>
      <c r="N276" s="59">
        <v>0.1</v>
      </c>
      <c r="O276" s="61" t="str">
        <f>IF(Table1[[#This Row],[Digikey]]="","", HYPERLINK(Table1[[#This Row],[Destination - Digikey]],_xlfn.CONCAT("Link (",Table1[[#This Row],[Digikey]],")")))</f>
        <v>Link (RHM33KDCT-ND)</v>
      </c>
      <c r="P276" s="62" t="str">
        <f>_xlfn.CONCAT("https://www.digikey.ch/products/en?keywords=",Table1[[#This Row],[Digikey]])</f>
        <v>https://www.digikey.ch/products/en?keywords=RHM33KDCT-ND</v>
      </c>
      <c r="Q276" s="57"/>
      <c r="R276" s="59"/>
      <c r="S276" s="61" t="str">
        <f>IF(Table1[[#This Row],[Farnell]]="","", HYPERLINK(Table1[[#This Row],[Destination - Farnell]],_xlfn.CONCAT("Link (",Table1[[#This Row],[Farnell]],")")))</f>
        <v/>
      </c>
      <c r="T276" s="62" t="str">
        <f>_xlfn.CONCAT("https://ch.farnell.com/fr-CH/",Table1[[#This Row],[Farnell]])</f>
        <v>https://ch.farnell.com/fr-CH/</v>
      </c>
      <c r="U276" s="57"/>
      <c r="V276" s="59"/>
      <c r="W276" s="61" t="str">
        <f>IF(Table1[[#This Row],[Distrelec]]="","", HYPERLINK(Table1[[#This Row],[Destination - Distrelec]],_xlfn.CONCAT("Link (",Table1[[#This Row],[Distrelec]],")")))</f>
        <v/>
      </c>
      <c r="X276" s="62" t="str">
        <f>_xlfn.CONCAT("https://www.distrelec.ch/search?q=",Table1[[#This Row],[Distrelec]])</f>
        <v>https://www.distrelec.ch/search?q=</v>
      </c>
      <c r="Y276" s="57"/>
      <c r="Z276" s="59"/>
      <c r="AA276" s="61" t="str">
        <f>IF(Table1[[#This Row],[Conrad]]="","", HYPERLINK(Table1[[#This Row],[Destination - Conrad]],_xlfn.CONCAT("Link (",Table1[[#This Row],[Conrad]],")")))</f>
        <v/>
      </c>
      <c r="AB276" s="62"/>
      <c r="AC276" s="57"/>
      <c r="AD276" s="59"/>
      <c r="AE276" s="61" t="str">
        <f>IF(Table1[[#This Row],[Mouser]]="","", HYPERLINK(Table1[[#This Row],[Destination - Mouser]],_xlfn.CONCAT("Link (",Table1[[#This Row],[Mouser]],")")))</f>
        <v/>
      </c>
      <c r="AF276" s="62" t="str">
        <f>_xlfn.CONCAT("https://www.mouser.ch/ProductDetail/",Table1[[#This Row],[Mouser]])</f>
        <v>https://www.mouser.ch/ProductDetail/</v>
      </c>
      <c r="AG276" s="57"/>
      <c r="AH276" s="59"/>
      <c r="AI276" s="61" t="str">
        <f>IF(Table1[[#This Row],[Bauhaus]]="","", HYPERLINK(Table1[[#This Row],[Destination - Bauhaus]],_xlfn.CONCAT("Link (",Table1[[#This Row],[Bauhaus]],")")))</f>
        <v/>
      </c>
      <c r="AJ276" s="62" t="str">
        <f>_xlfn.CONCAT("https://www.bauhaus.ch/fr/search?query=",Table1[[#This Row],[Bauhaus]])</f>
        <v>https://www.bauhaus.ch/fr/search?query=</v>
      </c>
      <c r="AK276" s="59"/>
      <c r="AL276" s="59"/>
      <c r="AM276" s="61" t="str">
        <f>IF(Table1[[#This Row],[BricoEtLoisirs]]="","", HYPERLINK(Table1[[#This Row],[Destination - BricoEtLoisirs]],_xlfn.CONCAT("Link (",Table1[[#This Row],[BricoEtLoisirs]],")")))</f>
        <v/>
      </c>
      <c r="AN276" s="62" t="str">
        <f>_xlfn.CONCAT("https://bricoetloisirs.ch/p/",Table1[[#This Row],[BricoEtLoisirs]])</f>
        <v>https://bricoetloisirs.ch/p/</v>
      </c>
      <c r="AO276" s="57"/>
      <c r="AP276" s="59"/>
      <c r="AQ276" s="61" t="str">
        <f>IF(Table1[[#This Row],[Aliexpress]]="","", HYPERLINK(Table1[[#This Row],[Destination - Aliexpress]],_xlfn.CONCAT("Link (",Table1[[#This Row],[Aliexpress]],")")))</f>
        <v/>
      </c>
      <c r="AR276" s="62" t="str">
        <f>_xlfn.CONCAT("https://www.aliexpress.com/item/",Table1[[#This Row],[Aliexpress]],".html")</f>
        <v>https://www.aliexpress.com/item/.html</v>
      </c>
      <c r="AS276" s="57"/>
      <c r="AT276" s="59"/>
      <c r="AU276" s="61" t="str">
        <f>IF(Table1[[#This Row],[Banggood]]="","", HYPERLINK(Table1[[#This Row],[Destination - Banggood]],_xlfn.CONCAT("Link (",Table1[[#This Row],[Banggood]],")")))</f>
        <v/>
      </c>
      <c r="AV276" s="62" t="str">
        <f>_xlfn.CONCAT("https://www.banggood.com/search/",Table1[[#This Row],[Banggood]],".html")</f>
        <v>https://www.banggood.com/search/.html</v>
      </c>
      <c r="AW276" s="59" t="str">
        <f>IF(Table1[[#This Row],[Other]]&lt;&gt;"","Other","")</f>
        <v/>
      </c>
      <c r="AX276" s="57"/>
      <c r="AY276" s="59"/>
      <c r="AZ276" s="61" t="str">
        <f>IF(Table1[[#This Row],[Other]]="","",IF(Table1[[#This Row],[Destination - Other]]="","",HYPERLINK(Table1[[#This Row],[Destination - Other]],_xlfn.CONCAT("Link ("&amp;Table1[[#This Row],[Other]]&amp;")"))))</f>
        <v/>
      </c>
      <c r="BA276" s="59"/>
      <c r="BB276" s="58" t="str">
        <f>IF(AND( Table1[[#This Row],[Auto Order]]=1,Table1[[#This Row],[Obsolete]]=""),IF(Table1[[#This Row],[In stock]]&lt;Table1[[#This Row],[Min in stock]],1,""),"")</f>
        <v/>
      </c>
      <c r="BC276" s="64"/>
      <c r="BD276" s="66" t="str">
        <f>IF(Table1[[#This Row],[Obsolete]],Table1[[#This Row],[Art. Number]],"")</f>
        <v/>
      </c>
    </row>
    <row r="277" spans="1:56" x14ac:dyDescent="0.25">
      <c r="A277" s="65" t="s">
        <v>1639</v>
      </c>
      <c r="B277" s="57" t="s">
        <v>168</v>
      </c>
      <c r="C277" s="57" t="s">
        <v>97</v>
      </c>
      <c r="D277" s="57" t="s">
        <v>1640</v>
      </c>
      <c r="E277" s="57" t="s">
        <v>151</v>
      </c>
      <c r="F277" s="58">
        <v>0</v>
      </c>
      <c r="G277" s="58"/>
      <c r="H277" s="58"/>
      <c r="I27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RHM330KDCT-ND</v>
      </c>
      <c r="J27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(RHM330KDCT-ND)</v>
      </c>
      <c r="M277" s="57" t="s">
        <v>1641</v>
      </c>
      <c r="N277" s="59">
        <v>0.1</v>
      </c>
      <c r="O277" s="61" t="str">
        <f>IF(Table1[[#This Row],[Digikey]]="","", HYPERLINK(Table1[[#This Row],[Destination - Digikey]],_xlfn.CONCAT("Link (",Table1[[#This Row],[Digikey]],")")))</f>
        <v>Link (RHM330KDCT-ND)</v>
      </c>
      <c r="P277" s="62" t="str">
        <f>_xlfn.CONCAT("https://www.digikey.ch/products/en?keywords=",Table1[[#This Row],[Digikey]])</f>
        <v>https://www.digikey.ch/products/en?keywords=RHM330KDCT-ND</v>
      </c>
      <c r="Q277" s="57"/>
      <c r="R277" s="59"/>
      <c r="S277" s="61" t="str">
        <f>IF(Table1[[#This Row],[Farnell]]="","", HYPERLINK(Table1[[#This Row],[Destination - Farnell]],_xlfn.CONCAT("Link (",Table1[[#This Row],[Farnell]],")")))</f>
        <v/>
      </c>
      <c r="T277" s="62" t="str">
        <f>_xlfn.CONCAT("https://ch.farnell.com/fr-CH/",Table1[[#This Row],[Farnell]])</f>
        <v>https://ch.farnell.com/fr-CH/</v>
      </c>
      <c r="U277" s="57"/>
      <c r="V277" s="59"/>
      <c r="W277" s="61" t="str">
        <f>IF(Table1[[#This Row],[Distrelec]]="","", HYPERLINK(Table1[[#This Row],[Destination - Distrelec]],_xlfn.CONCAT("Link (",Table1[[#This Row],[Distrelec]],")")))</f>
        <v/>
      </c>
      <c r="X277" s="62" t="str">
        <f>_xlfn.CONCAT("https://www.distrelec.ch/search?q=",Table1[[#This Row],[Distrelec]])</f>
        <v>https://www.distrelec.ch/search?q=</v>
      </c>
      <c r="Y277" s="57"/>
      <c r="Z277" s="59"/>
      <c r="AA277" s="61" t="str">
        <f>IF(Table1[[#This Row],[Conrad]]="","", HYPERLINK(Table1[[#This Row],[Destination - Conrad]],_xlfn.CONCAT("Link (",Table1[[#This Row],[Conrad]],")")))</f>
        <v/>
      </c>
      <c r="AB277" s="62"/>
      <c r="AC277" s="57"/>
      <c r="AD277" s="59"/>
      <c r="AE277" s="61" t="str">
        <f>IF(Table1[[#This Row],[Mouser]]="","", HYPERLINK(Table1[[#This Row],[Destination - Mouser]],_xlfn.CONCAT("Link (",Table1[[#This Row],[Mouser]],")")))</f>
        <v/>
      </c>
      <c r="AF277" s="62" t="str">
        <f>_xlfn.CONCAT("https://www.mouser.ch/ProductDetail/",Table1[[#This Row],[Mouser]])</f>
        <v>https://www.mouser.ch/ProductDetail/</v>
      </c>
      <c r="AG277" s="57"/>
      <c r="AH277" s="59"/>
      <c r="AI277" s="61" t="str">
        <f>IF(Table1[[#This Row],[Bauhaus]]="","", HYPERLINK(Table1[[#This Row],[Destination - Bauhaus]],_xlfn.CONCAT("Link (",Table1[[#This Row],[Bauhaus]],")")))</f>
        <v/>
      </c>
      <c r="AJ277" s="62" t="str">
        <f>_xlfn.CONCAT("https://www.bauhaus.ch/fr/search?query=",Table1[[#This Row],[Bauhaus]])</f>
        <v>https://www.bauhaus.ch/fr/search?query=</v>
      </c>
      <c r="AK277" s="59"/>
      <c r="AL277" s="59"/>
      <c r="AM277" s="61" t="str">
        <f>IF(Table1[[#This Row],[BricoEtLoisirs]]="","", HYPERLINK(Table1[[#This Row],[Destination - BricoEtLoisirs]],_xlfn.CONCAT("Link (",Table1[[#This Row],[BricoEtLoisirs]],")")))</f>
        <v/>
      </c>
      <c r="AN277" s="62" t="str">
        <f>_xlfn.CONCAT("https://bricoetloisirs.ch/p/",Table1[[#This Row],[BricoEtLoisirs]])</f>
        <v>https://bricoetloisirs.ch/p/</v>
      </c>
      <c r="AO277" s="57"/>
      <c r="AP277" s="59"/>
      <c r="AQ277" s="61" t="str">
        <f>IF(Table1[[#This Row],[Aliexpress]]="","", HYPERLINK(Table1[[#This Row],[Destination - Aliexpress]],_xlfn.CONCAT("Link (",Table1[[#This Row],[Aliexpress]],")")))</f>
        <v/>
      </c>
      <c r="AR277" s="62" t="str">
        <f>_xlfn.CONCAT("https://www.aliexpress.com/item/",Table1[[#This Row],[Aliexpress]],".html")</f>
        <v>https://www.aliexpress.com/item/.html</v>
      </c>
      <c r="AS277" s="57"/>
      <c r="AT277" s="59"/>
      <c r="AU277" s="61" t="str">
        <f>IF(Table1[[#This Row],[Banggood]]="","", HYPERLINK(Table1[[#This Row],[Destination - Banggood]],_xlfn.CONCAT("Link (",Table1[[#This Row],[Banggood]],")")))</f>
        <v/>
      </c>
      <c r="AV277" s="62" t="str">
        <f>_xlfn.CONCAT("https://www.banggood.com/search/",Table1[[#This Row],[Banggood]],".html")</f>
        <v>https://www.banggood.com/search/.html</v>
      </c>
      <c r="AW277" s="59" t="str">
        <f>IF(Table1[[#This Row],[Other]]&lt;&gt;"","Other","")</f>
        <v/>
      </c>
      <c r="AX277" s="57"/>
      <c r="AY277" s="59"/>
      <c r="AZ277" s="61" t="str">
        <f>IF(Table1[[#This Row],[Other]]="","",IF(Table1[[#This Row],[Destination - Other]]="","",HYPERLINK(Table1[[#This Row],[Destination - Other]],_xlfn.CONCAT("Link ("&amp;Table1[[#This Row],[Other]]&amp;")"))))</f>
        <v/>
      </c>
      <c r="BA277" s="59"/>
      <c r="BB277" s="58" t="str">
        <f>IF(AND( Table1[[#This Row],[Auto Order]]=1,Table1[[#This Row],[Obsolete]]=""),IF(Table1[[#This Row],[In stock]]&lt;Table1[[#This Row],[Min in stock]],1,""),"")</f>
        <v/>
      </c>
      <c r="BC277" s="64"/>
      <c r="BD277" s="66" t="str">
        <f>IF(Table1[[#This Row],[Obsolete]],Table1[[#This Row],[Art. Number]],"")</f>
        <v/>
      </c>
    </row>
    <row r="278" spans="1:56" x14ac:dyDescent="0.25">
      <c r="A278" s="65" t="s">
        <v>1645</v>
      </c>
      <c r="B278" s="57" t="s">
        <v>168</v>
      </c>
      <c r="C278" s="57" t="s">
        <v>97</v>
      </c>
      <c r="D278" s="57" t="s">
        <v>1646</v>
      </c>
      <c r="E278" s="57" t="s">
        <v>151</v>
      </c>
      <c r="F278" s="58">
        <v>0</v>
      </c>
      <c r="G278" s="58"/>
      <c r="H278" s="58"/>
      <c r="I27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RHM3.3MDCT-ND</v>
      </c>
      <c r="J27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(RHM3.3MDCT-ND)</v>
      </c>
      <c r="M278" s="57" t="s">
        <v>1647</v>
      </c>
      <c r="N278" s="59">
        <v>0.1</v>
      </c>
      <c r="O278" s="61" t="str">
        <f>IF(Table1[[#This Row],[Digikey]]="","", HYPERLINK(Table1[[#This Row],[Destination - Digikey]],_xlfn.CONCAT("Link (",Table1[[#This Row],[Digikey]],")")))</f>
        <v>Link (RHM3.3MDCT-ND)</v>
      </c>
      <c r="P278" s="62" t="str">
        <f>_xlfn.CONCAT("https://www.digikey.ch/products/en?keywords=",Table1[[#This Row],[Digikey]])</f>
        <v>https://www.digikey.ch/products/en?keywords=RHM3.3MDCT-ND</v>
      </c>
      <c r="Q278" s="57"/>
      <c r="R278" s="59"/>
      <c r="S278" s="61" t="str">
        <f>IF(Table1[[#This Row],[Farnell]]="","", HYPERLINK(Table1[[#This Row],[Destination - Farnell]],_xlfn.CONCAT("Link (",Table1[[#This Row],[Farnell]],")")))</f>
        <v/>
      </c>
      <c r="T278" s="62" t="str">
        <f>_xlfn.CONCAT("https://ch.farnell.com/fr-CH/",Table1[[#This Row],[Farnell]])</f>
        <v>https://ch.farnell.com/fr-CH/</v>
      </c>
      <c r="U278" s="57"/>
      <c r="V278" s="59"/>
      <c r="W278" s="61" t="str">
        <f>IF(Table1[[#This Row],[Distrelec]]="","", HYPERLINK(Table1[[#This Row],[Destination - Distrelec]],_xlfn.CONCAT("Link (",Table1[[#This Row],[Distrelec]],")")))</f>
        <v/>
      </c>
      <c r="X278" s="62" t="str">
        <f>_xlfn.CONCAT("https://www.distrelec.ch/search?q=",Table1[[#This Row],[Distrelec]])</f>
        <v>https://www.distrelec.ch/search?q=</v>
      </c>
      <c r="Y278" s="57"/>
      <c r="Z278" s="59"/>
      <c r="AA278" s="61" t="str">
        <f>IF(Table1[[#This Row],[Conrad]]="","", HYPERLINK(Table1[[#This Row],[Destination - Conrad]],_xlfn.CONCAT("Link (",Table1[[#This Row],[Conrad]],")")))</f>
        <v/>
      </c>
      <c r="AB278" s="62"/>
      <c r="AC278" s="57"/>
      <c r="AD278" s="59"/>
      <c r="AE278" s="61" t="str">
        <f>IF(Table1[[#This Row],[Mouser]]="","", HYPERLINK(Table1[[#This Row],[Destination - Mouser]],_xlfn.CONCAT("Link (",Table1[[#This Row],[Mouser]],")")))</f>
        <v/>
      </c>
      <c r="AF278" s="62" t="str">
        <f>_xlfn.CONCAT("https://www.mouser.ch/ProductDetail/",Table1[[#This Row],[Mouser]])</f>
        <v>https://www.mouser.ch/ProductDetail/</v>
      </c>
      <c r="AG278" s="57"/>
      <c r="AH278" s="59"/>
      <c r="AI278" s="61" t="str">
        <f>IF(Table1[[#This Row],[Bauhaus]]="","", HYPERLINK(Table1[[#This Row],[Destination - Bauhaus]],_xlfn.CONCAT("Link (",Table1[[#This Row],[Bauhaus]],")")))</f>
        <v/>
      </c>
      <c r="AJ278" s="62" t="str">
        <f>_xlfn.CONCAT("https://www.bauhaus.ch/fr/search?query=",Table1[[#This Row],[Bauhaus]])</f>
        <v>https://www.bauhaus.ch/fr/search?query=</v>
      </c>
      <c r="AK278" s="59"/>
      <c r="AL278" s="59"/>
      <c r="AM278" s="61" t="str">
        <f>IF(Table1[[#This Row],[BricoEtLoisirs]]="","", HYPERLINK(Table1[[#This Row],[Destination - BricoEtLoisirs]],_xlfn.CONCAT("Link (",Table1[[#This Row],[BricoEtLoisirs]],")")))</f>
        <v/>
      </c>
      <c r="AN278" s="62" t="str">
        <f>_xlfn.CONCAT("https://bricoetloisirs.ch/p/",Table1[[#This Row],[BricoEtLoisirs]])</f>
        <v>https://bricoetloisirs.ch/p/</v>
      </c>
      <c r="AO278" s="57"/>
      <c r="AP278" s="59"/>
      <c r="AQ278" s="61" t="str">
        <f>IF(Table1[[#This Row],[Aliexpress]]="","", HYPERLINK(Table1[[#This Row],[Destination - Aliexpress]],_xlfn.CONCAT("Link (",Table1[[#This Row],[Aliexpress]],")")))</f>
        <v/>
      </c>
      <c r="AR278" s="62" t="str">
        <f>_xlfn.CONCAT("https://www.aliexpress.com/item/",Table1[[#This Row],[Aliexpress]],".html")</f>
        <v>https://www.aliexpress.com/item/.html</v>
      </c>
      <c r="AS278" s="57"/>
      <c r="AT278" s="59"/>
      <c r="AU278" s="61" t="str">
        <f>IF(Table1[[#This Row],[Banggood]]="","", HYPERLINK(Table1[[#This Row],[Destination - Banggood]],_xlfn.CONCAT("Link (",Table1[[#This Row],[Banggood]],")")))</f>
        <v/>
      </c>
      <c r="AV278" s="62" t="str">
        <f>_xlfn.CONCAT("https://www.banggood.com/search/",Table1[[#This Row],[Banggood]],".html")</f>
        <v>https://www.banggood.com/search/.html</v>
      </c>
      <c r="AW278" s="59" t="str">
        <f>IF(Table1[[#This Row],[Other]]&lt;&gt;"","Other","")</f>
        <v/>
      </c>
      <c r="AX278" s="57"/>
      <c r="AY278" s="59"/>
      <c r="AZ278" s="61" t="str">
        <f>IF(Table1[[#This Row],[Other]]="","",IF(Table1[[#This Row],[Destination - Other]]="","",HYPERLINK(Table1[[#This Row],[Destination - Other]],_xlfn.CONCAT("Link ("&amp;Table1[[#This Row],[Other]]&amp;")"))))</f>
        <v/>
      </c>
      <c r="BA278" s="59"/>
      <c r="BB278" s="58" t="str">
        <f>IF(AND( Table1[[#This Row],[Auto Order]]=1,Table1[[#This Row],[Obsolete]]=""),IF(Table1[[#This Row],[In stock]]&lt;Table1[[#This Row],[Min in stock]],1,""),"")</f>
        <v/>
      </c>
      <c r="BC278" s="64"/>
      <c r="BD278" s="66" t="str">
        <f>IF(Table1[[#This Row],[Obsolete]],Table1[[#This Row],[Art. Number]],"")</f>
        <v/>
      </c>
    </row>
    <row r="279" spans="1:56" x14ac:dyDescent="0.25">
      <c r="A279" s="65" t="s">
        <v>1651</v>
      </c>
      <c r="B279" s="57" t="s">
        <v>168</v>
      </c>
      <c r="C279" s="57" t="s">
        <v>97</v>
      </c>
      <c r="D279" s="57" t="s">
        <v>1652</v>
      </c>
      <c r="E279" s="57" t="s">
        <v>151</v>
      </c>
      <c r="F279" s="58">
        <v>0</v>
      </c>
      <c r="G279" s="58"/>
      <c r="H279" s="58"/>
      <c r="I27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RHM36DCT-ND</v>
      </c>
      <c r="J27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7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7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(RHM36DCT-ND)</v>
      </c>
      <c r="M279" s="57" t="s">
        <v>1653</v>
      </c>
      <c r="N279" s="59">
        <v>0.1</v>
      </c>
      <c r="O279" s="61" t="str">
        <f>IF(Table1[[#This Row],[Digikey]]="","", HYPERLINK(Table1[[#This Row],[Destination - Digikey]],_xlfn.CONCAT("Link (",Table1[[#This Row],[Digikey]],")")))</f>
        <v>Link (RHM36DCT-ND)</v>
      </c>
      <c r="P279" s="62" t="str">
        <f>_xlfn.CONCAT("https://www.digikey.ch/products/en?keywords=",Table1[[#This Row],[Digikey]])</f>
        <v>https://www.digikey.ch/products/en?keywords=RHM36DCT-ND</v>
      </c>
      <c r="Q279" s="57"/>
      <c r="R279" s="59"/>
      <c r="S279" s="61" t="str">
        <f>IF(Table1[[#This Row],[Farnell]]="","", HYPERLINK(Table1[[#This Row],[Destination - Farnell]],_xlfn.CONCAT("Link (",Table1[[#This Row],[Farnell]],")")))</f>
        <v/>
      </c>
      <c r="T279" s="62" t="str">
        <f>_xlfn.CONCAT("https://ch.farnell.com/fr-CH/",Table1[[#This Row],[Farnell]])</f>
        <v>https://ch.farnell.com/fr-CH/</v>
      </c>
      <c r="U279" s="57"/>
      <c r="V279" s="59"/>
      <c r="W279" s="61" t="str">
        <f>IF(Table1[[#This Row],[Distrelec]]="","", HYPERLINK(Table1[[#This Row],[Destination - Distrelec]],_xlfn.CONCAT("Link (",Table1[[#This Row],[Distrelec]],")")))</f>
        <v/>
      </c>
      <c r="X279" s="62" t="str">
        <f>_xlfn.CONCAT("https://www.distrelec.ch/search?q=",Table1[[#This Row],[Distrelec]])</f>
        <v>https://www.distrelec.ch/search?q=</v>
      </c>
      <c r="Y279" s="57"/>
      <c r="Z279" s="59"/>
      <c r="AA279" s="61" t="str">
        <f>IF(Table1[[#This Row],[Conrad]]="","", HYPERLINK(Table1[[#This Row],[Destination - Conrad]],_xlfn.CONCAT("Link (",Table1[[#This Row],[Conrad]],")")))</f>
        <v/>
      </c>
      <c r="AB279" s="62"/>
      <c r="AC279" s="57"/>
      <c r="AD279" s="59"/>
      <c r="AE279" s="61" t="str">
        <f>IF(Table1[[#This Row],[Mouser]]="","", HYPERLINK(Table1[[#This Row],[Destination - Mouser]],_xlfn.CONCAT("Link (",Table1[[#This Row],[Mouser]],")")))</f>
        <v/>
      </c>
      <c r="AF279" s="62" t="str">
        <f>_xlfn.CONCAT("https://www.mouser.ch/ProductDetail/",Table1[[#This Row],[Mouser]])</f>
        <v>https://www.mouser.ch/ProductDetail/</v>
      </c>
      <c r="AG279" s="57"/>
      <c r="AH279" s="59"/>
      <c r="AI279" s="61" t="str">
        <f>IF(Table1[[#This Row],[Bauhaus]]="","", HYPERLINK(Table1[[#This Row],[Destination - Bauhaus]],_xlfn.CONCAT("Link (",Table1[[#This Row],[Bauhaus]],")")))</f>
        <v/>
      </c>
      <c r="AJ279" s="62" t="str">
        <f>_xlfn.CONCAT("https://www.bauhaus.ch/fr/search?query=",Table1[[#This Row],[Bauhaus]])</f>
        <v>https://www.bauhaus.ch/fr/search?query=</v>
      </c>
      <c r="AK279" s="59"/>
      <c r="AL279" s="59"/>
      <c r="AM279" s="61" t="str">
        <f>IF(Table1[[#This Row],[BricoEtLoisirs]]="","", HYPERLINK(Table1[[#This Row],[Destination - BricoEtLoisirs]],_xlfn.CONCAT("Link (",Table1[[#This Row],[BricoEtLoisirs]],")")))</f>
        <v/>
      </c>
      <c r="AN279" s="62" t="str">
        <f>_xlfn.CONCAT("https://bricoetloisirs.ch/p/",Table1[[#This Row],[BricoEtLoisirs]])</f>
        <v>https://bricoetloisirs.ch/p/</v>
      </c>
      <c r="AO279" s="57"/>
      <c r="AP279" s="59"/>
      <c r="AQ279" s="61" t="str">
        <f>IF(Table1[[#This Row],[Aliexpress]]="","", HYPERLINK(Table1[[#This Row],[Destination - Aliexpress]],_xlfn.CONCAT("Link (",Table1[[#This Row],[Aliexpress]],")")))</f>
        <v/>
      </c>
      <c r="AR279" s="62" t="str">
        <f>_xlfn.CONCAT("https://www.aliexpress.com/item/",Table1[[#This Row],[Aliexpress]],".html")</f>
        <v>https://www.aliexpress.com/item/.html</v>
      </c>
      <c r="AS279" s="57"/>
      <c r="AT279" s="59"/>
      <c r="AU279" s="61" t="str">
        <f>IF(Table1[[#This Row],[Banggood]]="","", HYPERLINK(Table1[[#This Row],[Destination - Banggood]],_xlfn.CONCAT("Link (",Table1[[#This Row],[Banggood]],")")))</f>
        <v/>
      </c>
      <c r="AV279" s="62" t="str">
        <f>_xlfn.CONCAT("https://www.banggood.com/search/",Table1[[#This Row],[Banggood]],".html")</f>
        <v>https://www.banggood.com/search/.html</v>
      </c>
      <c r="AW279" s="59" t="str">
        <f>IF(Table1[[#This Row],[Other]]&lt;&gt;"","Other","")</f>
        <v/>
      </c>
      <c r="AX279" s="57"/>
      <c r="AY279" s="59"/>
      <c r="AZ279" s="61" t="str">
        <f>IF(Table1[[#This Row],[Other]]="","",IF(Table1[[#This Row],[Destination - Other]]="","",HYPERLINK(Table1[[#This Row],[Destination - Other]],_xlfn.CONCAT("Link ("&amp;Table1[[#This Row],[Other]]&amp;")"))))</f>
        <v/>
      </c>
      <c r="BA279" s="59"/>
      <c r="BB279" s="58" t="str">
        <f>IF(AND( Table1[[#This Row],[Auto Order]]=1,Table1[[#This Row],[Obsolete]]=""),IF(Table1[[#This Row],[In stock]]&lt;Table1[[#This Row],[Min in stock]],1,""),"")</f>
        <v/>
      </c>
      <c r="BC279" s="64"/>
      <c r="BD279" s="66" t="str">
        <f>IF(Table1[[#This Row],[Obsolete]],Table1[[#This Row],[Art. Number]],"")</f>
        <v/>
      </c>
    </row>
    <row r="280" spans="1:56" x14ac:dyDescent="0.25">
      <c r="A280" s="65" t="s">
        <v>1657</v>
      </c>
      <c r="B280" s="57" t="s">
        <v>168</v>
      </c>
      <c r="C280" s="57" t="s">
        <v>97</v>
      </c>
      <c r="D280" s="57" t="s">
        <v>1658</v>
      </c>
      <c r="E280" s="57" t="s">
        <v>151</v>
      </c>
      <c r="F280" s="58">
        <v>0</v>
      </c>
      <c r="G280" s="58"/>
      <c r="H280" s="58"/>
      <c r="I28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RHM360DCT-ND</v>
      </c>
      <c r="J28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(RHM360DCT-ND)</v>
      </c>
      <c r="M280" s="57" t="s">
        <v>1659</v>
      </c>
      <c r="N280" s="59">
        <v>0.1</v>
      </c>
      <c r="O280" s="61" t="str">
        <f>IF(Table1[[#This Row],[Digikey]]="","", HYPERLINK(Table1[[#This Row],[Destination - Digikey]],_xlfn.CONCAT("Link (",Table1[[#This Row],[Digikey]],")")))</f>
        <v>Link (RHM360DCT-ND)</v>
      </c>
      <c r="P280" s="62" t="str">
        <f>_xlfn.CONCAT("https://www.digikey.ch/products/en?keywords=",Table1[[#This Row],[Digikey]])</f>
        <v>https://www.digikey.ch/products/en?keywords=RHM360DCT-ND</v>
      </c>
      <c r="Q280" s="57"/>
      <c r="R280" s="59"/>
      <c r="S280" s="61" t="str">
        <f>IF(Table1[[#This Row],[Farnell]]="","", HYPERLINK(Table1[[#This Row],[Destination - Farnell]],_xlfn.CONCAT("Link (",Table1[[#This Row],[Farnell]],")")))</f>
        <v/>
      </c>
      <c r="T280" s="62" t="str">
        <f>_xlfn.CONCAT("https://ch.farnell.com/fr-CH/",Table1[[#This Row],[Farnell]])</f>
        <v>https://ch.farnell.com/fr-CH/</v>
      </c>
      <c r="U280" s="57"/>
      <c r="V280" s="59"/>
      <c r="W280" s="61" t="str">
        <f>IF(Table1[[#This Row],[Distrelec]]="","", HYPERLINK(Table1[[#This Row],[Destination - Distrelec]],_xlfn.CONCAT("Link (",Table1[[#This Row],[Distrelec]],")")))</f>
        <v/>
      </c>
      <c r="X280" s="62" t="str">
        <f>_xlfn.CONCAT("https://www.distrelec.ch/search?q=",Table1[[#This Row],[Distrelec]])</f>
        <v>https://www.distrelec.ch/search?q=</v>
      </c>
      <c r="Y280" s="57"/>
      <c r="Z280" s="59"/>
      <c r="AA280" s="61" t="str">
        <f>IF(Table1[[#This Row],[Conrad]]="","", HYPERLINK(Table1[[#This Row],[Destination - Conrad]],_xlfn.CONCAT("Link (",Table1[[#This Row],[Conrad]],")")))</f>
        <v/>
      </c>
      <c r="AB280" s="62"/>
      <c r="AC280" s="57"/>
      <c r="AD280" s="59"/>
      <c r="AE280" s="61" t="str">
        <f>IF(Table1[[#This Row],[Mouser]]="","", HYPERLINK(Table1[[#This Row],[Destination - Mouser]],_xlfn.CONCAT("Link (",Table1[[#This Row],[Mouser]],")")))</f>
        <v/>
      </c>
      <c r="AF280" s="62" t="str">
        <f>_xlfn.CONCAT("https://www.mouser.ch/ProductDetail/",Table1[[#This Row],[Mouser]])</f>
        <v>https://www.mouser.ch/ProductDetail/</v>
      </c>
      <c r="AG280" s="57"/>
      <c r="AH280" s="59"/>
      <c r="AI280" s="61" t="str">
        <f>IF(Table1[[#This Row],[Bauhaus]]="","", HYPERLINK(Table1[[#This Row],[Destination - Bauhaus]],_xlfn.CONCAT("Link (",Table1[[#This Row],[Bauhaus]],")")))</f>
        <v/>
      </c>
      <c r="AJ280" s="62" t="str">
        <f>_xlfn.CONCAT("https://www.bauhaus.ch/fr/search?query=",Table1[[#This Row],[Bauhaus]])</f>
        <v>https://www.bauhaus.ch/fr/search?query=</v>
      </c>
      <c r="AK280" s="59"/>
      <c r="AL280" s="59"/>
      <c r="AM280" s="61" t="str">
        <f>IF(Table1[[#This Row],[BricoEtLoisirs]]="","", HYPERLINK(Table1[[#This Row],[Destination - BricoEtLoisirs]],_xlfn.CONCAT("Link (",Table1[[#This Row],[BricoEtLoisirs]],")")))</f>
        <v/>
      </c>
      <c r="AN280" s="62" t="str">
        <f>_xlfn.CONCAT("https://bricoetloisirs.ch/p/",Table1[[#This Row],[BricoEtLoisirs]])</f>
        <v>https://bricoetloisirs.ch/p/</v>
      </c>
      <c r="AO280" s="57"/>
      <c r="AP280" s="59"/>
      <c r="AQ280" s="61" t="str">
        <f>IF(Table1[[#This Row],[Aliexpress]]="","", HYPERLINK(Table1[[#This Row],[Destination - Aliexpress]],_xlfn.CONCAT("Link (",Table1[[#This Row],[Aliexpress]],")")))</f>
        <v/>
      </c>
      <c r="AR280" s="62" t="str">
        <f>_xlfn.CONCAT("https://www.aliexpress.com/item/",Table1[[#This Row],[Aliexpress]],".html")</f>
        <v>https://www.aliexpress.com/item/.html</v>
      </c>
      <c r="AS280" s="57"/>
      <c r="AT280" s="59"/>
      <c r="AU280" s="61" t="str">
        <f>IF(Table1[[#This Row],[Banggood]]="","", HYPERLINK(Table1[[#This Row],[Destination - Banggood]],_xlfn.CONCAT("Link (",Table1[[#This Row],[Banggood]],")")))</f>
        <v/>
      </c>
      <c r="AV280" s="62" t="str">
        <f>_xlfn.CONCAT("https://www.banggood.com/search/",Table1[[#This Row],[Banggood]],".html")</f>
        <v>https://www.banggood.com/search/.html</v>
      </c>
      <c r="AW280" s="59" t="str">
        <f>IF(Table1[[#This Row],[Other]]&lt;&gt;"","Other","")</f>
        <v/>
      </c>
      <c r="AX280" s="57"/>
      <c r="AY280" s="59"/>
      <c r="AZ280" s="61" t="str">
        <f>IF(Table1[[#This Row],[Other]]="","",IF(Table1[[#This Row],[Destination - Other]]="","",HYPERLINK(Table1[[#This Row],[Destination - Other]],_xlfn.CONCAT("Link ("&amp;Table1[[#This Row],[Other]]&amp;")"))))</f>
        <v/>
      </c>
      <c r="BA280" s="59"/>
      <c r="BB280" s="58" t="str">
        <f>IF(AND( Table1[[#This Row],[Auto Order]]=1,Table1[[#This Row],[Obsolete]]=""),IF(Table1[[#This Row],[In stock]]&lt;Table1[[#This Row],[Min in stock]],1,""),"")</f>
        <v/>
      </c>
      <c r="BC280" s="64"/>
      <c r="BD280" s="66" t="str">
        <f>IF(Table1[[#This Row],[Obsolete]],Table1[[#This Row],[Art. Number]],"")</f>
        <v/>
      </c>
    </row>
    <row r="281" spans="1:56" x14ac:dyDescent="0.25">
      <c r="A281" s="65" t="s">
        <v>1663</v>
      </c>
      <c r="B281" s="57" t="s">
        <v>168</v>
      </c>
      <c r="C281" s="57" t="s">
        <v>97</v>
      </c>
      <c r="D281" s="57" t="s">
        <v>1664</v>
      </c>
      <c r="E281" s="57" t="s">
        <v>151</v>
      </c>
      <c r="F281" s="58">
        <v>0</v>
      </c>
      <c r="G281" s="58"/>
      <c r="H281" s="58"/>
      <c r="I28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RHM3.6KDCT-ND</v>
      </c>
      <c r="J28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(RHM3.6KDCT-ND)</v>
      </c>
      <c r="M281" s="57" t="s">
        <v>1665</v>
      </c>
      <c r="N281" s="59">
        <v>0.1</v>
      </c>
      <c r="O281" s="61" t="str">
        <f>IF(Table1[[#This Row],[Digikey]]="","", HYPERLINK(Table1[[#This Row],[Destination - Digikey]],_xlfn.CONCAT("Link (",Table1[[#This Row],[Digikey]],")")))</f>
        <v>Link (RHM3.6KDCT-ND)</v>
      </c>
      <c r="P281" s="62" t="str">
        <f>_xlfn.CONCAT("https://www.digikey.ch/products/en?keywords=",Table1[[#This Row],[Digikey]])</f>
        <v>https://www.digikey.ch/products/en?keywords=RHM3.6KDCT-ND</v>
      </c>
      <c r="Q281" s="57"/>
      <c r="R281" s="59"/>
      <c r="S281" s="61" t="str">
        <f>IF(Table1[[#This Row],[Farnell]]="","", HYPERLINK(Table1[[#This Row],[Destination - Farnell]],_xlfn.CONCAT("Link (",Table1[[#This Row],[Farnell]],")")))</f>
        <v/>
      </c>
      <c r="T281" s="62" t="str">
        <f>_xlfn.CONCAT("https://ch.farnell.com/fr-CH/",Table1[[#This Row],[Farnell]])</f>
        <v>https://ch.farnell.com/fr-CH/</v>
      </c>
      <c r="U281" s="57"/>
      <c r="V281" s="59"/>
      <c r="W281" s="61" t="str">
        <f>IF(Table1[[#This Row],[Distrelec]]="","", HYPERLINK(Table1[[#This Row],[Destination - Distrelec]],_xlfn.CONCAT("Link (",Table1[[#This Row],[Distrelec]],")")))</f>
        <v/>
      </c>
      <c r="X281" s="62" t="str">
        <f>_xlfn.CONCAT("https://www.distrelec.ch/search?q=",Table1[[#This Row],[Distrelec]])</f>
        <v>https://www.distrelec.ch/search?q=</v>
      </c>
      <c r="Y281" s="57"/>
      <c r="Z281" s="59"/>
      <c r="AA281" s="61" t="str">
        <f>IF(Table1[[#This Row],[Conrad]]="","", HYPERLINK(Table1[[#This Row],[Destination - Conrad]],_xlfn.CONCAT("Link (",Table1[[#This Row],[Conrad]],")")))</f>
        <v/>
      </c>
      <c r="AB281" s="62"/>
      <c r="AC281" s="57"/>
      <c r="AD281" s="59"/>
      <c r="AE281" s="61" t="str">
        <f>IF(Table1[[#This Row],[Mouser]]="","", HYPERLINK(Table1[[#This Row],[Destination - Mouser]],_xlfn.CONCAT("Link (",Table1[[#This Row],[Mouser]],")")))</f>
        <v/>
      </c>
      <c r="AF281" s="62" t="str">
        <f>_xlfn.CONCAT("https://www.mouser.ch/ProductDetail/",Table1[[#This Row],[Mouser]])</f>
        <v>https://www.mouser.ch/ProductDetail/</v>
      </c>
      <c r="AG281" s="57"/>
      <c r="AH281" s="59"/>
      <c r="AI281" s="61" t="str">
        <f>IF(Table1[[#This Row],[Bauhaus]]="","", HYPERLINK(Table1[[#This Row],[Destination - Bauhaus]],_xlfn.CONCAT("Link (",Table1[[#This Row],[Bauhaus]],")")))</f>
        <v/>
      </c>
      <c r="AJ281" s="62" t="str">
        <f>_xlfn.CONCAT("https://www.bauhaus.ch/fr/search?query=",Table1[[#This Row],[Bauhaus]])</f>
        <v>https://www.bauhaus.ch/fr/search?query=</v>
      </c>
      <c r="AK281" s="59"/>
      <c r="AL281" s="59"/>
      <c r="AM281" s="61" t="str">
        <f>IF(Table1[[#This Row],[BricoEtLoisirs]]="","", HYPERLINK(Table1[[#This Row],[Destination - BricoEtLoisirs]],_xlfn.CONCAT("Link (",Table1[[#This Row],[BricoEtLoisirs]],")")))</f>
        <v/>
      </c>
      <c r="AN281" s="62" t="str">
        <f>_xlfn.CONCAT("https://bricoetloisirs.ch/p/",Table1[[#This Row],[BricoEtLoisirs]])</f>
        <v>https://bricoetloisirs.ch/p/</v>
      </c>
      <c r="AO281" s="57"/>
      <c r="AP281" s="59"/>
      <c r="AQ281" s="61" t="str">
        <f>IF(Table1[[#This Row],[Aliexpress]]="","", HYPERLINK(Table1[[#This Row],[Destination - Aliexpress]],_xlfn.CONCAT("Link (",Table1[[#This Row],[Aliexpress]],")")))</f>
        <v/>
      </c>
      <c r="AR281" s="62" t="str">
        <f>_xlfn.CONCAT("https://www.aliexpress.com/item/",Table1[[#This Row],[Aliexpress]],".html")</f>
        <v>https://www.aliexpress.com/item/.html</v>
      </c>
      <c r="AS281" s="57"/>
      <c r="AT281" s="59"/>
      <c r="AU281" s="61" t="str">
        <f>IF(Table1[[#This Row],[Banggood]]="","", HYPERLINK(Table1[[#This Row],[Destination - Banggood]],_xlfn.CONCAT("Link (",Table1[[#This Row],[Banggood]],")")))</f>
        <v/>
      </c>
      <c r="AV281" s="62" t="str">
        <f>_xlfn.CONCAT("https://www.banggood.com/search/",Table1[[#This Row],[Banggood]],".html")</f>
        <v>https://www.banggood.com/search/.html</v>
      </c>
      <c r="AW281" s="59" t="str">
        <f>IF(Table1[[#This Row],[Other]]&lt;&gt;"","Other","")</f>
        <v/>
      </c>
      <c r="AX281" s="57"/>
      <c r="AY281" s="59"/>
      <c r="AZ281" s="61" t="str">
        <f>IF(Table1[[#This Row],[Other]]="","",IF(Table1[[#This Row],[Destination - Other]]="","",HYPERLINK(Table1[[#This Row],[Destination - Other]],_xlfn.CONCAT("Link ("&amp;Table1[[#This Row],[Other]]&amp;")"))))</f>
        <v/>
      </c>
      <c r="BA281" s="59"/>
      <c r="BB281" s="58" t="str">
        <f>IF(AND( Table1[[#This Row],[Auto Order]]=1,Table1[[#This Row],[Obsolete]]=""),IF(Table1[[#This Row],[In stock]]&lt;Table1[[#This Row],[Min in stock]],1,""),"")</f>
        <v/>
      </c>
      <c r="BC281" s="64"/>
      <c r="BD281" s="66" t="str">
        <f>IF(Table1[[#This Row],[Obsolete]],Table1[[#This Row],[Art. Number]],"")</f>
        <v/>
      </c>
    </row>
    <row r="282" spans="1:56" x14ac:dyDescent="0.25">
      <c r="A282" s="65" t="s">
        <v>1669</v>
      </c>
      <c r="B282" s="57" t="s">
        <v>168</v>
      </c>
      <c r="C282" s="57" t="s">
        <v>97</v>
      </c>
      <c r="D282" s="57" t="s">
        <v>1670</v>
      </c>
      <c r="E282" s="57" t="s">
        <v>151</v>
      </c>
      <c r="F282" s="58">
        <v>0</v>
      </c>
      <c r="G282" s="58"/>
      <c r="H282" s="58"/>
      <c r="I28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RHM36KDCT-ND</v>
      </c>
      <c r="J28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(RHM36KDCT-ND)</v>
      </c>
      <c r="M282" s="57" t="s">
        <v>1671</v>
      </c>
      <c r="N282" s="59">
        <v>0.1</v>
      </c>
      <c r="O282" s="61" t="str">
        <f>IF(Table1[[#This Row],[Digikey]]="","", HYPERLINK(Table1[[#This Row],[Destination - Digikey]],_xlfn.CONCAT("Link (",Table1[[#This Row],[Digikey]],")")))</f>
        <v>Link (RHM36KDCT-ND)</v>
      </c>
      <c r="P282" s="62" t="str">
        <f>_xlfn.CONCAT("https://www.digikey.ch/products/en?keywords=",Table1[[#This Row],[Digikey]])</f>
        <v>https://www.digikey.ch/products/en?keywords=RHM36KDCT-ND</v>
      </c>
      <c r="Q282" s="57"/>
      <c r="R282" s="59"/>
      <c r="S282" s="61" t="str">
        <f>IF(Table1[[#This Row],[Farnell]]="","", HYPERLINK(Table1[[#This Row],[Destination - Farnell]],_xlfn.CONCAT("Link (",Table1[[#This Row],[Farnell]],")")))</f>
        <v/>
      </c>
      <c r="T282" s="62" t="str">
        <f>_xlfn.CONCAT("https://ch.farnell.com/fr-CH/",Table1[[#This Row],[Farnell]])</f>
        <v>https://ch.farnell.com/fr-CH/</v>
      </c>
      <c r="U282" s="57"/>
      <c r="V282" s="59"/>
      <c r="W282" s="61" t="str">
        <f>IF(Table1[[#This Row],[Distrelec]]="","", HYPERLINK(Table1[[#This Row],[Destination - Distrelec]],_xlfn.CONCAT("Link (",Table1[[#This Row],[Distrelec]],")")))</f>
        <v/>
      </c>
      <c r="X282" s="62" t="str">
        <f>_xlfn.CONCAT("https://www.distrelec.ch/search?q=",Table1[[#This Row],[Distrelec]])</f>
        <v>https://www.distrelec.ch/search?q=</v>
      </c>
      <c r="Y282" s="57"/>
      <c r="Z282" s="59"/>
      <c r="AA282" s="61" t="str">
        <f>IF(Table1[[#This Row],[Conrad]]="","", HYPERLINK(Table1[[#This Row],[Destination - Conrad]],_xlfn.CONCAT("Link (",Table1[[#This Row],[Conrad]],")")))</f>
        <v/>
      </c>
      <c r="AB282" s="62"/>
      <c r="AC282" s="57"/>
      <c r="AD282" s="59"/>
      <c r="AE282" s="61" t="str">
        <f>IF(Table1[[#This Row],[Mouser]]="","", HYPERLINK(Table1[[#This Row],[Destination - Mouser]],_xlfn.CONCAT("Link (",Table1[[#This Row],[Mouser]],")")))</f>
        <v/>
      </c>
      <c r="AF282" s="62" t="str">
        <f>_xlfn.CONCAT("https://www.mouser.ch/ProductDetail/",Table1[[#This Row],[Mouser]])</f>
        <v>https://www.mouser.ch/ProductDetail/</v>
      </c>
      <c r="AG282" s="57"/>
      <c r="AH282" s="59"/>
      <c r="AI282" s="61" t="str">
        <f>IF(Table1[[#This Row],[Bauhaus]]="","", HYPERLINK(Table1[[#This Row],[Destination - Bauhaus]],_xlfn.CONCAT("Link (",Table1[[#This Row],[Bauhaus]],")")))</f>
        <v/>
      </c>
      <c r="AJ282" s="62" t="str">
        <f>_xlfn.CONCAT("https://www.bauhaus.ch/fr/search?query=",Table1[[#This Row],[Bauhaus]])</f>
        <v>https://www.bauhaus.ch/fr/search?query=</v>
      </c>
      <c r="AK282" s="59"/>
      <c r="AL282" s="59"/>
      <c r="AM282" s="61" t="str">
        <f>IF(Table1[[#This Row],[BricoEtLoisirs]]="","", HYPERLINK(Table1[[#This Row],[Destination - BricoEtLoisirs]],_xlfn.CONCAT("Link (",Table1[[#This Row],[BricoEtLoisirs]],")")))</f>
        <v/>
      </c>
      <c r="AN282" s="62" t="str">
        <f>_xlfn.CONCAT("https://bricoetloisirs.ch/p/",Table1[[#This Row],[BricoEtLoisirs]])</f>
        <v>https://bricoetloisirs.ch/p/</v>
      </c>
      <c r="AO282" s="57"/>
      <c r="AP282" s="59"/>
      <c r="AQ282" s="61" t="str">
        <f>IF(Table1[[#This Row],[Aliexpress]]="","", HYPERLINK(Table1[[#This Row],[Destination - Aliexpress]],_xlfn.CONCAT("Link (",Table1[[#This Row],[Aliexpress]],")")))</f>
        <v/>
      </c>
      <c r="AR282" s="62" t="str">
        <f>_xlfn.CONCAT("https://www.aliexpress.com/item/",Table1[[#This Row],[Aliexpress]],".html")</f>
        <v>https://www.aliexpress.com/item/.html</v>
      </c>
      <c r="AS282" s="57"/>
      <c r="AT282" s="59"/>
      <c r="AU282" s="61" t="str">
        <f>IF(Table1[[#This Row],[Banggood]]="","", HYPERLINK(Table1[[#This Row],[Destination - Banggood]],_xlfn.CONCAT("Link (",Table1[[#This Row],[Banggood]],")")))</f>
        <v/>
      </c>
      <c r="AV282" s="62" t="str">
        <f>_xlfn.CONCAT("https://www.banggood.com/search/",Table1[[#This Row],[Banggood]],".html")</f>
        <v>https://www.banggood.com/search/.html</v>
      </c>
      <c r="AW282" s="59" t="str">
        <f>IF(Table1[[#This Row],[Other]]&lt;&gt;"","Other","")</f>
        <v/>
      </c>
      <c r="AX282" s="57"/>
      <c r="AY282" s="59"/>
      <c r="AZ282" s="61" t="str">
        <f>IF(Table1[[#This Row],[Other]]="","",IF(Table1[[#This Row],[Destination - Other]]="","",HYPERLINK(Table1[[#This Row],[Destination - Other]],_xlfn.CONCAT("Link ("&amp;Table1[[#This Row],[Other]]&amp;")"))))</f>
        <v/>
      </c>
      <c r="BA282" s="59"/>
      <c r="BB282" s="58" t="str">
        <f>IF(AND( Table1[[#This Row],[Auto Order]]=1,Table1[[#This Row],[Obsolete]]=""),IF(Table1[[#This Row],[In stock]]&lt;Table1[[#This Row],[Min in stock]],1,""),"")</f>
        <v/>
      </c>
      <c r="BC282" s="64"/>
      <c r="BD282" s="66" t="str">
        <f>IF(Table1[[#This Row],[Obsolete]],Table1[[#This Row],[Art. Number]],"")</f>
        <v/>
      </c>
    </row>
    <row r="283" spans="1:56" x14ac:dyDescent="0.25">
      <c r="A283" s="65" t="s">
        <v>1675</v>
      </c>
      <c r="B283" s="57" t="s">
        <v>168</v>
      </c>
      <c r="C283" s="57" t="s">
        <v>97</v>
      </c>
      <c r="D283" s="57" t="s">
        <v>1676</v>
      </c>
      <c r="E283" s="57" t="s">
        <v>151</v>
      </c>
      <c r="F283" s="58">
        <v>0</v>
      </c>
      <c r="G283" s="58"/>
      <c r="H283" s="58"/>
      <c r="I28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RHM3.6MDCT-ND</v>
      </c>
      <c r="J28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(RHM3.6MDCT-ND)</v>
      </c>
      <c r="M283" s="57" t="s">
        <v>1677</v>
      </c>
      <c r="N283" s="59">
        <v>0.1</v>
      </c>
      <c r="O283" s="61" t="str">
        <f>IF(Table1[[#This Row],[Digikey]]="","", HYPERLINK(Table1[[#This Row],[Destination - Digikey]],_xlfn.CONCAT("Link (",Table1[[#This Row],[Digikey]],")")))</f>
        <v>Link (RHM3.6MDCT-ND)</v>
      </c>
      <c r="P283" s="62" t="str">
        <f>_xlfn.CONCAT("https://www.digikey.ch/products/en?keywords=",Table1[[#This Row],[Digikey]])</f>
        <v>https://www.digikey.ch/products/en?keywords=RHM3.6MDCT-ND</v>
      </c>
      <c r="Q283" s="57"/>
      <c r="R283" s="59"/>
      <c r="S283" s="61" t="str">
        <f>IF(Table1[[#This Row],[Farnell]]="","", HYPERLINK(Table1[[#This Row],[Destination - Farnell]],_xlfn.CONCAT("Link (",Table1[[#This Row],[Farnell]],")")))</f>
        <v/>
      </c>
      <c r="T283" s="62" t="str">
        <f>_xlfn.CONCAT("https://ch.farnell.com/fr-CH/",Table1[[#This Row],[Farnell]])</f>
        <v>https://ch.farnell.com/fr-CH/</v>
      </c>
      <c r="U283" s="57"/>
      <c r="V283" s="59"/>
      <c r="W283" s="61" t="str">
        <f>IF(Table1[[#This Row],[Distrelec]]="","", HYPERLINK(Table1[[#This Row],[Destination - Distrelec]],_xlfn.CONCAT("Link (",Table1[[#This Row],[Distrelec]],")")))</f>
        <v/>
      </c>
      <c r="X283" s="62" t="str">
        <f>_xlfn.CONCAT("https://www.distrelec.ch/search?q=",Table1[[#This Row],[Distrelec]])</f>
        <v>https://www.distrelec.ch/search?q=</v>
      </c>
      <c r="Y283" s="57"/>
      <c r="Z283" s="59"/>
      <c r="AA283" s="61" t="str">
        <f>IF(Table1[[#This Row],[Conrad]]="","", HYPERLINK(Table1[[#This Row],[Destination - Conrad]],_xlfn.CONCAT("Link (",Table1[[#This Row],[Conrad]],")")))</f>
        <v/>
      </c>
      <c r="AB283" s="62"/>
      <c r="AC283" s="57"/>
      <c r="AD283" s="59"/>
      <c r="AE283" s="61" t="str">
        <f>IF(Table1[[#This Row],[Mouser]]="","", HYPERLINK(Table1[[#This Row],[Destination - Mouser]],_xlfn.CONCAT("Link (",Table1[[#This Row],[Mouser]],")")))</f>
        <v/>
      </c>
      <c r="AF283" s="62" t="str">
        <f>_xlfn.CONCAT("https://www.mouser.ch/ProductDetail/",Table1[[#This Row],[Mouser]])</f>
        <v>https://www.mouser.ch/ProductDetail/</v>
      </c>
      <c r="AG283" s="57"/>
      <c r="AH283" s="59"/>
      <c r="AI283" s="61" t="str">
        <f>IF(Table1[[#This Row],[Bauhaus]]="","", HYPERLINK(Table1[[#This Row],[Destination - Bauhaus]],_xlfn.CONCAT("Link (",Table1[[#This Row],[Bauhaus]],")")))</f>
        <v/>
      </c>
      <c r="AJ283" s="62" t="str">
        <f>_xlfn.CONCAT("https://www.bauhaus.ch/fr/search?query=",Table1[[#This Row],[Bauhaus]])</f>
        <v>https://www.bauhaus.ch/fr/search?query=</v>
      </c>
      <c r="AK283" s="59"/>
      <c r="AL283" s="59"/>
      <c r="AM283" s="61" t="str">
        <f>IF(Table1[[#This Row],[BricoEtLoisirs]]="","", HYPERLINK(Table1[[#This Row],[Destination - BricoEtLoisirs]],_xlfn.CONCAT("Link (",Table1[[#This Row],[BricoEtLoisirs]],")")))</f>
        <v/>
      </c>
      <c r="AN283" s="62" t="str">
        <f>_xlfn.CONCAT("https://bricoetloisirs.ch/p/",Table1[[#This Row],[BricoEtLoisirs]])</f>
        <v>https://bricoetloisirs.ch/p/</v>
      </c>
      <c r="AO283" s="57"/>
      <c r="AP283" s="59"/>
      <c r="AQ283" s="61" t="str">
        <f>IF(Table1[[#This Row],[Aliexpress]]="","", HYPERLINK(Table1[[#This Row],[Destination - Aliexpress]],_xlfn.CONCAT("Link (",Table1[[#This Row],[Aliexpress]],")")))</f>
        <v/>
      </c>
      <c r="AR283" s="62" t="str">
        <f>_xlfn.CONCAT("https://www.aliexpress.com/item/",Table1[[#This Row],[Aliexpress]],".html")</f>
        <v>https://www.aliexpress.com/item/.html</v>
      </c>
      <c r="AS283" s="57"/>
      <c r="AT283" s="59"/>
      <c r="AU283" s="61" t="str">
        <f>IF(Table1[[#This Row],[Banggood]]="","", HYPERLINK(Table1[[#This Row],[Destination - Banggood]],_xlfn.CONCAT("Link (",Table1[[#This Row],[Banggood]],")")))</f>
        <v/>
      </c>
      <c r="AV283" s="62" t="str">
        <f>_xlfn.CONCAT("https://www.banggood.com/search/",Table1[[#This Row],[Banggood]],".html")</f>
        <v>https://www.banggood.com/search/.html</v>
      </c>
      <c r="AW283" s="59" t="str">
        <f>IF(Table1[[#This Row],[Other]]&lt;&gt;"","Other","")</f>
        <v/>
      </c>
      <c r="AX283" s="57"/>
      <c r="AY283" s="59"/>
      <c r="AZ283" s="61" t="str">
        <f>IF(Table1[[#This Row],[Other]]="","",IF(Table1[[#This Row],[Destination - Other]]="","",HYPERLINK(Table1[[#This Row],[Destination - Other]],_xlfn.CONCAT("Link ("&amp;Table1[[#This Row],[Other]]&amp;")"))))</f>
        <v/>
      </c>
      <c r="BA283" s="59"/>
      <c r="BB283" s="58" t="str">
        <f>IF(AND( Table1[[#This Row],[Auto Order]]=1,Table1[[#This Row],[Obsolete]]=""),IF(Table1[[#This Row],[In stock]]&lt;Table1[[#This Row],[Min in stock]],1,""),"")</f>
        <v/>
      </c>
      <c r="BC283" s="64"/>
      <c r="BD283" s="66" t="str">
        <f>IF(Table1[[#This Row],[Obsolete]],Table1[[#This Row],[Art. Number]],"")</f>
        <v/>
      </c>
    </row>
    <row r="284" spans="1:56" x14ac:dyDescent="0.25">
      <c r="A284" s="65" t="s">
        <v>1681</v>
      </c>
      <c r="B284" s="57" t="s">
        <v>168</v>
      </c>
      <c r="C284" s="57" t="s">
        <v>97</v>
      </c>
      <c r="D284" s="57" t="s">
        <v>1682</v>
      </c>
      <c r="E284" s="57" t="s">
        <v>151</v>
      </c>
      <c r="F284" s="58">
        <v>0</v>
      </c>
      <c r="G284" s="58"/>
      <c r="H284" s="58"/>
      <c r="I28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RHM39DCT-ND</v>
      </c>
      <c r="J28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(RHM39DCT-ND)</v>
      </c>
      <c r="M284" s="57" t="s">
        <v>1683</v>
      </c>
      <c r="N284" s="59">
        <v>0.1</v>
      </c>
      <c r="O284" s="61" t="str">
        <f>IF(Table1[[#This Row],[Digikey]]="","", HYPERLINK(Table1[[#This Row],[Destination - Digikey]],_xlfn.CONCAT("Link (",Table1[[#This Row],[Digikey]],")")))</f>
        <v>Link (RHM39DCT-ND)</v>
      </c>
      <c r="P284" s="62" t="str">
        <f>_xlfn.CONCAT("https://www.digikey.ch/products/en?keywords=",Table1[[#This Row],[Digikey]])</f>
        <v>https://www.digikey.ch/products/en?keywords=RHM39DCT-ND</v>
      </c>
      <c r="Q284" s="57"/>
      <c r="R284" s="59"/>
      <c r="S284" s="61" t="str">
        <f>IF(Table1[[#This Row],[Farnell]]="","", HYPERLINK(Table1[[#This Row],[Destination - Farnell]],_xlfn.CONCAT("Link (",Table1[[#This Row],[Farnell]],")")))</f>
        <v/>
      </c>
      <c r="T284" s="62" t="str">
        <f>_xlfn.CONCAT("https://ch.farnell.com/fr-CH/",Table1[[#This Row],[Farnell]])</f>
        <v>https://ch.farnell.com/fr-CH/</v>
      </c>
      <c r="U284" s="57"/>
      <c r="V284" s="59"/>
      <c r="W284" s="61" t="str">
        <f>IF(Table1[[#This Row],[Distrelec]]="","", HYPERLINK(Table1[[#This Row],[Destination - Distrelec]],_xlfn.CONCAT("Link (",Table1[[#This Row],[Distrelec]],")")))</f>
        <v/>
      </c>
      <c r="X284" s="62" t="str">
        <f>_xlfn.CONCAT("https://www.distrelec.ch/search?q=",Table1[[#This Row],[Distrelec]])</f>
        <v>https://www.distrelec.ch/search?q=</v>
      </c>
      <c r="Y284" s="57"/>
      <c r="Z284" s="59"/>
      <c r="AA284" s="61" t="str">
        <f>IF(Table1[[#This Row],[Conrad]]="","", HYPERLINK(Table1[[#This Row],[Destination - Conrad]],_xlfn.CONCAT("Link (",Table1[[#This Row],[Conrad]],")")))</f>
        <v/>
      </c>
      <c r="AB284" s="62"/>
      <c r="AC284" s="57"/>
      <c r="AD284" s="59"/>
      <c r="AE284" s="61" t="str">
        <f>IF(Table1[[#This Row],[Mouser]]="","", HYPERLINK(Table1[[#This Row],[Destination - Mouser]],_xlfn.CONCAT("Link (",Table1[[#This Row],[Mouser]],")")))</f>
        <v/>
      </c>
      <c r="AF284" s="62" t="str">
        <f>_xlfn.CONCAT("https://www.mouser.ch/ProductDetail/",Table1[[#This Row],[Mouser]])</f>
        <v>https://www.mouser.ch/ProductDetail/</v>
      </c>
      <c r="AG284" s="57"/>
      <c r="AH284" s="59"/>
      <c r="AI284" s="61" t="str">
        <f>IF(Table1[[#This Row],[Bauhaus]]="","", HYPERLINK(Table1[[#This Row],[Destination - Bauhaus]],_xlfn.CONCAT("Link (",Table1[[#This Row],[Bauhaus]],")")))</f>
        <v/>
      </c>
      <c r="AJ284" s="62" t="str">
        <f>_xlfn.CONCAT("https://www.bauhaus.ch/fr/search?query=",Table1[[#This Row],[Bauhaus]])</f>
        <v>https://www.bauhaus.ch/fr/search?query=</v>
      </c>
      <c r="AK284" s="59"/>
      <c r="AL284" s="59"/>
      <c r="AM284" s="61" t="str">
        <f>IF(Table1[[#This Row],[BricoEtLoisirs]]="","", HYPERLINK(Table1[[#This Row],[Destination - BricoEtLoisirs]],_xlfn.CONCAT("Link (",Table1[[#This Row],[BricoEtLoisirs]],")")))</f>
        <v/>
      </c>
      <c r="AN284" s="62" t="str">
        <f>_xlfn.CONCAT("https://bricoetloisirs.ch/p/",Table1[[#This Row],[BricoEtLoisirs]])</f>
        <v>https://bricoetloisirs.ch/p/</v>
      </c>
      <c r="AO284" s="57"/>
      <c r="AP284" s="59"/>
      <c r="AQ284" s="61" t="str">
        <f>IF(Table1[[#This Row],[Aliexpress]]="","", HYPERLINK(Table1[[#This Row],[Destination - Aliexpress]],_xlfn.CONCAT("Link (",Table1[[#This Row],[Aliexpress]],")")))</f>
        <v/>
      </c>
      <c r="AR284" s="62" t="str">
        <f>_xlfn.CONCAT("https://www.aliexpress.com/item/",Table1[[#This Row],[Aliexpress]],".html")</f>
        <v>https://www.aliexpress.com/item/.html</v>
      </c>
      <c r="AS284" s="57"/>
      <c r="AT284" s="59"/>
      <c r="AU284" s="61" t="str">
        <f>IF(Table1[[#This Row],[Banggood]]="","", HYPERLINK(Table1[[#This Row],[Destination - Banggood]],_xlfn.CONCAT("Link (",Table1[[#This Row],[Banggood]],")")))</f>
        <v/>
      </c>
      <c r="AV284" s="62" t="str">
        <f>_xlfn.CONCAT("https://www.banggood.com/search/",Table1[[#This Row],[Banggood]],".html")</f>
        <v>https://www.banggood.com/search/.html</v>
      </c>
      <c r="AW284" s="59" t="str">
        <f>IF(Table1[[#This Row],[Other]]&lt;&gt;"","Other","")</f>
        <v/>
      </c>
      <c r="AX284" s="57"/>
      <c r="AY284" s="59"/>
      <c r="AZ284" s="61" t="str">
        <f>IF(Table1[[#This Row],[Other]]="","",IF(Table1[[#This Row],[Destination - Other]]="","",HYPERLINK(Table1[[#This Row],[Destination - Other]],_xlfn.CONCAT("Link ("&amp;Table1[[#This Row],[Other]]&amp;")"))))</f>
        <v/>
      </c>
      <c r="BA284" s="59"/>
      <c r="BB284" s="58" t="str">
        <f>IF(AND( Table1[[#This Row],[Auto Order]]=1,Table1[[#This Row],[Obsolete]]=""),IF(Table1[[#This Row],[In stock]]&lt;Table1[[#This Row],[Min in stock]],1,""),"")</f>
        <v/>
      </c>
      <c r="BC284" s="64"/>
      <c r="BD284" s="66" t="str">
        <f>IF(Table1[[#This Row],[Obsolete]],Table1[[#This Row],[Art. Number]],"")</f>
        <v/>
      </c>
    </row>
    <row r="285" spans="1:56" x14ac:dyDescent="0.25">
      <c r="A285" s="65" t="s">
        <v>1687</v>
      </c>
      <c r="B285" s="57" t="s">
        <v>168</v>
      </c>
      <c r="C285" s="57" t="s">
        <v>97</v>
      </c>
      <c r="D285" s="57" t="s">
        <v>1688</v>
      </c>
      <c r="E285" s="57" t="s">
        <v>151</v>
      </c>
      <c r="F285" s="58">
        <v>0</v>
      </c>
      <c r="G285" s="58"/>
      <c r="H285" s="58"/>
      <c r="I28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RHM390DCT-ND</v>
      </c>
      <c r="J28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(RHM390DCT-ND)</v>
      </c>
      <c r="M285" s="57" t="s">
        <v>1689</v>
      </c>
      <c r="N285" s="59">
        <v>0.1</v>
      </c>
      <c r="O285" s="61" t="str">
        <f>IF(Table1[[#This Row],[Digikey]]="","", HYPERLINK(Table1[[#This Row],[Destination - Digikey]],_xlfn.CONCAT("Link (",Table1[[#This Row],[Digikey]],")")))</f>
        <v>Link (RHM390DCT-ND)</v>
      </c>
      <c r="P285" s="62" t="str">
        <f>_xlfn.CONCAT("https://www.digikey.ch/products/en?keywords=",Table1[[#This Row],[Digikey]])</f>
        <v>https://www.digikey.ch/products/en?keywords=RHM390DCT-ND</v>
      </c>
      <c r="Q285" s="57"/>
      <c r="R285" s="59"/>
      <c r="S285" s="61" t="str">
        <f>IF(Table1[[#This Row],[Farnell]]="","", HYPERLINK(Table1[[#This Row],[Destination - Farnell]],_xlfn.CONCAT("Link (",Table1[[#This Row],[Farnell]],")")))</f>
        <v/>
      </c>
      <c r="T285" s="62" t="str">
        <f>_xlfn.CONCAT("https://ch.farnell.com/fr-CH/",Table1[[#This Row],[Farnell]])</f>
        <v>https://ch.farnell.com/fr-CH/</v>
      </c>
      <c r="U285" s="57"/>
      <c r="V285" s="59"/>
      <c r="W285" s="61" t="str">
        <f>IF(Table1[[#This Row],[Distrelec]]="","", HYPERLINK(Table1[[#This Row],[Destination - Distrelec]],_xlfn.CONCAT("Link (",Table1[[#This Row],[Distrelec]],")")))</f>
        <v/>
      </c>
      <c r="X285" s="62" t="str">
        <f>_xlfn.CONCAT("https://www.distrelec.ch/search?q=",Table1[[#This Row],[Distrelec]])</f>
        <v>https://www.distrelec.ch/search?q=</v>
      </c>
      <c r="Y285" s="57"/>
      <c r="Z285" s="59"/>
      <c r="AA285" s="61" t="str">
        <f>IF(Table1[[#This Row],[Conrad]]="","", HYPERLINK(Table1[[#This Row],[Destination - Conrad]],_xlfn.CONCAT("Link (",Table1[[#This Row],[Conrad]],")")))</f>
        <v/>
      </c>
      <c r="AB285" s="62"/>
      <c r="AC285" s="57"/>
      <c r="AD285" s="59"/>
      <c r="AE285" s="61" t="str">
        <f>IF(Table1[[#This Row],[Mouser]]="","", HYPERLINK(Table1[[#This Row],[Destination - Mouser]],_xlfn.CONCAT("Link (",Table1[[#This Row],[Mouser]],")")))</f>
        <v/>
      </c>
      <c r="AF285" s="62" t="str">
        <f>_xlfn.CONCAT("https://www.mouser.ch/ProductDetail/",Table1[[#This Row],[Mouser]])</f>
        <v>https://www.mouser.ch/ProductDetail/</v>
      </c>
      <c r="AG285" s="57"/>
      <c r="AH285" s="59"/>
      <c r="AI285" s="61" t="str">
        <f>IF(Table1[[#This Row],[Bauhaus]]="","", HYPERLINK(Table1[[#This Row],[Destination - Bauhaus]],_xlfn.CONCAT("Link (",Table1[[#This Row],[Bauhaus]],")")))</f>
        <v/>
      </c>
      <c r="AJ285" s="62" t="str">
        <f>_xlfn.CONCAT("https://www.bauhaus.ch/fr/search?query=",Table1[[#This Row],[Bauhaus]])</f>
        <v>https://www.bauhaus.ch/fr/search?query=</v>
      </c>
      <c r="AK285" s="59"/>
      <c r="AL285" s="59"/>
      <c r="AM285" s="61" t="str">
        <f>IF(Table1[[#This Row],[BricoEtLoisirs]]="","", HYPERLINK(Table1[[#This Row],[Destination - BricoEtLoisirs]],_xlfn.CONCAT("Link (",Table1[[#This Row],[BricoEtLoisirs]],")")))</f>
        <v/>
      </c>
      <c r="AN285" s="62" t="str">
        <f>_xlfn.CONCAT("https://bricoetloisirs.ch/p/",Table1[[#This Row],[BricoEtLoisirs]])</f>
        <v>https://bricoetloisirs.ch/p/</v>
      </c>
      <c r="AO285" s="57"/>
      <c r="AP285" s="59"/>
      <c r="AQ285" s="61" t="str">
        <f>IF(Table1[[#This Row],[Aliexpress]]="","", HYPERLINK(Table1[[#This Row],[Destination - Aliexpress]],_xlfn.CONCAT("Link (",Table1[[#This Row],[Aliexpress]],")")))</f>
        <v/>
      </c>
      <c r="AR285" s="62" t="str">
        <f>_xlfn.CONCAT("https://www.aliexpress.com/item/",Table1[[#This Row],[Aliexpress]],".html")</f>
        <v>https://www.aliexpress.com/item/.html</v>
      </c>
      <c r="AS285" s="57"/>
      <c r="AT285" s="59"/>
      <c r="AU285" s="61" t="str">
        <f>IF(Table1[[#This Row],[Banggood]]="","", HYPERLINK(Table1[[#This Row],[Destination - Banggood]],_xlfn.CONCAT("Link (",Table1[[#This Row],[Banggood]],")")))</f>
        <v/>
      </c>
      <c r="AV285" s="62" t="str">
        <f>_xlfn.CONCAT("https://www.banggood.com/search/",Table1[[#This Row],[Banggood]],".html")</f>
        <v>https://www.banggood.com/search/.html</v>
      </c>
      <c r="AW285" s="59" t="str">
        <f>IF(Table1[[#This Row],[Other]]&lt;&gt;"","Other","")</f>
        <v/>
      </c>
      <c r="AX285" s="57"/>
      <c r="AY285" s="59"/>
      <c r="AZ285" s="61" t="str">
        <f>IF(Table1[[#This Row],[Other]]="","",IF(Table1[[#This Row],[Destination - Other]]="","",HYPERLINK(Table1[[#This Row],[Destination - Other]],_xlfn.CONCAT("Link ("&amp;Table1[[#This Row],[Other]]&amp;")"))))</f>
        <v/>
      </c>
      <c r="BA285" s="59"/>
      <c r="BB285" s="58" t="str">
        <f>IF(AND( Table1[[#This Row],[Auto Order]]=1,Table1[[#This Row],[Obsolete]]=""),IF(Table1[[#This Row],[In stock]]&lt;Table1[[#This Row],[Min in stock]],1,""),"")</f>
        <v/>
      </c>
      <c r="BC285" s="64"/>
      <c r="BD285" s="66" t="str">
        <f>IF(Table1[[#This Row],[Obsolete]],Table1[[#This Row],[Art. Number]],"")</f>
        <v/>
      </c>
    </row>
    <row r="286" spans="1:56" x14ac:dyDescent="0.25">
      <c r="A286" s="65" t="s">
        <v>1693</v>
      </c>
      <c r="B286" s="57" t="s">
        <v>168</v>
      </c>
      <c r="C286" s="57" t="s">
        <v>1694</v>
      </c>
      <c r="D286" s="57" t="s">
        <v>1695</v>
      </c>
      <c r="E286" s="57" t="s">
        <v>151</v>
      </c>
      <c r="F286" s="58">
        <v>10</v>
      </c>
      <c r="G286" s="58">
        <v>10</v>
      </c>
      <c r="H286" s="58">
        <v>1</v>
      </c>
      <c r="I28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RHM3.9KDCT-ND</v>
      </c>
      <c r="J28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(RHM3.9KDCT-ND)</v>
      </c>
      <c r="M286" s="57" t="s">
        <v>1696</v>
      </c>
      <c r="N286" s="59">
        <v>0.1</v>
      </c>
      <c r="O286" s="61" t="str">
        <f>IF(Table1[[#This Row],[Digikey]]="","", HYPERLINK(Table1[[#This Row],[Destination - Digikey]],_xlfn.CONCAT("Link (",Table1[[#This Row],[Digikey]],")")))</f>
        <v>Link (RHM3.9KDCT-ND)</v>
      </c>
      <c r="P286" s="62" t="str">
        <f>_xlfn.CONCAT("https://www.digikey.ch/products/en?keywords=",Table1[[#This Row],[Digikey]])</f>
        <v>https://www.digikey.ch/products/en?keywords=RHM3.9KDCT-ND</v>
      </c>
      <c r="Q286" s="57"/>
      <c r="R286" s="59"/>
      <c r="S286" s="61" t="str">
        <f>IF(Table1[[#This Row],[Farnell]]="","", HYPERLINK(Table1[[#This Row],[Destination - Farnell]],_xlfn.CONCAT("Link (",Table1[[#This Row],[Farnell]],")")))</f>
        <v/>
      </c>
      <c r="T286" s="62" t="str">
        <f>_xlfn.CONCAT("https://ch.farnell.com/fr-CH/",Table1[[#This Row],[Farnell]])</f>
        <v>https://ch.farnell.com/fr-CH/</v>
      </c>
      <c r="U286" s="57"/>
      <c r="V286" s="59"/>
      <c r="W286" s="61" t="str">
        <f>IF(Table1[[#This Row],[Distrelec]]="","", HYPERLINK(Table1[[#This Row],[Destination - Distrelec]],_xlfn.CONCAT("Link (",Table1[[#This Row],[Distrelec]],")")))</f>
        <v/>
      </c>
      <c r="X286" s="62" t="str">
        <f>_xlfn.CONCAT("https://www.distrelec.ch/search?q=",Table1[[#This Row],[Distrelec]])</f>
        <v>https://www.distrelec.ch/search?q=</v>
      </c>
      <c r="Y286" s="57"/>
      <c r="Z286" s="59"/>
      <c r="AA286" s="61" t="str">
        <f>IF(Table1[[#This Row],[Conrad]]="","", HYPERLINK(Table1[[#This Row],[Destination - Conrad]],_xlfn.CONCAT("Link (",Table1[[#This Row],[Conrad]],")")))</f>
        <v/>
      </c>
      <c r="AB286" s="62"/>
      <c r="AC286" s="57"/>
      <c r="AD286" s="59"/>
      <c r="AE286" s="61" t="str">
        <f>IF(Table1[[#This Row],[Mouser]]="","", HYPERLINK(Table1[[#This Row],[Destination - Mouser]],_xlfn.CONCAT("Link (",Table1[[#This Row],[Mouser]],")")))</f>
        <v/>
      </c>
      <c r="AF286" s="62" t="str">
        <f>_xlfn.CONCAT("https://www.mouser.ch/ProductDetail/",Table1[[#This Row],[Mouser]])</f>
        <v>https://www.mouser.ch/ProductDetail/</v>
      </c>
      <c r="AG286" s="57"/>
      <c r="AH286" s="59"/>
      <c r="AI286" s="61" t="str">
        <f>IF(Table1[[#This Row],[Bauhaus]]="","", HYPERLINK(Table1[[#This Row],[Destination - Bauhaus]],_xlfn.CONCAT("Link (",Table1[[#This Row],[Bauhaus]],")")))</f>
        <v/>
      </c>
      <c r="AJ286" s="62" t="str">
        <f>_xlfn.CONCAT("https://www.bauhaus.ch/fr/search?query=",Table1[[#This Row],[Bauhaus]])</f>
        <v>https://www.bauhaus.ch/fr/search?query=</v>
      </c>
      <c r="AK286" s="59"/>
      <c r="AL286" s="59"/>
      <c r="AM286" s="61" t="str">
        <f>IF(Table1[[#This Row],[BricoEtLoisirs]]="","", HYPERLINK(Table1[[#This Row],[Destination - BricoEtLoisirs]],_xlfn.CONCAT("Link (",Table1[[#This Row],[BricoEtLoisirs]],")")))</f>
        <v/>
      </c>
      <c r="AN286" s="62" t="str">
        <f>_xlfn.CONCAT("https://bricoetloisirs.ch/p/",Table1[[#This Row],[BricoEtLoisirs]])</f>
        <v>https://bricoetloisirs.ch/p/</v>
      </c>
      <c r="AO286" s="57"/>
      <c r="AP286" s="59"/>
      <c r="AQ286" s="61" t="str">
        <f>IF(Table1[[#This Row],[Aliexpress]]="","", HYPERLINK(Table1[[#This Row],[Destination - Aliexpress]],_xlfn.CONCAT("Link (",Table1[[#This Row],[Aliexpress]],")")))</f>
        <v/>
      </c>
      <c r="AR286" s="62" t="str">
        <f>_xlfn.CONCAT("https://www.aliexpress.com/item/",Table1[[#This Row],[Aliexpress]],".html")</f>
        <v>https://www.aliexpress.com/item/.html</v>
      </c>
      <c r="AS286" s="57"/>
      <c r="AT286" s="59"/>
      <c r="AU286" s="61" t="str">
        <f>IF(Table1[[#This Row],[Banggood]]="","", HYPERLINK(Table1[[#This Row],[Destination - Banggood]],_xlfn.CONCAT("Link (",Table1[[#This Row],[Banggood]],")")))</f>
        <v/>
      </c>
      <c r="AV286" s="62" t="str">
        <f>_xlfn.CONCAT("https://www.banggood.com/search/",Table1[[#This Row],[Banggood]],".html")</f>
        <v>https://www.banggood.com/search/.html</v>
      </c>
      <c r="AW286" s="59" t="str">
        <f>IF(Table1[[#This Row],[Other]]&lt;&gt;"","Other","")</f>
        <v/>
      </c>
      <c r="AX286" s="57"/>
      <c r="AY286" s="59"/>
      <c r="AZ286" s="61" t="str">
        <f>IF(Table1[[#This Row],[Other]]="","",IF(Table1[[#This Row],[Destination - Other]]="","",HYPERLINK(Table1[[#This Row],[Destination - Other]],_xlfn.CONCAT("Link ("&amp;Table1[[#This Row],[Other]]&amp;")"))))</f>
        <v/>
      </c>
      <c r="BA286" s="59"/>
      <c r="BB286" s="58" t="str">
        <f>IF(AND( Table1[[#This Row],[Auto Order]]=1,Table1[[#This Row],[Obsolete]]=""),IF(Table1[[#This Row],[In stock]]&lt;Table1[[#This Row],[Min in stock]],1,""),"")</f>
        <v/>
      </c>
      <c r="BC286" s="64"/>
      <c r="BD286" s="66" t="str">
        <f>IF(Table1[[#This Row],[Obsolete]],Table1[[#This Row],[Art. Number]],"")</f>
        <v/>
      </c>
    </row>
    <row r="287" spans="1:56" x14ac:dyDescent="0.25">
      <c r="A287" s="65" t="s">
        <v>1700</v>
      </c>
      <c r="B287" s="57" t="s">
        <v>168</v>
      </c>
      <c r="C287" s="57" t="s">
        <v>97</v>
      </c>
      <c r="D287" s="57" t="s">
        <v>1701</v>
      </c>
      <c r="E287" s="57" t="s">
        <v>151</v>
      </c>
      <c r="F287" s="58">
        <v>0</v>
      </c>
      <c r="G287" s="58"/>
      <c r="H287" s="58"/>
      <c r="I28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RHM39KDCT-ND</v>
      </c>
      <c r="J28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(RHM39KDCT-ND)</v>
      </c>
      <c r="M287" s="57" t="s">
        <v>1702</v>
      </c>
      <c r="N287" s="59">
        <v>0.1</v>
      </c>
      <c r="O287" s="61" t="str">
        <f>IF(Table1[[#This Row],[Digikey]]="","", HYPERLINK(Table1[[#This Row],[Destination - Digikey]],_xlfn.CONCAT("Link (",Table1[[#This Row],[Digikey]],")")))</f>
        <v>Link (RHM39KDCT-ND)</v>
      </c>
      <c r="P287" s="62" t="str">
        <f>_xlfn.CONCAT("https://www.digikey.ch/products/en?keywords=",Table1[[#This Row],[Digikey]])</f>
        <v>https://www.digikey.ch/products/en?keywords=RHM39KDCT-ND</v>
      </c>
      <c r="Q287" s="57"/>
      <c r="R287" s="59"/>
      <c r="S287" s="61" t="str">
        <f>IF(Table1[[#This Row],[Farnell]]="","", HYPERLINK(Table1[[#This Row],[Destination - Farnell]],_xlfn.CONCAT("Link (",Table1[[#This Row],[Farnell]],")")))</f>
        <v/>
      </c>
      <c r="T287" s="62" t="str">
        <f>_xlfn.CONCAT("https://ch.farnell.com/fr-CH/",Table1[[#This Row],[Farnell]])</f>
        <v>https://ch.farnell.com/fr-CH/</v>
      </c>
      <c r="U287" s="57"/>
      <c r="V287" s="59"/>
      <c r="W287" s="61" t="str">
        <f>IF(Table1[[#This Row],[Distrelec]]="","", HYPERLINK(Table1[[#This Row],[Destination - Distrelec]],_xlfn.CONCAT("Link (",Table1[[#This Row],[Distrelec]],")")))</f>
        <v/>
      </c>
      <c r="X287" s="62" t="str">
        <f>_xlfn.CONCAT("https://www.distrelec.ch/search?q=",Table1[[#This Row],[Distrelec]])</f>
        <v>https://www.distrelec.ch/search?q=</v>
      </c>
      <c r="Y287" s="57"/>
      <c r="Z287" s="59"/>
      <c r="AA287" s="61" t="str">
        <f>IF(Table1[[#This Row],[Conrad]]="","", HYPERLINK(Table1[[#This Row],[Destination - Conrad]],_xlfn.CONCAT("Link (",Table1[[#This Row],[Conrad]],")")))</f>
        <v/>
      </c>
      <c r="AB287" s="62"/>
      <c r="AC287" s="57"/>
      <c r="AD287" s="59"/>
      <c r="AE287" s="61" t="str">
        <f>IF(Table1[[#This Row],[Mouser]]="","", HYPERLINK(Table1[[#This Row],[Destination - Mouser]],_xlfn.CONCAT("Link (",Table1[[#This Row],[Mouser]],")")))</f>
        <v/>
      </c>
      <c r="AF287" s="62" t="str">
        <f>_xlfn.CONCAT("https://www.mouser.ch/ProductDetail/",Table1[[#This Row],[Mouser]])</f>
        <v>https://www.mouser.ch/ProductDetail/</v>
      </c>
      <c r="AG287" s="57"/>
      <c r="AH287" s="59"/>
      <c r="AI287" s="61" t="str">
        <f>IF(Table1[[#This Row],[Bauhaus]]="","", HYPERLINK(Table1[[#This Row],[Destination - Bauhaus]],_xlfn.CONCAT("Link (",Table1[[#This Row],[Bauhaus]],")")))</f>
        <v/>
      </c>
      <c r="AJ287" s="62" t="str">
        <f>_xlfn.CONCAT("https://www.bauhaus.ch/fr/search?query=",Table1[[#This Row],[Bauhaus]])</f>
        <v>https://www.bauhaus.ch/fr/search?query=</v>
      </c>
      <c r="AK287" s="59"/>
      <c r="AL287" s="59"/>
      <c r="AM287" s="61" t="str">
        <f>IF(Table1[[#This Row],[BricoEtLoisirs]]="","", HYPERLINK(Table1[[#This Row],[Destination - BricoEtLoisirs]],_xlfn.CONCAT("Link (",Table1[[#This Row],[BricoEtLoisirs]],")")))</f>
        <v/>
      </c>
      <c r="AN287" s="62" t="str">
        <f>_xlfn.CONCAT("https://bricoetloisirs.ch/p/",Table1[[#This Row],[BricoEtLoisirs]])</f>
        <v>https://bricoetloisirs.ch/p/</v>
      </c>
      <c r="AO287" s="57"/>
      <c r="AP287" s="59"/>
      <c r="AQ287" s="61" t="str">
        <f>IF(Table1[[#This Row],[Aliexpress]]="","", HYPERLINK(Table1[[#This Row],[Destination - Aliexpress]],_xlfn.CONCAT("Link (",Table1[[#This Row],[Aliexpress]],")")))</f>
        <v/>
      </c>
      <c r="AR287" s="62" t="str">
        <f>_xlfn.CONCAT("https://www.aliexpress.com/item/",Table1[[#This Row],[Aliexpress]],".html")</f>
        <v>https://www.aliexpress.com/item/.html</v>
      </c>
      <c r="AS287" s="57"/>
      <c r="AT287" s="59"/>
      <c r="AU287" s="61" t="str">
        <f>IF(Table1[[#This Row],[Banggood]]="","", HYPERLINK(Table1[[#This Row],[Destination - Banggood]],_xlfn.CONCAT("Link (",Table1[[#This Row],[Banggood]],")")))</f>
        <v/>
      </c>
      <c r="AV287" s="62" t="str">
        <f>_xlfn.CONCAT("https://www.banggood.com/search/",Table1[[#This Row],[Banggood]],".html")</f>
        <v>https://www.banggood.com/search/.html</v>
      </c>
      <c r="AW287" s="59" t="str">
        <f>IF(Table1[[#This Row],[Other]]&lt;&gt;"","Other","")</f>
        <v/>
      </c>
      <c r="AX287" s="57"/>
      <c r="AY287" s="59"/>
      <c r="AZ287" s="61" t="str">
        <f>IF(Table1[[#This Row],[Other]]="","",IF(Table1[[#This Row],[Destination - Other]]="","",HYPERLINK(Table1[[#This Row],[Destination - Other]],_xlfn.CONCAT("Link ("&amp;Table1[[#This Row],[Other]]&amp;")"))))</f>
        <v/>
      </c>
      <c r="BA287" s="59"/>
      <c r="BB287" s="58" t="str">
        <f>IF(AND( Table1[[#This Row],[Auto Order]]=1,Table1[[#This Row],[Obsolete]]=""),IF(Table1[[#This Row],[In stock]]&lt;Table1[[#This Row],[Min in stock]],1,""),"")</f>
        <v/>
      </c>
      <c r="BC287" s="64"/>
      <c r="BD287" s="66" t="str">
        <f>IF(Table1[[#This Row],[Obsolete]],Table1[[#This Row],[Art. Number]],"")</f>
        <v/>
      </c>
    </row>
    <row r="288" spans="1:56" x14ac:dyDescent="0.25">
      <c r="A288" s="65" t="s">
        <v>1706</v>
      </c>
      <c r="B288" s="57" t="s">
        <v>168</v>
      </c>
      <c r="C288" s="57" t="s">
        <v>97</v>
      </c>
      <c r="D288" s="57" t="s">
        <v>1707</v>
      </c>
      <c r="E288" s="57" t="s">
        <v>151</v>
      </c>
      <c r="F288" s="58">
        <v>0</v>
      </c>
      <c r="G288" s="58"/>
      <c r="H288" s="58"/>
      <c r="I28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RHM390KDCT-ND</v>
      </c>
      <c r="J28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(RHM390KDCT-ND)</v>
      </c>
      <c r="M288" s="57" t="s">
        <v>1708</v>
      </c>
      <c r="N288" s="59">
        <v>0.1</v>
      </c>
      <c r="O288" s="61" t="str">
        <f>IF(Table1[[#This Row],[Digikey]]="","", HYPERLINK(Table1[[#This Row],[Destination - Digikey]],_xlfn.CONCAT("Link (",Table1[[#This Row],[Digikey]],")")))</f>
        <v>Link (RHM390KDCT-ND)</v>
      </c>
      <c r="P288" s="62" t="str">
        <f>_xlfn.CONCAT("https://www.digikey.ch/products/en?keywords=",Table1[[#This Row],[Digikey]])</f>
        <v>https://www.digikey.ch/products/en?keywords=RHM390KDCT-ND</v>
      </c>
      <c r="Q288" s="57"/>
      <c r="R288" s="59"/>
      <c r="S288" s="61" t="str">
        <f>IF(Table1[[#This Row],[Farnell]]="","", HYPERLINK(Table1[[#This Row],[Destination - Farnell]],_xlfn.CONCAT("Link (",Table1[[#This Row],[Farnell]],")")))</f>
        <v/>
      </c>
      <c r="T288" s="62" t="str">
        <f>_xlfn.CONCAT("https://ch.farnell.com/fr-CH/",Table1[[#This Row],[Farnell]])</f>
        <v>https://ch.farnell.com/fr-CH/</v>
      </c>
      <c r="U288" s="57"/>
      <c r="V288" s="59"/>
      <c r="W288" s="61" t="str">
        <f>IF(Table1[[#This Row],[Distrelec]]="","", HYPERLINK(Table1[[#This Row],[Destination - Distrelec]],_xlfn.CONCAT("Link (",Table1[[#This Row],[Distrelec]],")")))</f>
        <v/>
      </c>
      <c r="X288" s="62" t="str">
        <f>_xlfn.CONCAT("https://www.distrelec.ch/search?q=",Table1[[#This Row],[Distrelec]])</f>
        <v>https://www.distrelec.ch/search?q=</v>
      </c>
      <c r="Y288" s="57"/>
      <c r="Z288" s="59"/>
      <c r="AA288" s="61" t="str">
        <f>IF(Table1[[#This Row],[Conrad]]="","", HYPERLINK(Table1[[#This Row],[Destination - Conrad]],_xlfn.CONCAT("Link (",Table1[[#This Row],[Conrad]],")")))</f>
        <v/>
      </c>
      <c r="AB288" s="62"/>
      <c r="AC288" s="57"/>
      <c r="AD288" s="59"/>
      <c r="AE288" s="61" t="str">
        <f>IF(Table1[[#This Row],[Mouser]]="","", HYPERLINK(Table1[[#This Row],[Destination - Mouser]],_xlfn.CONCAT("Link (",Table1[[#This Row],[Mouser]],")")))</f>
        <v/>
      </c>
      <c r="AF288" s="62" t="str">
        <f>_xlfn.CONCAT("https://www.mouser.ch/ProductDetail/",Table1[[#This Row],[Mouser]])</f>
        <v>https://www.mouser.ch/ProductDetail/</v>
      </c>
      <c r="AG288" s="57"/>
      <c r="AH288" s="59"/>
      <c r="AI288" s="61" t="str">
        <f>IF(Table1[[#This Row],[Bauhaus]]="","", HYPERLINK(Table1[[#This Row],[Destination - Bauhaus]],_xlfn.CONCAT("Link (",Table1[[#This Row],[Bauhaus]],")")))</f>
        <v/>
      </c>
      <c r="AJ288" s="62" t="str">
        <f>_xlfn.CONCAT("https://www.bauhaus.ch/fr/search?query=",Table1[[#This Row],[Bauhaus]])</f>
        <v>https://www.bauhaus.ch/fr/search?query=</v>
      </c>
      <c r="AK288" s="59"/>
      <c r="AL288" s="59"/>
      <c r="AM288" s="61" t="str">
        <f>IF(Table1[[#This Row],[BricoEtLoisirs]]="","", HYPERLINK(Table1[[#This Row],[Destination - BricoEtLoisirs]],_xlfn.CONCAT("Link (",Table1[[#This Row],[BricoEtLoisirs]],")")))</f>
        <v/>
      </c>
      <c r="AN288" s="62" t="str">
        <f>_xlfn.CONCAT("https://bricoetloisirs.ch/p/",Table1[[#This Row],[BricoEtLoisirs]])</f>
        <v>https://bricoetloisirs.ch/p/</v>
      </c>
      <c r="AO288" s="57"/>
      <c r="AP288" s="59"/>
      <c r="AQ288" s="61" t="str">
        <f>IF(Table1[[#This Row],[Aliexpress]]="","", HYPERLINK(Table1[[#This Row],[Destination - Aliexpress]],_xlfn.CONCAT("Link (",Table1[[#This Row],[Aliexpress]],")")))</f>
        <v/>
      </c>
      <c r="AR288" s="62" t="str">
        <f>_xlfn.CONCAT("https://www.aliexpress.com/item/",Table1[[#This Row],[Aliexpress]],".html")</f>
        <v>https://www.aliexpress.com/item/.html</v>
      </c>
      <c r="AS288" s="57"/>
      <c r="AT288" s="59"/>
      <c r="AU288" s="61" t="str">
        <f>IF(Table1[[#This Row],[Banggood]]="","", HYPERLINK(Table1[[#This Row],[Destination - Banggood]],_xlfn.CONCAT("Link (",Table1[[#This Row],[Banggood]],")")))</f>
        <v/>
      </c>
      <c r="AV288" s="62" t="str">
        <f>_xlfn.CONCAT("https://www.banggood.com/search/",Table1[[#This Row],[Banggood]],".html")</f>
        <v>https://www.banggood.com/search/.html</v>
      </c>
      <c r="AW288" s="59" t="str">
        <f>IF(Table1[[#This Row],[Other]]&lt;&gt;"","Other","")</f>
        <v/>
      </c>
      <c r="AX288" s="57"/>
      <c r="AY288" s="59"/>
      <c r="AZ288" s="61" t="str">
        <f>IF(Table1[[#This Row],[Other]]="","",IF(Table1[[#This Row],[Destination - Other]]="","",HYPERLINK(Table1[[#This Row],[Destination - Other]],_xlfn.CONCAT("Link ("&amp;Table1[[#This Row],[Other]]&amp;")"))))</f>
        <v/>
      </c>
      <c r="BA288" s="59"/>
      <c r="BB288" s="58" t="str">
        <f>IF(AND( Table1[[#This Row],[Auto Order]]=1,Table1[[#This Row],[Obsolete]]=""),IF(Table1[[#This Row],[In stock]]&lt;Table1[[#This Row],[Min in stock]],1,""),"")</f>
        <v/>
      </c>
      <c r="BC288" s="64"/>
      <c r="BD288" s="66" t="str">
        <f>IF(Table1[[#This Row],[Obsolete]],Table1[[#This Row],[Art. Number]],"")</f>
        <v/>
      </c>
    </row>
    <row r="289" spans="1:56" x14ac:dyDescent="0.25">
      <c r="A289" s="65" t="s">
        <v>1712</v>
      </c>
      <c r="B289" s="57" t="s">
        <v>168</v>
      </c>
      <c r="C289" s="57" t="s">
        <v>97</v>
      </c>
      <c r="D289" s="57" t="s">
        <v>1713</v>
      </c>
      <c r="E289" s="57" t="s">
        <v>151</v>
      </c>
      <c r="F289" s="58">
        <v>0</v>
      </c>
      <c r="G289" s="58"/>
      <c r="H289" s="58"/>
      <c r="I28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RHM3.9MDCT-ND</v>
      </c>
      <c r="J28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8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8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(RHM3.9MDCT-ND)</v>
      </c>
      <c r="M289" s="57" t="s">
        <v>1714</v>
      </c>
      <c r="N289" s="59">
        <v>0.1</v>
      </c>
      <c r="O289" s="61" t="str">
        <f>IF(Table1[[#This Row],[Digikey]]="","", HYPERLINK(Table1[[#This Row],[Destination - Digikey]],_xlfn.CONCAT("Link (",Table1[[#This Row],[Digikey]],")")))</f>
        <v>Link (RHM3.9MDCT-ND)</v>
      </c>
      <c r="P289" s="62" t="str">
        <f>_xlfn.CONCAT("https://www.digikey.ch/products/en?keywords=",Table1[[#This Row],[Digikey]])</f>
        <v>https://www.digikey.ch/products/en?keywords=RHM3.9MDCT-ND</v>
      </c>
      <c r="Q289" s="57"/>
      <c r="R289" s="59"/>
      <c r="S289" s="61" t="str">
        <f>IF(Table1[[#This Row],[Farnell]]="","", HYPERLINK(Table1[[#This Row],[Destination - Farnell]],_xlfn.CONCAT("Link (",Table1[[#This Row],[Farnell]],")")))</f>
        <v/>
      </c>
      <c r="T289" s="62" t="str">
        <f>_xlfn.CONCAT("https://ch.farnell.com/fr-CH/",Table1[[#This Row],[Farnell]])</f>
        <v>https://ch.farnell.com/fr-CH/</v>
      </c>
      <c r="U289" s="57"/>
      <c r="V289" s="59"/>
      <c r="W289" s="61" t="str">
        <f>IF(Table1[[#This Row],[Distrelec]]="","", HYPERLINK(Table1[[#This Row],[Destination - Distrelec]],_xlfn.CONCAT("Link (",Table1[[#This Row],[Distrelec]],")")))</f>
        <v/>
      </c>
      <c r="X289" s="62" t="str">
        <f>_xlfn.CONCAT("https://www.distrelec.ch/search?q=",Table1[[#This Row],[Distrelec]])</f>
        <v>https://www.distrelec.ch/search?q=</v>
      </c>
      <c r="Y289" s="57"/>
      <c r="Z289" s="59"/>
      <c r="AA289" s="61" t="str">
        <f>IF(Table1[[#This Row],[Conrad]]="","", HYPERLINK(Table1[[#This Row],[Destination - Conrad]],_xlfn.CONCAT("Link (",Table1[[#This Row],[Conrad]],")")))</f>
        <v/>
      </c>
      <c r="AB289" s="62"/>
      <c r="AC289" s="57"/>
      <c r="AD289" s="59"/>
      <c r="AE289" s="61" t="str">
        <f>IF(Table1[[#This Row],[Mouser]]="","", HYPERLINK(Table1[[#This Row],[Destination - Mouser]],_xlfn.CONCAT("Link (",Table1[[#This Row],[Mouser]],")")))</f>
        <v/>
      </c>
      <c r="AF289" s="62" t="str">
        <f>_xlfn.CONCAT("https://www.mouser.ch/ProductDetail/",Table1[[#This Row],[Mouser]])</f>
        <v>https://www.mouser.ch/ProductDetail/</v>
      </c>
      <c r="AG289" s="57"/>
      <c r="AH289" s="59"/>
      <c r="AI289" s="61" t="str">
        <f>IF(Table1[[#This Row],[Bauhaus]]="","", HYPERLINK(Table1[[#This Row],[Destination - Bauhaus]],_xlfn.CONCAT("Link (",Table1[[#This Row],[Bauhaus]],")")))</f>
        <v/>
      </c>
      <c r="AJ289" s="62" t="str">
        <f>_xlfn.CONCAT("https://www.bauhaus.ch/fr/search?query=",Table1[[#This Row],[Bauhaus]])</f>
        <v>https://www.bauhaus.ch/fr/search?query=</v>
      </c>
      <c r="AK289" s="59"/>
      <c r="AL289" s="59"/>
      <c r="AM289" s="61" t="str">
        <f>IF(Table1[[#This Row],[BricoEtLoisirs]]="","", HYPERLINK(Table1[[#This Row],[Destination - BricoEtLoisirs]],_xlfn.CONCAT("Link (",Table1[[#This Row],[BricoEtLoisirs]],")")))</f>
        <v/>
      </c>
      <c r="AN289" s="62" t="str">
        <f>_xlfn.CONCAT("https://bricoetloisirs.ch/p/",Table1[[#This Row],[BricoEtLoisirs]])</f>
        <v>https://bricoetloisirs.ch/p/</v>
      </c>
      <c r="AO289" s="57"/>
      <c r="AP289" s="59"/>
      <c r="AQ289" s="61" t="str">
        <f>IF(Table1[[#This Row],[Aliexpress]]="","", HYPERLINK(Table1[[#This Row],[Destination - Aliexpress]],_xlfn.CONCAT("Link (",Table1[[#This Row],[Aliexpress]],")")))</f>
        <v/>
      </c>
      <c r="AR289" s="62" t="str">
        <f>_xlfn.CONCAT("https://www.aliexpress.com/item/",Table1[[#This Row],[Aliexpress]],".html")</f>
        <v>https://www.aliexpress.com/item/.html</v>
      </c>
      <c r="AS289" s="57"/>
      <c r="AT289" s="59"/>
      <c r="AU289" s="61" t="str">
        <f>IF(Table1[[#This Row],[Banggood]]="","", HYPERLINK(Table1[[#This Row],[Destination - Banggood]],_xlfn.CONCAT("Link (",Table1[[#This Row],[Banggood]],")")))</f>
        <v/>
      </c>
      <c r="AV289" s="62" t="str">
        <f>_xlfn.CONCAT("https://www.banggood.com/search/",Table1[[#This Row],[Banggood]],".html")</f>
        <v>https://www.banggood.com/search/.html</v>
      </c>
      <c r="AW289" s="59" t="str">
        <f>IF(Table1[[#This Row],[Other]]&lt;&gt;"","Other","")</f>
        <v/>
      </c>
      <c r="AX289" s="57"/>
      <c r="AY289" s="59"/>
      <c r="AZ289" s="61" t="str">
        <f>IF(Table1[[#This Row],[Other]]="","",IF(Table1[[#This Row],[Destination - Other]]="","",HYPERLINK(Table1[[#This Row],[Destination - Other]],_xlfn.CONCAT("Link ("&amp;Table1[[#This Row],[Other]]&amp;")"))))</f>
        <v/>
      </c>
      <c r="BA289" s="59"/>
      <c r="BB289" s="58" t="str">
        <f>IF(AND( Table1[[#This Row],[Auto Order]]=1,Table1[[#This Row],[Obsolete]]=""),IF(Table1[[#This Row],[In stock]]&lt;Table1[[#This Row],[Min in stock]],1,""),"")</f>
        <v/>
      </c>
      <c r="BC289" s="64"/>
      <c r="BD289" s="66" t="str">
        <f>IF(Table1[[#This Row],[Obsolete]],Table1[[#This Row],[Art. Number]],"")</f>
        <v/>
      </c>
    </row>
    <row r="290" spans="1:56" x14ac:dyDescent="0.25">
      <c r="A290" s="65" t="s">
        <v>1718</v>
      </c>
      <c r="B290" s="57" t="s">
        <v>168</v>
      </c>
      <c r="C290" s="57" t="s">
        <v>97</v>
      </c>
      <c r="D290" s="57" t="s">
        <v>1719</v>
      </c>
      <c r="E290" s="57" t="s">
        <v>151</v>
      </c>
      <c r="F290" s="58">
        <v>0</v>
      </c>
      <c r="G290" s="58"/>
      <c r="H290" s="58"/>
      <c r="I29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RHM3DCT-ND</v>
      </c>
      <c r="J29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(RHM3DCT-ND)</v>
      </c>
      <c r="M290" s="57" t="s">
        <v>1720</v>
      </c>
      <c r="N290" s="59">
        <v>0.1</v>
      </c>
      <c r="O290" s="61" t="str">
        <f>IF(Table1[[#This Row],[Digikey]]="","", HYPERLINK(Table1[[#This Row],[Destination - Digikey]],_xlfn.CONCAT("Link (",Table1[[#This Row],[Digikey]],")")))</f>
        <v>Link (RHM3DCT-ND)</v>
      </c>
      <c r="P290" s="62" t="str">
        <f>_xlfn.CONCAT("https://www.digikey.ch/products/en?keywords=",Table1[[#This Row],[Digikey]])</f>
        <v>https://www.digikey.ch/products/en?keywords=RHM3DCT-ND</v>
      </c>
      <c r="Q290" s="57"/>
      <c r="R290" s="59"/>
      <c r="S290" s="61" t="str">
        <f>IF(Table1[[#This Row],[Farnell]]="","", HYPERLINK(Table1[[#This Row],[Destination - Farnell]],_xlfn.CONCAT("Link (",Table1[[#This Row],[Farnell]],")")))</f>
        <v/>
      </c>
      <c r="T290" s="62" t="str">
        <f>_xlfn.CONCAT("https://ch.farnell.com/fr-CH/",Table1[[#This Row],[Farnell]])</f>
        <v>https://ch.farnell.com/fr-CH/</v>
      </c>
      <c r="U290" s="57"/>
      <c r="V290" s="59"/>
      <c r="W290" s="61" t="str">
        <f>IF(Table1[[#This Row],[Distrelec]]="","", HYPERLINK(Table1[[#This Row],[Destination - Distrelec]],_xlfn.CONCAT("Link (",Table1[[#This Row],[Distrelec]],")")))</f>
        <v/>
      </c>
      <c r="X290" s="62" t="str">
        <f>_xlfn.CONCAT("https://www.distrelec.ch/search?q=",Table1[[#This Row],[Distrelec]])</f>
        <v>https://www.distrelec.ch/search?q=</v>
      </c>
      <c r="Y290" s="57"/>
      <c r="Z290" s="59"/>
      <c r="AA290" s="61" t="str">
        <f>IF(Table1[[#This Row],[Conrad]]="","", HYPERLINK(Table1[[#This Row],[Destination - Conrad]],_xlfn.CONCAT("Link (",Table1[[#This Row],[Conrad]],")")))</f>
        <v/>
      </c>
      <c r="AB290" s="62"/>
      <c r="AC290" s="57"/>
      <c r="AD290" s="59"/>
      <c r="AE290" s="61" t="str">
        <f>IF(Table1[[#This Row],[Mouser]]="","", HYPERLINK(Table1[[#This Row],[Destination - Mouser]],_xlfn.CONCAT("Link (",Table1[[#This Row],[Mouser]],")")))</f>
        <v/>
      </c>
      <c r="AF290" s="62" t="str">
        <f>_xlfn.CONCAT("https://www.mouser.ch/ProductDetail/",Table1[[#This Row],[Mouser]])</f>
        <v>https://www.mouser.ch/ProductDetail/</v>
      </c>
      <c r="AG290" s="57"/>
      <c r="AH290" s="59"/>
      <c r="AI290" s="61" t="str">
        <f>IF(Table1[[#This Row],[Bauhaus]]="","", HYPERLINK(Table1[[#This Row],[Destination - Bauhaus]],_xlfn.CONCAT("Link (",Table1[[#This Row],[Bauhaus]],")")))</f>
        <v/>
      </c>
      <c r="AJ290" s="62" t="str">
        <f>_xlfn.CONCAT("https://www.bauhaus.ch/fr/search?query=",Table1[[#This Row],[Bauhaus]])</f>
        <v>https://www.bauhaus.ch/fr/search?query=</v>
      </c>
      <c r="AK290" s="59"/>
      <c r="AL290" s="59"/>
      <c r="AM290" s="61" t="str">
        <f>IF(Table1[[#This Row],[BricoEtLoisirs]]="","", HYPERLINK(Table1[[#This Row],[Destination - BricoEtLoisirs]],_xlfn.CONCAT("Link (",Table1[[#This Row],[BricoEtLoisirs]],")")))</f>
        <v/>
      </c>
      <c r="AN290" s="62" t="str">
        <f>_xlfn.CONCAT("https://bricoetloisirs.ch/p/",Table1[[#This Row],[BricoEtLoisirs]])</f>
        <v>https://bricoetloisirs.ch/p/</v>
      </c>
      <c r="AO290" s="57"/>
      <c r="AP290" s="59"/>
      <c r="AQ290" s="61" t="str">
        <f>IF(Table1[[#This Row],[Aliexpress]]="","", HYPERLINK(Table1[[#This Row],[Destination - Aliexpress]],_xlfn.CONCAT("Link (",Table1[[#This Row],[Aliexpress]],")")))</f>
        <v/>
      </c>
      <c r="AR290" s="62" t="str">
        <f>_xlfn.CONCAT("https://www.aliexpress.com/item/",Table1[[#This Row],[Aliexpress]],".html")</f>
        <v>https://www.aliexpress.com/item/.html</v>
      </c>
      <c r="AS290" s="57"/>
      <c r="AT290" s="59"/>
      <c r="AU290" s="61" t="str">
        <f>IF(Table1[[#This Row],[Banggood]]="","", HYPERLINK(Table1[[#This Row],[Destination - Banggood]],_xlfn.CONCAT("Link (",Table1[[#This Row],[Banggood]],")")))</f>
        <v/>
      </c>
      <c r="AV290" s="62" t="str">
        <f>_xlfn.CONCAT("https://www.banggood.com/search/",Table1[[#This Row],[Banggood]],".html")</f>
        <v>https://www.banggood.com/search/.html</v>
      </c>
      <c r="AW290" s="59" t="str">
        <f>IF(Table1[[#This Row],[Other]]&lt;&gt;"","Other","")</f>
        <v/>
      </c>
      <c r="AX290" s="57"/>
      <c r="AY290" s="59"/>
      <c r="AZ290" s="61" t="str">
        <f>IF(Table1[[#This Row],[Other]]="","",IF(Table1[[#This Row],[Destination - Other]]="","",HYPERLINK(Table1[[#This Row],[Destination - Other]],_xlfn.CONCAT("Link ("&amp;Table1[[#This Row],[Other]]&amp;")"))))</f>
        <v/>
      </c>
      <c r="BA290" s="59"/>
      <c r="BB290" s="58" t="str">
        <f>IF(AND( Table1[[#This Row],[Auto Order]]=1,Table1[[#This Row],[Obsolete]]=""),IF(Table1[[#This Row],[In stock]]&lt;Table1[[#This Row],[Min in stock]],1,""),"")</f>
        <v/>
      </c>
      <c r="BC290" s="64"/>
      <c r="BD290" s="66" t="str">
        <f>IF(Table1[[#This Row],[Obsolete]],Table1[[#This Row],[Art. Number]],"")</f>
        <v/>
      </c>
    </row>
    <row r="291" spans="1:56" x14ac:dyDescent="0.25">
      <c r="A291" s="65" t="s">
        <v>1724</v>
      </c>
      <c r="B291" s="57" t="s">
        <v>168</v>
      </c>
      <c r="C291" s="57" t="s">
        <v>97</v>
      </c>
      <c r="D291" s="57" t="s">
        <v>1725</v>
      </c>
      <c r="E291" s="57" t="s">
        <v>151</v>
      </c>
      <c r="F291" s="58">
        <v>0</v>
      </c>
      <c r="G291" s="58"/>
      <c r="H291" s="58"/>
      <c r="I29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RHM303DCT-ND</v>
      </c>
      <c r="J29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(RHM303DCT-ND)</v>
      </c>
      <c r="M291" s="57" t="s">
        <v>1726</v>
      </c>
      <c r="N291" s="59">
        <v>0.1</v>
      </c>
      <c r="O291" s="61" t="str">
        <f>IF(Table1[[#This Row],[Digikey]]="","", HYPERLINK(Table1[[#This Row],[Destination - Digikey]],_xlfn.CONCAT("Link (",Table1[[#This Row],[Digikey]],")")))</f>
        <v>Link (RHM303DCT-ND)</v>
      </c>
      <c r="P291" s="62" t="str">
        <f>_xlfn.CONCAT("https://www.digikey.ch/products/en?keywords=",Table1[[#This Row],[Digikey]])</f>
        <v>https://www.digikey.ch/products/en?keywords=RHM303DCT-ND</v>
      </c>
      <c r="Q291" s="57"/>
      <c r="R291" s="59"/>
      <c r="S291" s="61" t="str">
        <f>IF(Table1[[#This Row],[Farnell]]="","", HYPERLINK(Table1[[#This Row],[Destination - Farnell]],_xlfn.CONCAT("Link (",Table1[[#This Row],[Farnell]],")")))</f>
        <v/>
      </c>
      <c r="T291" s="62" t="str">
        <f>_xlfn.CONCAT("https://ch.farnell.com/fr-CH/",Table1[[#This Row],[Farnell]])</f>
        <v>https://ch.farnell.com/fr-CH/</v>
      </c>
      <c r="U291" s="57"/>
      <c r="V291" s="59"/>
      <c r="W291" s="61" t="str">
        <f>IF(Table1[[#This Row],[Distrelec]]="","", HYPERLINK(Table1[[#This Row],[Destination - Distrelec]],_xlfn.CONCAT("Link (",Table1[[#This Row],[Distrelec]],")")))</f>
        <v/>
      </c>
      <c r="X291" s="62" t="str">
        <f>_xlfn.CONCAT("https://www.distrelec.ch/search?q=",Table1[[#This Row],[Distrelec]])</f>
        <v>https://www.distrelec.ch/search?q=</v>
      </c>
      <c r="Y291" s="57"/>
      <c r="Z291" s="59"/>
      <c r="AA291" s="61" t="str">
        <f>IF(Table1[[#This Row],[Conrad]]="","", HYPERLINK(Table1[[#This Row],[Destination - Conrad]],_xlfn.CONCAT("Link (",Table1[[#This Row],[Conrad]],")")))</f>
        <v/>
      </c>
      <c r="AB291" s="62"/>
      <c r="AC291" s="57"/>
      <c r="AD291" s="59"/>
      <c r="AE291" s="61" t="str">
        <f>IF(Table1[[#This Row],[Mouser]]="","", HYPERLINK(Table1[[#This Row],[Destination - Mouser]],_xlfn.CONCAT("Link (",Table1[[#This Row],[Mouser]],")")))</f>
        <v/>
      </c>
      <c r="AF291" s="62" t="str">
        <f>_xlfn.CONCAT("https://www.mouser.ch/ProductDetail/",Table1[[#This Row],[Mouser]])</f>
        <v>https://www.mouser.ch/ProductDetail/</v>
      </c>
      <c r="AG291" s="57"/>
      <c r="AH291" s="59"/>
      <c r="AI291" s="61" t="str">
        <f>IF(Table1[[#This Row],[Bauhaus]]="","", HYPERLINK(Table1[[#This Row],[Destination - Bauhaus]],_xlfn.CONCAT("Link (",Table1[[#This Row],[Bauhaus]],")")))</f>
        <v/>
      </c>
      <c r="AJ291" s="62" t="str">
        <f>_xlfn.CONCAT("https://www.bauhaus.ch/fr/search?query=",Table1[[#This Row],[Bauhaus]])</f>
        <v>https://www.bauhaus.ch/fr/search?query=</v>
      </c>
      <c r="AK291" s="59"/>
      <c r="AL291" s="59"/>
      <c r="AM291" s="61" t="str">
        <f>IF(Table1[[#This Row],[BricoEtLoisirs]]="","", HYPERLINK(Table1[[#This Row],[Destination - BricoEtLoisirs]],_xlfn.CONCAT("Link (",Table1[[#This Row],[BricoEtLoisirs]],")")))</f>
        <v/>
      </c>
      <c r="AN291" s="62" t="str">
        <f>_xlfn.CONCAT("https://bricoetloisirs.ch/p/",Table1[[#This Row],[BricoEtLoisirs]])</f>
        <v>https://bricoetloisirs.ch/p/</v>
      </c>
      <c r="AO291" s="57"/>
      <c r="AP291" s="59"/>
      <c r="AQ291" s="61" t="str">
        <f>IF(Table1[[#This Row],[Aliexpress]]="","", HYPERLINK(Table1[[#This Row],[Destination - Aliexpress]],_xlfn.CONCAT("Link (",Table1[[#This Row],[Aliexpress]],")")))</f>
        <v/>
      </c>
      <c r="AR291" s="62" t="str">
        <f>_xlfn.CONCAT("https://www.aliexpress.com/item/",Table1[[#This Row],[Aliexpress]],".html")</f>
        <v>https://www.aliexpress.com/item/.html</v>
      </c>
      <c r="AS291" s="57"/>
      <c r="AT291" s="59"/>
      <c r="AU291" s="61" t="str">
        <f>IF(Table1[[#This Row],[Banggood]]="","", HYPERLINK(Table1[[#This Row],[Destination - Banggood]],_xlfn.CONCAT("Link (",Table1[[#This Row],[Banggood]],")")))</f>
        <v/>
      </c>
      <c r="AV291" s="62" t="str">
        <f>_xlfn.CONCAT("https://www.banggood.com/search/",Table1[[#This Row],[Banggood]],".html")</f>
        <v>https://www.banggood.com/search/.html</v>
      </c>
      <c r="AW291" s="59" t="str">
        <f>IF(Table1[[#This Row],[Other]]&lt;&gt;"","Other","")</f>
        <v/>
      </c>
      <c r="AX291" s="57"/>
      <c r="AY291" s="59"/>
      <c r="AZ291" s="61" t="str">
        <f>IF(Table1[[#This Row],[Other]]="","",IF(Table1[[#This Row],[Destination - Other]]="","",HYPERLINK(Table1[[#This Row],[Destination - Other]],_xlfn.CONCAT("Link ("&amp;Table1[[#This Row],[Other]]&amp;")"))))</f>
        <v/>
      </c>
      <c r="BA291" s="59"/>
      <c r="BB291" s="58" t="str">
        <f>IF(AND( Table1[[#This Row],[Auto Order]]=1,Table1[[#This Row],[Obsolete]]=""),IF(Table1[[#This Row],[In stock]]&lt;Table1[[#This Row],[Min in stock]],1,""),"")</f>
        <v/>
      </c>
      <c r="BC291" s="64"/>
      <c r="BD291" s="66" t="str">
        <f>IF(Table1[[#This Row],[Obsolete]],Table1[[#This Row],[Art. Number]],"")</f>
        <v/>
      </c>
    </row>
    <row r="292" spans="1:56" x14ac:dyDescent="0.25">
      <c r="A292" s="65" t="s">
        <v>1730</v>
      </c>
      <c r="B292" s="57" t="s">
        <v>168</v>
      </c>
      <c r="C292" s="57" t="s">
        <v>97</v>
      </c>
      <c r="D292" s="57" t="s">
        <v>1731</v>
      </c>
      <c r="E292" s="57" t="s">
        <v>151</v>
      </c>
      <c r="F292" s="58">
        <v>0</v>
      </c>
      <c r="G292" s="58"/>
      <c r="H292" s="58"/>
      <c r="I29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RHM3.6DCT-ND</v>
      </c>
      <c r="J29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(RHM3.6DCT-ND)</v>
      </c>
      <c r="M292" s="57" t="s">
        <v>1732</v>
      </c>
      <c r="N292" s="59">
        <v>0.1</v>
      </c>
      <c r="O292" s="61" t="str">
        <f>IF(Table1[[#This Row],[Digikey]]="","", HYPERLINK(Table1[[#This Row],[Destination - Digikey]],_xlfn.CONCAT("Link (",Table1[[#This Row],[Digikey]],")")))</f>
        <v>Link (RHM3.6DCT-ND)</v>
      </c>
      <c r="P292" s="62" t="str">
        <f>_xlfn.CONCAT("https://www.digikey.ch/products/en?keywords=",Table1[[#This Row],[Digikey]])</f>
        <v>https://www.digikey.ch/products/en?keywords=RHM3.6DCT-ND</v>
      </c>
      <c r="Q292" s="57"/>
      <c r="R292" s="59"/>
      <c r="S292" s="61" t="str">
        <f>IF(Table1[[#This Row],[Farnell]]="","", HYPERLINK(Table1[[#This Row],[Destination - Farnell]],_xlfn.CONCAT("Link (",Table1[[#This Row],[Farnell]],")")))</f>
        <v/>
      </c>
      <c r="T292" s="62" t="str">
        <f>_xlfn.CONCAT("https://ch.farnell.com/fr-CH/",Table1[[#This Row],[Farnell]])</f>
        <v>https://ch.farnell.com/fr-CH/</v>
      </c>
      <c r="U292" s="57"/>
      <c r="V292" s="59"/>
      <c r="W292" s="61" t="str">
        <f>IF(Table1[[#This Row],[Distrelec]]="","", HYPERLINK(Table1[[#This Row],[Destination - Distrelec]],_xlfn.CONCAT("Link (",Table1[[#This Row],[Distrelec]],")")))</f>
        <v/>
      </c>
      <c r="X292" s="62" t="str">
        <f>_xlfn.CONCAT("https://www.distrelec.ch/search?q=",Table1[[#This Row],[Distrelec]])</f>
        <v>https://www.distrelec.ch/search?q=</v>
      </c>
      <c r="Y292" s="57"/>
      <c r="Z292" s="59"/>
      <c r="AA292" s="61" t="str">
        <f>IF(Table1[[#This Row],[Conrad]]="","", HYPERLINK(Table1[[#This Row],[Destination - Conrad]],_xlfn.CONCAT("Link (",Table1[[#This Row],[Conrad]],")")))</f>
        <v/>
      </c>
      <c r="AB292" s="62"/>
      <c r="AC292" s="57"/>
      <c r="AD292" s="59"/>
      <c r="AE292" s="61" t="str">
        <f>IF(Table1[[#This Row],[Mouser]]="","", HYPERLINK(Table1[[#This Row],[Destination - Mouser]],_xlfn.CONCAT("Link (",Table1[[#This Row],[Mouser]],")")))</f>
        <v/>
      </c>
      <c r="AF292" s="62" t="str">
        <f>_xlfn.CONCAT("https://www.mouser.ch/ProductDetail/",Table1[[#This Row],[Mouser]])</f>
        <v>https://www.mouser.ch/ProductDetail/</v>
      </c>
      <c r="AG292" s="57"/>
      <c r="AH292" s="59"/>
      <c r="AI292" s="61" t="str">
        <f>IF(Table1[[#This Row],[Bauhaus]]="","", HYPERLINK(Table1[[#This Row],[Destination - Bauhaus]],_xlfn.CONCAT("Link (",Table1[[#This Row],[Bauhaus]],")")))</f>
        <v/>
      </c>
      <c r="AJ292" s="62" t="str">
        <f>_xlfn.CONCAT("https://www.bauhaus.ch/fr/search?query=",Table1[[#This Row],[Bauhaus]])</f>
        <v>https://www.bauhaus.ch/fr/search?query=</v>
      </c>
      <c r="AK292" s="59"/>
      <c r="AL292" s="59"/>
      <c r="AM292" s="61" t="str">
        <f>IF(Table1[[#This Row],[BricoEtLoisirs]]="","", HYPERLINK(Table1[[#This Row],[Destination - BricoEtLoisirs]],_xlfn.CONCAT("Link (",Table1[[#This Row],[BricoEtLoisirs]],")")))</f>
        <v/>
      </c>
      <c r="AN292" s="62" t="str">
        <f>_xlfn.CONCAT("https://bricoetloisirs.ch/p/",Table1[[#This Row],[BricoEtLoisirs]])</f>
        <v>https://bricoetloisirs.ch/p/</v>
      </c>
      <c r="AO292" s="57"/>
      <c r="AP292" s="59"/>
      <c r="AQ292" s="61" t="str">
        <f>IF(Table1[[#This Row],[Aliexpress]]="","", HYPERLINK(Table1[[#This Row],[Destination - Aliexpress]],_xlfn.CONCAT("Link (",Table1[[#This Row],[Aliexpress]],")")))</f>
        <v/>
      </c>
      <c r="AR292" s="62" t="str">
        <f>_xlfn.CONCAT("https://www.aliexpress.com/item/",Table1[[#This Row],[Aliexpress]],".html")</f>
        <v>https://www.aliexpress.com/item/.html</v>
      </c>
      <c r="AS292" s="57"/>
      <c r="AT292" s="59"/>
      <c r="AU292" s="61" t="str">
        <f>IF(Table1[[#This Row],[Banggood]]="","", HYPERLINK(Table1[[#This Row],[Destination - Banggood]],_xlfn.CONCAT("Link (",Table1[[#This Row],[Banggood]],")")))</f>
        <v/>
      </c>
      <c r="AV292" s="62" t="str">
        <f>_xlfn.CONCAT("https://www.banggood.com/search/",Table1[[#This Row],[Banggood]],".html")</f>
        <v>https://www.banggood.com/search/.html</v>
      </c>
      <c r="AW292" s="59" t="str">
        <f>IF(Table1[[#This Row],[Other]]&lt;&gt;"","Other","")</f>
        <v/>
      </c>
      <c r="AX292" s="57"/>
      <c r="AY292" s="59"/>
      <c r="AZ292" s="61" t="str">
        <f>IF(Table1[[#This Row],[Other]]="","",IF(Table1[[#This Row],[Destination - Other]]="","",HYPERLINK(Table1[[#This Row],[Destination - Other]],_xlfn.CONCAT("Link ("&amp;Table1[[#This Row],[Other]]&amp;")"))))</f>
        <v/>
      </c>
      <c r="BA292" s="59"/>
      <c r="BB292" s="58" t="str">
        <f>IF(AND( Table1[[#This Row],[Auto Order]]=1,Table1[[#This Row],[Obsolete]]=""),IF(Table1[[#This Row],[In stock]]&lt;Table1[[#This Row],[Min in stock]],1,""),"")</f>
        <v/>
      </c>
      <c r="BC292" s="64"/>
      <c r="BD292" s="66" t="str">
        <f>IF(Table1[[#This Row],[Obsolete]],Table1[[#This Row],[Art. Number]],"")</f>
        <v/>
      </c>
    </row>
    <row r="293" spans="1:56" x14ac:dyDescent="0.25">
      <c r="A293" s="65" t="s">
        <v>1736</v>
      </c>
      <c r="B293" s="57" t="s">
        <v>168</v>
      </c>
      <c r="C293" s="57" t="s">
        <v>97</v>
      </c>
      <c r="D293" s="57" t="s">
        <v>1737</v>
      </c>
      <c r="E293" s="57" t="s">
        <v>151</v>
      </c>
      <c r="F293" s="58">
        <v>0</v>
      </c>
      <c r="G293" s="58"/>
      <c r="H293" s="58"/>
      <c r="I29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RHM3.9DCT-ND</v>
      </c>
      <c r="J29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(RHM3.9DCT-ND)</v>
      </c>
      <c r="M293" s="57" t="s">
        <v>1738</v>
      </c>
      <c r="N293" s="59">
        <v>0.1</v>
      </c>
      <c r="O293" s="61" t="str">
        <f>IF(Table1[[#This Row],[Digikey]]="","", HYPERLINK(Table1[[#This Row],[Destination - Digikey]],_xlfn.CONCAT("Link (",Table1[[#This Row],[Digikey]],")")))</f>
        <v>Link (RHM3.9DCT-ND)</v>
      </c>
      <c r="P293" s="62" t="str">
        <f>_xlfn.CONCAT("https://www.digikey.ch/products/en?keywords=",Table1[[#This Row],[Digikey]])</f>
        <v>https://www.digikey.ch/products/en?keywords=RHM3.9DCT-ND</v>
      </c>
      <c r="Q293" s="57"/>
      <c r="R293" s="59"/>
      <c r="S293" s="61" t="str">
        <f>IF(Table1[[#This Row],[Farnell]]="","", HYPERLINK(Table1[[#This Row],[Destination - Farnell]],_xlfn.CONCAT("Link (",Table1[[#This Row],[Farnell]],")")))</f>
        <v/>
      </c>
      <c r="T293" s="62" t="str">
        <f>_xlfn.CONCAT("https://ch.farnell.com/fr-CH/",Table1[[#This Row],[Farnell]])</f>
        <v>https://ch.farnell.com/fr-CH/</v>
      </c>
      <c r="U293" s="57"/>
      <c r="V293" s="59"/>
      <c r="W293" s="61" t="str">
        <f>IF(Table1[[#This Row],[Distrelec]]="","", HYPERLINK(Table1[[#This Row],[Destination - Distrelec]],_xlfn.CONCAT("Link (",Table1[[#This Row],[Distrelec]],")")))</f>
        <v/>
      </c>
      <c r="X293" s="62" t="str">
        <f>_xlfn.CONCAT("https://www.distrelec.ch/search?q=",Table1[[#This Row],[Distrelec]])</f>
        <v>https://www.distrelec.ch/search?q=</v>
      </c>
      <c r="Y293" s="57"/>
      <c r="Z293" s="59"/>
      <c r="AA293" s="61" t="str">
        <f>IF(Table1[[#This Row],[Conrad]]="","", HYPERLINK(Table1[[#This Row],[Destination - Conrad]],_xlfn.CONCAT("Link (",Table1[[#This Row],[Conrad]],")")))</f>
        <v/>
      </c>
      <c r="AB293" s="62"/>
      <c r="AC293" s="57"/>
      <c r="AD293" s="59"/>
      <c r="AE293" s="61" t="str">
        <f>IF(Table1[[#This Row],[Mouser]]="","", HYPERLINK(Table1[[#This Row],[Destination - Mouser]],_xlfn.CONCAT("Link (",Table1[[#This Row],[Mouser]],")")))</f>
        <v/>
      </c>
      <c r="AF293" s="62" t="str">
        <f>_xlfn.CONCAT("https://www.mouser.ch/ProductDetail/",Table1[[#This Row],[Mouser]])</f>
        <v>https://www.mouser.ch/ProductDetail/</v>
      </c>
      <c r="AG293" s="57"/>
      <c r="AH293" s="59"/>
      <c r="AI293" s="61" t="str">
        <f>IF(Table1[[#This Row],[Bauhaus]]="","", HYPERLINK(Table1[[#This Row],[Destination - Bauhaus]],_xlfn.CONCAT("Link (",Table1[[#This Row],[Bauhaus]],")")))</f>
        <v/>
      </c>
      <c r="AJ293" s="62" t="str">
        <f>_xlfn.CONCAT("https://www.bauhaus.ch/fr/search?query=",Table1[[#This Row],[Bauhaus]])</f>
        <v>https://www.bauhaus.ch/fr/search?query=</v>
      </c>
      <c r="AK293" s="59"/>
      <c r="AL293" s="59"/>
      <c r="AM293" s="61" t="str">
        <f>IF(Table1[[#This Row],[BricoEtLoisirs]]="","", HYPERLINK(Table1[[#This Row],[Destination - BricoEtLoisirs]],_xlfn.CONCAT("Link (",Table1[[#This Row],[BricoEtLoisirs]],")")))</f>
        <v/>
      </c>
      <c r="AN293" s="62" t="str">
        <f>_xlfn.CONCAT("https://bricoetloisirs.ch/p/",Table1[[#This Row],[BricoEtLoisirs]])</f>
        <v>https://bricoetloisirs.ch/p/</v>
      </c>
      <c r="AO293" s="57"/>
      <c r="AP293" s="59"/>
      <c r="AQ293" s="61" t="str">
        <f>IF(Table1[[#This Row],[Aliexpress]]="","", HYPERLINK(Table1[[#This Row],[Destination - Aliexpress]],_xlfn.CONCAT("Link (",Table1[[#This Row],[Aliexpress]],")")))</f>
        <v/>
      </c>
      <c r="AR293" s="62" t="str">
        <f>_xlfn.CONCAT("https://www.aliexpress.com/item/",Table1[[#This Row],[Aliexpress]],".html")</f>
        <v>https://www.aliexpress.com/item/.html</v>
      </c>
      <c r="AS293" s="57"/>
      <c r="AT293" s="59"/>
      <c r="AU293" s="61" t="str">
        <f>IF(Table1[[#This Row],[Banggood]]="","", HYPERLINK(Table1[[#This Row],[Destination - Banggood]],_xlfn.CONCAT("Link (",Table1[[#This Row],[Banggood]],")")))</f>
        <v/>
      </c>
      <c r="AV293" s="62" t="str">
        <f>_xlfn.CONCAT("https://www.banggood.com/search/",Table1[[#This Row],[Banggood]],".html")</f>
        <v>https://www.banggood.com/search/.html</v>
      </c>
      <c r="AW293" s="59" t="str">
        <f>IF(Table1[[#This Row],[Other]]&lt;&gt;"","Other","")</f>
        <v/>
      </c>
      <c r="AX293" s="57"/>
      <c r="AY293" s="59"/>
      <c r="AZ293" s="61" t="str">
        <f>IF(Table1[[#This Row],[Other]]="","",IF(Table1[[#This Row],[Destination - Other]]="","",HYPERLINK(Table1[[#This Row],[Destination - Other]],_xlfn.CONCAT("Link ("&amp;Table1[[#This Row],[Other]]&amp;")"))))</f>
        <v/>
      </c>
      <c r="BA293" s="59"/>
      <c r="BB293" s="58" t="str">
        <f>IF(AND( Table1[[#This Row],[Auto Order]]=1,Table1[[#This Row],[Obsolete]]=""),IF(Table1[[#This Row],[In stock]]&lt;Table1[[#This Row],[Min in stock]],1,""),"")</f>
        <v/>
      </c>
      <c r="BC293" s="64"/>
      <c r="BD293" s="66" t="str">
        <f>IF(Table1[[#This Row],[Obsolete]],Table1[[#This Row],[Art. Number]],"")</f>
        <v/>
      </c>
    </row>
    <row r="294" spans="1:56" x14ac:dyDescent="0.25">
      <c r="A294" s="65" t="s">
        <v>1742</v>
      </c>
      <c r="B294" s="57" t="s">
        <v>168</v>
      </c>
      <c r="C294" s="57" t="s">
        <v>97</v>
      </c>
      <c r="D294" s="57" t="s">
        <v>1743</v>
      </c>
      <c r="E294" s="57" t="s">
        <v>151</v>
      </c>
      <c r="F294" s="58">
        <v>0</v>
      </c>
      <c r="G294" s="58"/>
      <c r="H294" s="58"/>
      <c r="I29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RHM43DCT-ND</v>
      </c>
      <c r="J29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(RHM43DCT-ND)</v>
      </c>
      <c r="M294" s="57" t="s">
        <v>1744</v>
      </c>
      <c r="N294" s="59">
        <v>0.1</v>
      </c>
      <c r="O294" s="61" t="str">
        <f>IF(Table1[[#This Row],[Digikey]]="","", HYPERLINK(Table1[[#This Row],[Destination - Digikey]],_xlfn.CONCAT("Link (",Table1[[#This Row],[Digikey]],")")))</f>
        <v>Link (RHM43DCT-ND)</v>
      </c>
      <c r="P294" s="62" t="str">
        <f>_xlfn.CONCAT("https://www.digikey.ch/products/en?keywords=",Table1[[#This Row],[Digikey]])</f>
        <v>https://www.digikey.ch/products/en?keywords=RHM43DCT-ND</v>
      </c>
      <c r="Q294" s="57"/>
      <c r="R294" s="59"/>
      <c r="S294" s="61" t="str">
        <f>IF(Table1[[#This Row],[Farnell]]="","", HYPERLINK(Table1[[#This Row],[Destination - Farnell]],_xlfn.CONCAT("Link (",Table1[[#This Row],[Farnell]],")")))</f>
        <v/>
      </c>
      <c r="T294" s="62" t="str">
        <f>_xlfn.CONCAT("https://ch.farnell.com/fr-CH/",Table1[[#This Row],[Farnell]])</f>
        <v>https://ch.farnell.com/fr-CH/</v>
      </c>
      <c r="U294" s="57"/>
      <c r="V294" s="59"/>
      <c r="W294" s="61" t="str">
        <f>IF(Table1[[#This Row],[Distrelec]]="","", HYPERLINK(Table1[[#This Row],[Destination - Distrelec]],_xlfn.CONCAT("Link (",Table1[[#This Row],[Distrelec]],")")))</f>
        <v/>
      </c>
      <c r="X294" s="62" t="str">
        <f>_xlfn.CONCAT("https://www.distrelec.ch/search?q=",Table1[[#This Row],[Distrelec]])</f>
        <v>https://www.distrelec.ch/search?q=</v>
      </c>
      <c r="Y294" s="57"/>
      <c r="Z294" s="59"/>
      <c r="AA294" s="61" t="str">
        <f>IF(Table1[[#This Row],[Conrad]]="","", HYPERLINK(Table1[[#This Row],[Destination - Conrad]],_xlfn.CONCAT("Link (",Table1[[#This Row],[Conrad]],")")))</f>
        <v/>
      </c>
      <c r="AB294" s="62"/>
      <c r="AC294" s="57"/>
      <c r="AD294" s="59"/>
      <c r="AE294" s="61" t="str">
        <f>IF(Table1[[#This Row],[Mouser]]="","", HYPERLINK(Table1[[#This Row],[Destination - Mouser]],_xlfn.CONCAT("Link (",Table1[[#This Row],[Mouser]],")")))</f>
        <v/>
      </c>
      <c r="AF294" s="62" t="str">
        <f>_xlfn.CONCAT("https://www.mouser.ch/ProductDetail/",Table1[[#This Row],[Mouser]])</f>
        <v>https://www.mouser.ch/ProductDetail/</v>
      </c>
      <c r="AG294" s="57"/>
      <c r="AH294" s="59"/>
      <c r="AI294" s="61" t="str">
        <f>IF(Table1[[#This Row],[Bauhaus]]="","", HYPERLINK(Table1[[#This Row],[Destination - Bauhaus]],_xlfn.CONCAT("Link (",Table1[[#This Row],[Bauhaus]],")")))</f>
        <v/>
      </c>
      <c r="AJ294" s="62" t="str">
        <f>_xlfn.CONCAT("https://www.bauhaus.ch/fr/search?query=",Table1[[#This Row],[Bauhaus]])</f>
        <v>https://www.bauhaus.ch/fr/search?query=</v>
      </c>
      <c r="AK294" s="59"/>
      <c r="AL294" s="59"/>
      <c r="AM294" s="61" t="str">
        <f>IF(Table1[[#This Row],[BricoEtLoisirs]]="","", HYPERLINK(Table1[[#This Row],[Destination - BricoEtLoisirs]],_xlfn.CONCAT("Link (",Table1[[#This Row],[BricoEtLoisirs]],")")))</f>
        <v/>
      </c>
      <c r="AN294" s="62" t="str">
        <f>_xlfn.CONCAT("https://bricoetloisirs.ch/p/",Table1[[#This Row],[BricoEtLoisirs]])</f>
        <v>https://bricoetloisirs.ch/p/</v>
      </c>
      <c r="AO294" s="57"/>
      <c r="AP294" s="59"/>
      <c r="AQ294" s="61" t="str">
        <f>IF(Table1[[#This Row],[Aliexpress]]="","", HYPERLINK(Table1[[#This Row],[Destination - Aliexpress]],_xlfn.CONCAT("Link (",Table1[[#This Row],[Aliexpress]],")")))</f>
        <v/>
      </c>
      <c r="AR294" s="62" t="str">
        <f>_xlfn.CONCAT("https://www.aliexpress.com/item/",Table1[[#This Row],[Aliexpress]],".html")</f>
        <v>https://www.aliexpress.com/item/.html</v>
      </c>
      <c r="AS294" s="57"/>
      <c r="AT294" s="59"/>
      <c r="AU294" s="61" t="str">
        <f>IF(Table1[[#This Row],[Banggood]]="","", HYPERLINK(Table1[[#This Row],[Destination - Banggood]],_xlfn.CONCAT("Link (",Table1[[#This Row],[Banggood]],")")))</f>
        <v/>
      </c>
      <c r="AV294" s="62" t="str">
        <f>_xlfn.CONCAT("https://www.banggood.com/search/",Table1[[#This Row],[Banggood]],".html")</f>
        <v>https://www.banggood.com/search/.html</v>
      </c>
      <c r="AW294" s="59" t="str">
        <f>IF(Table1[[#This Row],[Other]]&lt;&gt;"","Other","")</f>
        <v/>
      </c>
      <c r="AX294" s="57"/>
      <c r="AY294" s="59"/>
      <c r="AZ294" s="61" t="str">
        <f>IF(Table1[[#This Row],[Other]]="","",IF(Table1[[#This Row],[Destination - Other]]="","",HYPERLINK(Table1[[#This Row],[Destination - Other]],_xlfn.CONCAT("Link ("&amp;Table1[[#This Row],[Other]]&amp;")"))))</f>
        <v/>
      </c>
      <c r="BA294" s="59"/>
      <c r="BB294" s="58" t="str">
        <f>IF(AND( Table1[[#This Row],[Auto Order]]=1,Table1[[#This Row],[Obsolete]]=""),IF(Table1[[#This Row],[In stock]]&lt;Table1[[#This Row],[Min in stock]],1,""),"")</f>
        <v/>
      </c>
      <c r="BC294" s="64"/>
      <c r="BD294" s="66" t="str">
        <f>IF(Table1[[#This Row],[Obsolete]],Table1[[#This Row],[Art. Number]],"")</f>
        <v/>
      </c>
    </row>
    <row r="295" spans="1:56" x14ac:dyDescent="0.25">
      <c r="A295" s="65" t="s">
        <v>1748</v>
      </c>
      <c r="B295" s="57" t="s">
        <v>168</v>
      </c>
      <c r="C295" s="57" t="s">
        <v>97</v>
      </c>
      <c r="D295" s="57" t="s">
        <v>1749</v>
      </c>
      <c r="E295" s="57" t="s">
        <v>151</v>
      </c>
      <c r="F295" s="58">
        <v>0</v>
      </c>
      <c r="G295" s="58"/>
      <c r="H295" s="58"/>
      <c r="I29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RHM430DCT-ND</v>
      </c>
      <c r="J29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(RHM430DCT-ND)</v>
      </c>
      <c r="M295" s="57" t="s">
        <v>1750</v>
      </c>
      <c r="N295" s="59">
        <v>0.1</v>
      </c>
      <c r="O295" s="61" t="str">
        <f>IF(Table1[[#This Row],[Digikey]]="","", HYPERLINK(Table1[[#This Row],[Destination - Digikey]],_xlfn.CONCAT("Link (",Table1[[#This Row],[Digikey]],")")))</f>
        <v>Link (RHM430DCT-ND)</v>
      </c>
      <c r="P295" s="62" t="str">
        <f>_xlfn.CONCAT("https://www.digikey.ch/products/en?keywords=",Table1[[#This Row],[Digikey]])</f>
        <v>https://www.digikey.ch/products/en?keywords=RHM430DCT-ND</v>
      </c>
      <c r="Q295" s="57"/>
      <c r="R295" s="59"/>
      <c r="S295" s="61" t="str">
        <f>IF(Table1[[#This Row],[Farnell]]="","", HYPERLINK(Table1[[#This Row],[Destination - Farnell]],_xlfn.CONCAT("Link (",Table1[[#This Row],[Farnell]],")")))</f>
        <v/>
      </c>
      <c r="T295" s="62" t="str">
        <f>_xlfn.CONCAT("https://ch.farnell.com/fr-CH/",Table1[[#This Row],[Farnell]])</f>
        <v>https://ch.farnell.com/fr-CH/</v>
      </c>
      <c r="U295" s="57"/>
      <c r="V295" s="59"/>
      <c r="W295" s="61" t="str">
        <f>IF(Table1[[#This Row],[Distrelec]]="","", HYPERLINK(Table1[[#This Row],[Destination - Distrelec]],_xlfn.CONCAT("Link (",Table1[[#This Row],[Distrelec]],")")))</f>
        <v/>
      </c>
      <c r="X295" s="62" t="str">
        <f>_xlfn.CONCAT("https://www.distrelec.ch/search?q=",Table1[[#This Row],[Distrelec]])</f>
        <v>https://www.distrelec.ch/search?q=</v>
      </c>
      <c r="Y295" s="57"/>
      <c r="Z295" s="59"/>
      <c r="AA295" s="61" t="str">
        <f>IF(Table1[[#This Row],[Conrad]]="","", HYPERLINK(Table1[[#This Row],[Destination - Conrad]],_xlfn.CONCAT("Link (",Table1[[#This Row],[Conrad]],")")))</f>
        <v/>
      </c>
      <c r="AB295" s="62"/>
      <c r="AC295" s="57"/>
      <c r="AD295" s="59"/>
      <c r="AE295" s="61" t="str">
        <f>IF(Table1[[#This Row],[Mouser]]="","", HYPERLINK(Table1[[#This Row],[Destination - Mouser]],_xlfn.CONCAT("Link (",Table1[[#This Row],[Mouser]],")")))</f>
        <v/>
      </c>
      <c r="AF295" s="62" t="str">
        <f>_xlfn.CONCAT("https://www.mouser.ch/ProductDetail/",Table1[[#This Row],[Mouser]])</f>
        <v>https://www.mouser.ch/ProductDetail/</v>
      </c>
      <c r="AG295" s="57"/>
      <c r="AH295" s="59"/>
      <c r="AI295" s="61" t="str">
        <f>IF(Table1[[#This Row],[Bauhaus]]="","", HYPERLINK(Table1[[#This Row],[Destination - Bauhaus]],_xlfn.CONCAT("Link (",Table1[[#This Row],[Bauhaus]],")")))</f>
        <v/>
      </c>
      <c r="AJ295" s="62" t="str">
        <f>_xlfn.CONCAT("https://www.bauhaus.ch/fr/search?query=",Table1[[#This Row],[Bauhaus]])</f>
        <v>https://www.bauhaus.ch/fr/search?query=</v>
      </c>
      <c r="AK295" s="59"/>
      <c r="AL295" s="59"/>
      <c r="AM295" s="61" t="str">
        <f>IF(Table1[[#This Row],[BricoEtLoisirs]]="","", HYPERLINK(Table1[[#This Row],[Destination - BricoEtLoisirs]],_xlfn.CONCAT("Link (",Table1[[#This Row],[BricoEtLoisirs]],")")))</f>
        <v/>
      </c>
      <c r="AN295" s="62" t="str">
        <f>_xlfn.CONCAT("https://bricoetloisirs.ch/p/",Table1[[#This Row],[BricoEtLoisirs]])</f>
        <v>https://bricoetloisirs.ch/p/</v>
      </c>
      <c r="AO295" s="57"/>
      <c r="AP295" s="59"/>
      <c r="AQ295" s="61" t="str">
        <f>IF(Table1[[#This Row],[Aliexpress]]="","", HYPERLINK(Table1[[#This Row],[Destination - Aliexpress]],_xlfn.CONCAT("Link (",Table1[[#This Row],[Aliexpress]],")")))</f>
        <v/>
      </c>
      <c r="AR295" s="62" t="str">
        <f>_xlfn.CONCAT("https://www.aliexpress.com/item/",Table1[[#This Row],[Aliexpress]],".html")</f>
        <v>https://www.aliexpress.com/item/.html</v>
      </c>
      <c r="AS295" s="57"/>
      <c r="AT295" s="59"/>
      <c r="AU295" s="61" t="str">
        <f>IF(Table1[[#This Row],[Banggood]]="","", HYPERLINK(Table1[[#This Row],[Destination - Banggood]],_xlfn.CONCAT("Link (",Table1[[#This Row],[Banggood]],")")))</f>
        <v/>
      </c>
      <c r="AV295" s="62" t="str">
        <f>_xlfn.CONCAT("https://www.banggood.com/search/",Table1[[#This Row],[Banggood]],".html")</f>
        <v>https://www.banggood.com/search/.html</v>
      </c>
      <c r="AW295" s="59" t="str">
        <f>IF(Table1[[#This Row],[Other]]&lt;&gt;"","Other","")</f>
        <v/>
      </c>
      <c r="AX295" s="57"/>
      <c r="AY295" s="59"/>
      <c r="AZ295" s="61" t="str">
        <f>IF(Table1[[#This Row],[Other]]="","",IF(Table1[[#This Row],[Destination - Other]]="","",HYPERLINK(Table1[[#This Row],[Destination - Other]],_xlfn.CONCAT("Link ("&amp;Table1[[#This Row],[Other]]&amp;")"))))</f>
        <v/>
      </c>
      <c r="BA295" s="59"/>
      <c r="BB295" s="58" t="str">
        <f>IF(AND( Table1[[#This Row],[Auto Order]]=1,Table1[[#This Row],[Obsolete]]=""),IF(Table1[[#This Row],[In stock]]&lt;Table1[[#This Row],[Min in stock]],1,""),"")</f>
        <v/>
      </c>
      <c r="BC295" s="64"/>
      <c r="BD295" s="66" t="str">
        <f>IF(Table1[[#This Row],[Obsolete]],Table1[[#This Row],[Art. Number]],"")</f>
        <v/>
      </c>
    </row>
    <row r="296" spans="1:56" x14ac:dyDescent="0.25">
      <c r="A296" s="65" t="s">
        <v>1754</v>
      </c>
      <c r="B296" s="57" t="s">
        <v>168</v>
      </c>
      <c r="C296" s="57" t="s">
        <v>97</v>
      </c>
      <c r="D296" s="57" t="s">
        <v>1755</v>
      </c>
      <c r="E296" s="57" t="s">
        <v>151</v>
      </c>
      <c r="F296" s="58">
        <v>0</v>
      </c>
      <c r="G296" s="58"/>
      <c r="H296" s="58"/>
      <c r="I29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RHM4.3KDCT-ND</v>
      </c>
      <c r="J29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(RHM4.3KDCT-ND)</v>
      </c>
      <c r="M296" s="57" t="s">
        <v>1756</v>
      </c>
      <c r="N296" s="59">
        <v>0.1</v>
      </c>
      <c r="O296" s="61" t="str">
        <f>IF(Table1[[#This Row],[Digikey]]="","", HYPERLINK(Table1[[#This Row],[Destination - Digikey]],_xlfn.CONCAT("Link (",Table1[[#This Row],[Digikey]],")")))</f>
        <v>Link (RHM4.3KDCT-ND)</v>
      </c>
      <c r="P296" s="62" t="str">
        <f>_xlfn.CONCAT("https://www.digikey.ch/products/en?keywords=",Table1[[#This Row],[Digikey]])</f>
        <v>https://www.digikey.ch/products/en?keywords=RHM4.3KDCT-ND</v>
      </c>
      <c r="Q296" s="57"/>
      <c r="R296" s="59"/>
      <c r="S296" s="61" t="str">
        <f>IF(Table1[[#This Row],[Farnell]]="","", HYPERLINK(Table1[[#This Row],[Destination - Farnell]],_xlfn.CONCAT("Link (",Table1[[#This Row],[Farnell]],")")))</f>
        <v/>
      </c>
      <c r="T296" s="62" t="str">
        <f>_xlfn.CONCAT("https://ch.farnell.com/fr-CH/",Table1[[#This Row],[Farnell]])</f>
        <v>https://ch.farnell.com/fr-CH/</v>
      </c>
      <c r="U296" s="57"/>
      <c r="V296" s="59"/>
      <c r="W296" s="61" t="str">
        <f>IF(Table1[[#This Row],[Distrelec]]="","", HYPERLINK(Table1[[#This Row],[Destination - Distrelec]],_xlfn.CONCAT("Link (",Table1[[#This Row],[Distrelec]],")")))</f>
        <v/>
      </c>
      <c r="X296" s="62" t="str">
        <f>_xlfn.CONCAT("https://www.distrelec.ch/search?q=",Table1[[#This Row],[Distrelec]])</f>
        <v>https://www.distrelec.ch/search?q=</v>
      </c>
      <c r="Y296" s="57"/>
      <c r="Z296" s="59"/>
      <c r="AA296" s="61" t="str">
        <f>IF(Table1[[#This Row],[Conrad]]="","", HYPERLINK(Table1[[#This Row],[Destination - Conrad]],_xlfn.CONCAT("Link (",Table1[[#This Row],[Conrad]],")")))</f>
        <v/>
      </c>
      <c r="AB296" s="62"/>
      <c r="AC296" s="57"/>
      <c r="AD296" s="59"/>
      <c r="AE296" s="61" t="str">
        <f>IF(Table1[[#This Row],[Mouser]]="","", HYPERLINK(Table1[[#This Row],[Destination - Mouser]],_xlfn.CONCAT("Link (",Table1[[#This Row],[Mouser]],")")))</f>
        <v/>
      </c>
      <c r="AF296" s="62" t="str">
        <f>_xlfn.CONCAT("https://www.mouser.ch/ProductDetail/",Table1[[#This Row],[Mouser]])</f>
        <v>https://www.mouser.ch/ProductDetail/</v>
      </c>
      <c r="AG296" s="57"/>
      <c r="AH296" s="59"/>
      <c r="AI296" s="61" t="str">
        <f>IF(Table1[[#This Row],[Bauhaus]]="","", HYPERLINK(Table1[[#This Row],[Destination - Bauhaus]],_xlfn.CONCAT("Link (",Table1[[#This Row],[Bauhaus]],")")))</f>
        <v/>
      </c>
      <c r="AJ296" s="62" t="str">
        <f>_xlfn.CONCAT("https://www.bauhaus.ch/fr/search?query=",Table1[[#This Row],[Bauhaus]])</f>
        <v>https://www.bauhaus.ch/fr/search?query=</v>
      </c>
      <c r="AK296" s="59"/>
      <c r="AL296" s="59"/>
      <c r="AM296" s="61" t="str">
        <f>IF(Table1[[#This Row],[BricoEtLoisirs]]="","", HYPERLINK(Table1[[#This Row],[Destination - BricoEtLoisirs]],_xlfn.CONCAT("Link (",Table1[[#This Row],[BricoEtLoisirs]],")")))</f>
        <v/>
      </c>
      <c r="AN296" s="62" t="str">
        <f>_xlfn.CONCAT("https://bricoetloisirs.ch/p/",Table1[[#This Row],[BricoEtLoisirs]])</f>
        <v>https://bricoetloisirs.ch/p/</v>
      </c>
      <c r="AO296" s="57"/>
      <c r="AP296" s="59"/>
      <c r="AQ296" s="61" t="str">
        <f>IF(Table1[[#This Row],[Aliexpress]]="","", HYPERLINK(Table1[[#This Row],[Destination - Aliexpress]],_xlfn.CONCAT("Link (",Table1[[#This Row],[Aliexpress]],")")))</f>
        <v/>
      </c>
      <c r="AR296" s="62" t="str">
        <f>_xlfn.CONCAT("https://www.aliexpress.com/item/",Table1[[#This Row],[Aliexpress]],".html")</f>
        <v>https://www.aliexpress.com/item/.html</v>
      </c>
      <c r="AS296" s="57"/>
      <c r="AT296" s="59"/>
      <c r="AU296" s="61" t="str">
        <f>IF(Table1[[#This Row],[Banggood]]="","", HYPERLINK(Table1[[#This Row],[Destination - Banggood]],_xlfn.CONCAT("Link (",Table1[[#This Row],[Banggood]],")")))</f>
        <v/>
      </c>
      <c r="AV296" s="62" t="str">
        <f>_xlfn.CONCAT("https://www.banggood.com/search/",Table1[[#This Row],[Banggood]],".html")</f>
        <v>https://www.banggood.com/search/.html</v>
      </c>
      <c r="AW296" s="59" t="str">
        <f>IF(Table1[[#This Row],[Other]]&lt;&gt;"","Other","")</f>
        <v/>
      </c>
      <c r="AX296" s="57"/>
      <c r="AY296" s="59"/>
      <c r="AZ296" s="61" t="str">
        <f>IF(Table1[[#This Row],[Other]]="","",IF(Table1[[#This Row],[Destination - Other]]="","",HYPERLINK(Table1[[#This Row],[Destination - Other]],_xlfn.CONCAT("Link ("&amp;Table1[[#This Row],[Other]]&amp;")"))))</f>
        <v/>
      </c>
      <c r="BA296" s="59"/>
      <c r="BB296" s="58" t="str">
        <f>IF(AND( Table1[[#This Row],[Auto Order]]=1,Table1[[#This Row],[Obsolete]]=""),IF(Table1[[#This Row],[In stock]]&lt;Table1[[#This Row],[Min in stock]],1,""),"")</f>
        <v/>
      </c>
      <c r="BC296" s="64"/>
      <c r="BD296" s="66" t="str">
        <f>IF(Table1[[#This Row],[Obsolete]],Table1[[#This Row],[Art. Number]],"")</f>
        <v/>
      </c>
    </row>
    <row r="297" spans="1:56" x14ac:dyDescent="0.25">
      <c r="A297" s="65" t="s">
        <v>1760</v>
      </c>
      <c r="B297" s="57" t="s">
        <v>168</v>
      </c>
      <c r="C297" s="57" t="s">
        <v>97</v>
      </c>
      <c r="D297" s="57" t="s">
        <v>1761</v>
      </c>
      <c r="E297" s="57" t="s">
        <v>151</v>
      </c>
      <c r="F297" s="58">
        <v>0</v>
      </c>
      <c r="G297" s="58"/>
      <c r="H297" s="58"/>
      <c r="I29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RHM43KDCT-ND</v>
      </c>
      <c r="J29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(RHM43KDCT-ND)</v>
      </c>
      <c r="M297" s="57" t="s">
        <v>1762</v>
      </c>
      <c r="N297" s="59">
        <v>0.1</v>
      </c>
      <c r="O297" s="61" t="str">
        <f>IF(Table1[[#This Row],[Digikey]]="","", HYPERLINK(Table1[[#This Row],[Destination - Digikey]],_xlfn.CONCAT("Link (",Table1[[#This Row],[Digikey]],")")))</f>
        <v>Link (RHM43KDCT-ND)</v>
      </c>
      <c r="P297" s="62" t="str">
        <f>_xlfn.CONCAT("https://www.digikey.ch/products/en?keywords=",Table1[[#This Row],[Digikey]])</f>
        <v>https://www.digikey.ch/products/en?keywords=RHM43KDCT-ND</v>
      </c>
      <c r="Q297" s="57"/>
      <c r="R297" s="59"/>
      <c r="S297" s="61" t="str">
        <f>IF(Table1[[#This Row],[Farnell]]="","", HYPERLINK(Table1[[#This Row],[Destination - Farnell]],_xlfn.CONCAT("Link (",Table1[[#This Row],[Farnell]],")")))</f>
        <v/>
      </c>
      <c r="T297" s="62" t="str">
        <f>_xlfn.CONCAT("https://ch.farnell.com/fr-CH/",Table1[[#This Row],[Farnell]])</f>
        <v>https://ch.farnell.com/fr-CH/</v>
      </c>
      <c r="U297" s="57"/>
      <c r="V297" s="59"/>
      <c r="W297" s="61" t="str">
        <f>IF(Table1[[#This Row],[Distrelec]]="","", HYPERLINK(Table1[[#This Row],[Destination - Distrelec]],_xlfn.CONCAT("Link (",Table1[[#This Row],[Distrelec]],")")))</f>
        <v/>
      </c>
      <c r="X297" s="62" t="str">
        <f>_xlfn.CONCAT("https://www.distrelec.ch/search?q=",Table1[[#This Row],[Distrelec]])</f>
        <v>https://www.distrelec.ch/search?q=</v>
      </c>
      <c r="Y297" s="57"/>
      <c r="Z297" s="59"/>
      <c r="AA297" s="61" t="str">
        <f>IF(Table1[[#This Row],[Conrad]]="","", HYPERLINK(Table1[[#This Row],[Destination - Conrad]],_xlfn.CONCAT("Link (",Table1[[#This Row],[Conrad]],")")))</f>
        <v/>
      </c>
      <c r="AB297" s="62"/>
      <c r="AC297" s="57"/>
      <c r="AD297" s="59"/>
      <c r="AE297" s="61" t="str">
        <f>IF(Table1[[#This Row],[Mouser]]="","", HYPERLINK(Table1[[#This Row],[Destination - Mouser]],_xlfn.CONCAT("Link (",Table1[[#This Row],[Mouser]],")")))</f>
        <v/>
      </c>
      <c r="AF297" s="62" t="str">
        <f>_xlfn.CONCAT("https://www.mouser.ch/ProductDetail/",Table1[[#This Row],[Mouser]])</f>
        <v>https://www.mouser.ch/ProductDetail/</v>
      </c>
      <c r="AG297" s="57"/>
      <c r="AH297" s="59"/>
      <c r="AI297" s="61" t="str">
        <f>IF(Table1[[#This Row],[Bauhaus]]="","", HYPERLINK(Table1[[#This Row],[Destination - Bauhaus]],_xlfn.CONCAT("Link (",Table1[[#This Row],[Bauhaus]],")")))</f>
        <v/>
      </c>
      <c r="AJ297" s="62" t="str">
        <f>_xlfn.CONCAT("https://www.bauhaus.ch/fr/search?query=",Table1[[#This Row],[Bauhaus]])</f>
        <v>https://www.bauhaus.ch/fr/search?query=</v>
      </c>
      <c r="AK297" s="59"/>
      <c r="AL297" s="59"/>
      <c r="AM297" s="61" t="str">
        <f>IF(Table1[[#This Row],[BricoEtLoisirs]]="","", HYPERLINK(Table1[[#This Row],[Destination - BricoEtLoisirs]],_xlfn.CONCAT("Link (",Table1[[#This Row],[BricoEtLoisirs]],")")))</f>
        <v/>
      </c>
      <c r="AN297" s="62" t="str">
        <f>_xlfn.CONCAT("https://bricoetloisirs.ch/p/",Table1[[#This Row],[BricoEtLoisirs]])</f>
        <v>https://bricoetloisirs.ch/p/</v>
      </c>
      <c r="AO297" s="57"/>
      <c r="AP297" s="59"/>
      <c r="AQ297" s="61" t="str">
        <f>IF(Table1[[#This Row],[Aliexpress]]="","", HYPERLINK(Table1[[#This Row],[Destination - Aliexpress]],_xlfn.CONCAT("Link (",Table1[[#This Row],[Aliexpress]],")")))</f>
        <v/>
      </c>
      <c r="AR297" s="62" t="str">
        <f>_xlfn.CONCAT("https://www.aliexpress.com/item/",Table1[[#This Row],[Aliexpress]],".html")</f>
        <v>https://www.aliexpress.com/item/.html</v>
      </c>
      <c r="AS297" s="57"/>
      <c r="AT297" s="59"/>
      <c r="AU297" s="61" t="str">
        <f>IF(Table1[[#This Row],[Banggood]]="","", HYPERLINK(Table1[[#This Row],[Destination - Banggood]],_xlfn.CONCAT("Link (",Table1[[#This Row],[Banggood]],")")))</f>
        <v/>
      </c>
      <c r="AV297" s="62" t="str">
        <f>_xlfn.CONCAT("https://www.banggood.com/search/",Table1[[#This Row],[Banggood]],".html")</f>
        <v>https://www.banggood.com/search/.html</v>
      </c>
      <c r="AW297" s="59" t="str">
        <f>IF(Table1[[#This Row],[Other]]&lt;&gt;"","Other","")</f>
        <v/>
      </c>
      <c r="AX297" s="57"/>
      <c r="AY297" s="59"/>
      <c r="AZ297" s="61" t="str">
        <f>IF(Table1[[#This Row],[Other]]="","",IF(Table1[[#This Row],[Destination - Other]]="","",HYPERLINK(Table1[[#This Row],[Destination - Other]],_xlfn.CONCAT("Link ("&amp;Table1[[#This Row],[Other]]&amp;")"))))</f>
        <v/>
      </c>
      <c r="BA297" s="59"/>
      <c r="BB297" s="58" t="str">
        <f>IF(AND( Table1[[#This Row],[Auto Order]]=1,Table1[[#This Row],[Obsolete]]=""),IF(Table1[[#This Row],[In stock]]&lt;Table1[[#This Row],[Min in stock]],1,""),"")</f>
        <v/>
      </c>
      <c r="BC297" s="64"/>
      <c r="BD297" s="66" t="str">
        <f>IF(Table1[[#This Row],[Obsolete]],Table1[[#This Row],[Art. Number]],"")</f>
        <v/>
      </c>
    </row>
    <row r="298" spans="1:56" x14ac:dyDescent="0.25">
      <c r="A298" s="65" t="s">
        <v>1766</v>
      </c>
      <c r="B298" s="57" t="s">
        <v>168</v>
      </c>
      <c r="C298" s="57" t="s">
        <v>97</v>
      </c>
      <c r="D298" s="57" t="s">
        <v>1767</v>
      </c>
      <c r="E298" s="57" t="s">
        <v>151</v>
      </c>
      <c r="F298" s="58">
        <v>0</v>
      </c>
      <c r="G298" s="58"/>
      <c r="H298" s="58"/>
      <c r="I29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RHM430KDCT-ND</v>
      </c>
      <c r="J29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(RHM430KDCT-ND)</v>
      </c>
      <c r="M298" s="57" t="s">
        <v>1768</v>
      </c>
      <c r="N298" s="59">
        <v>0.1</v>
      </c>
      <c r="O298" s="61" t="str">
        <f>IF(Table1[[#This Row],[Digikey]]="","", HYPERLINK(Table1[[#This Row],[Destination - Digikey]],_xlfn.CONCAT("Link (",Table1[[#This Row],[Digikey]],")")))</f>
        <v>Link (RHM430KDCT-ND)</v>
      </c>
      <c r="P298" s="62" t="str">
        <f>_xlfn.CONCAT("https://www.digikey.ch/products/en?keywords=",Table1[[#This Row],[Digikey]])</f>
        <v>https://www.digikey.ch/products/en?keywords=RHM430KDCT-ND</v>
      </c>
      <c r="Q298" s="57"/>
      <c r="R298" s="59"/>
      <c r="S298" s="61" t="str">
        <f>IF(Table1[[#This Row],[Farnell]]="","", HYPERLINK(Table1[[#This Row],[Destination - Farnell]],_xlfn.CONCAT("Link (",Table1[[#This Row],[Farnell]],")")))</f>
        <v/>
      </c>
      <c r="T298" s="62" t="str">
        <f>_xlfn.CONCAT("https://ch.farnell.com/fr-CH/",Table1[[#This Row],[Farnell]])</f>
        <v>https://ch.farnell.com/fr-CH/</v>
      </c>
      <c r="U298" s="57"/>
      <c r="V298" s="59"/>
      <c r="W298" s="61" t="str">
        <f>IF(Table1[[#This Row],[Distrelec]]="","", HYPERLINK(Table1[[#This Row],[Destination - Distrelec]],_xlfn.CONCAT("Link (",Table1[[#This Row],[Distrelec]],")")))</f>
        <v/>
      </c>
      <c r="X298" s="62" t="str">
        <f>_xlfn.CONCAT("https://www.distrelec.ch/search?q=",Table1[[#This Row],[Distrelec]])</f>
        <v>https://www.distrelec.ch/search?q=</v>
      </c>
      <c r="Y298" s="57"/>
      <c r="Z298" s="59"/>
      <c r="AA298" s="61" t="str">
        <f>IF(Table1[[#This Row],[Conrad]]="","", HYPERLINK(Table1[[#This Row],[Destination - Conrad]],_xlfn.CONCAT("Link (",Table1[[#This Row],[Conrad]],")")))</f>
        <v/>
      </c>
      <c r="AB298" s="62"/>
      <c r="AC298" s="57"/>
      <c r="AD298" s="59"/>
      <c r="AE298" s="61" t="str">
        <f>IF(Table1[[#This Row],[Mouser]]="","", HYPERLINK(Table1[[#This Row],[Destination - Mouser]],_xlfn.CONCAT("Link (",Table1[[#This Row],[Mouser]],")")))</f>
        <v/>
      </c>
      <c r="AF298" s="62" t="str">
        <f>_xlfn.CONCAT("https://www.mouser.ch/ProductDetail/",Table1[[#This Row],[Mouser]])</f>
        <v>https://www.mouser.ch/ProductDetail/</v>
      </c>
      <c r="AG298" s="57"/>
      <c r="AH298" s="59"/>
      <c r="AI298" s="61" t="str">
        <f>IF(Table1[[#This Row],[Bauhaus]]="","", HYPERLINK(Table1[[#This Row],[Destination - Bauhaus]],_xlfn.CONCAT("Link (",Table1[[#This Row],[Bauhaus]],")")))</f>
        <v/>
      </c>
      <c r="AJ298" s="62" t="str">
        <f>_xlfn.CONCAT("https://www.bauhaus.ch/fr/search?query=",Table1[[#This Row],[Bauhaus]])</f>
        <v>https://www.bauhaus.ch/fr/search?query=</v>
      </c>
      <c r="AK298" s="59"/>
      <c r="AL298" s="59"/>
      <c r="AM298" s="61" t="str">
        <f>IF(Table1[[#This Row],[BricoEtLoisirs]]="","", HYPERLINK(Table1[[#This Row],[Destination - BricoEtLoisirs]],_xlfn.CONCAT("Link (",Table1[[#This Row],[BricoEtLoisirs]],")")))</f>
        <v/>
      </c>
      <c r="AN298" s="62" t="str">
        <f>_xlfn.CONCAT("https://bricoetloisirs.ch/p/",Table1[[#This Row],[BricoEtLoisirs]])</f>
        <v>https://bricoetloisirs.ch/p/</v>
      </c>
      <c r="AO298" s="57"/>
      <c r="AP298" s="59"/>
      <c r="AQ298" s="61" t="str">
        <f>IF(Table1[[#This Row],[Aliexpress]]="","", HYPERLINK(Table1[[#This Row],[Destination - Aliexpress]],_xlfn.CONCAT("Link (",Table1[[#This Row],[Aliexpress]],")")))</f>
        <v/>
      </c>
      <c r="AR298" s="62" t="str">
        <f>_xlfn.CONCAT("https://www.aliexpress.com/item/",Table1[[#This Row],[Aliexpress]],".html")</f>
        <v>https://www.aliexpress.com/item/.html</v>
      </c>
      <c r="AS298" s="57"/>
      <c r="AT298" s="59"/>
      <c r="AU298" s="61" t="str">
        <f>IF(Table1[[#This Row],[Banggood]]="","", HYPERLINK(Table1[[#This Row],[Destination - Banggood]],_xlfn.CONCAT("Link (",Table1[[#This Row],[Banggood]],")")))</f>
        <v/>
      </c>
      <c r="AV298" s="62" t="str">
        <f>_xlfn.CONCAT("https://www.banggood.com/search/",Table1[[#This Row],[Banggood]],".html")</f>
        <v>https://www.banggood.com/search/.html</v>
      </c>
      <c r="AW298" s="59" t="str">
        <f>IF(Table1[[#This Row],[Other]]&lt;&gt;"","Other","")</f>
        <v/>
      </c>
      <c r="AX298" s="57"/>
      <c r="AY298" s="59"/>
      <c r="AZ298" s="61" t="str">
        <f>IF(Table1[[#This Row],[Other]]="","",IF(Table1[[#This Row],[Destination - Other]]="","",HYPERLINK(Table1[[#This Row],[Destination - Other]],_xlfn.CONCAT("Link ("&amp;Table1[[#This Row],[Other]]&amp;")"))))</f>
        <v/>
      </c>
      <c r="BA298" s="59"/>
      <c r="BB298" s="58" t="str">
        <f>IF(AND( Table1[[#This Row],[Auto Order]]=1,Table1[[#This Row],[Obsolete]]=""),IF(Table1[[#This Row],[In stock]]&lt;Table1[[#This Row],[Min in stock]],1,""),"")</f>
        <v/>
      </c>
      <c r="BC298" s="64"/>
      <c r="BD298" s="66" t="str">
        <f>IF(Table1[[#This Row],[Obsolete]],Table1[[#This Row],[Art. Number]],"")</f>
        <v/>
      </c>
    </row>
    <row r="299" spans="1:56" x14ac:dyDescent="0.25">
      <c r="A299" s="65" t="s">
        <v>1772</v>
      </c>
      <c r="B299" s="57" t="s">
        <v>168</v>
      </c>
      <c r="C299" s="57" t="s">
        <v>97</v>
      </c>
      <c r="D299" s="57" t="s">
        <v>1773</v>
      </c>
      <c r="E299" s="57" t="s">
        <v>151</v>
      </c>
      <c r="F299" s="58">
        <v>0</v>
      </c>
      <c r="G299" s="58"/>
      <c r="H299" s="58"/>
      <c r="I29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RHM47DCT-ND</v>
      </c>
      <c r="J29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29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9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(RHM47DCT-ND)</v>
      </c>
      <c r="M299" s="57" t="s">
        <v>1774</v>
      </c>
      <c r="N299" s="59">
        <v>0.1</v>
      </c>
      <c r="O299" s="61" t="str">
        <f>IF(Table1[[#This Row],[Digikey]]="","", HYPERLINK(Table1[[#This Row],[Destination - Digikey]],_xlfn.CONCAT("Link (",Table1[[#This Row],[Digikey]],")")))</f>
        <v>Link (RHM47DCT-ND)</v>
      </c>
      <c r="P299" s="62" t="str">
        <f>_xlfn.CONCAT("https://www.digikey.ch/products/en?keywords=",Table1[[#This Row],[Digikey]])</f>
        <v>https://www.digikey.ch/products/en?keywords=RHM47DCT-ND</v>
      </c>
      <c r="Q299" s="57"/>
      <c r="R299" s="59"/>
      <c r="S299" s="61" t="str">
        <f>IF(Table1[[#This Row],[Farnell]]="","", HYPERLINK(Table1[[#This Row],[Destination - Farnell]],_xlfn.CONCAT("Link (",Table1[[#This Row],[Farnell]],")")))</f>
        <v/>
      </c>
      <c r="T299" s="62" t="str">
        <f>_xlfn.CONCAT("https://ch.farnell.com/fr-CH/",Table1[[#This Row],[Farnell]])</f>
        <v>https://ch.farnell.com/fr-CH/</v>
      </c>
      <c r="U299" s="57"/>
      <c r="V299" s="59"/>
      <c r="W299" s="61" t="str">
        <f>IF(Table1[[#This Row],[Distrelec]]="","", HYPERLINK(Table1[[#This Row],[Destination - Distrelec]],_xlfn.CONCAT("Link (",Table1[[#This Row],[Distrelec]],")")))</f>
        <v/>
      </c>
      <c r="X299" s="62" t="str">
        <f>_xlfn.CONCAT("https://www.distrelec.ch/search?q=",Table1[[#This Row],[Distrelec]])</f>
        <v>https://www.distrelec.ch/search?q=</v>
      </c>
      <c r="Y299" s="57"/>
      <c r="Z299" s="59"/>
      <c r="AA299" s="61" t="str">
        <f>IF(Table1[[#This Row],[Conrad]]="","", HYPERLINK(Table1[[#This Row],[Destination - Conrad]],_xlfn.CONCAT("Link (",Table1[[#This Row],[Conrad]],")")))</f>
        <v/>
      </c>
      <c r="AB299" s="62"/>
      <c r="AC299" s="57"/>
      <c r="AD299" s="59"/>
      <c r="AE299" s="61" t="str">
        <f>IF(Table1[[#This Row],[Mouser]]="","", HYPERLINK(Table1[[#This Row],[Destination - Mouser]],_xlfn.CONCAT("Link (",Table1[[#This Row],[Mouser]],")")))</f>
        <v/>
      </c>
      <c r="AF299" s="62" t="str">
        <f>_xlfn.CONCAT("https://www.mouser.ch/ProductDetail/",Table1[[#This Row],[Mouser]])</f>
        <v>https://www.mouser.ch/ProductDetail/</v>
      </c>
      <c r="AG299" s="57"/>
      <c r="AH299" s="59"/>
      <c r="AI299" s="61" t="str">
        <f>IF(Table1[[#This Row],[Bauhaus]]="","", HYPERLINK(Table1[[#This Row],[Destination - Bauhaus]],_xlfn.CONCAT("Link (",Table1[[#This Row],[Bauhaus]],")")))</f>
        <v/>
      </c>
      <c r="AJ299" s="62" t="str">
        <f>_xlfn.CONCAT("https://www.bauhaus.ch/fr/search?query=",Table1[[#This Row],[Bauhaus]])</f>
        <v>https://www.bauhaus.ch/fr/search?query=</v>
      </c>
      <c r="AK299" s="59"/>
      <c r="AL299" s="59"/>
      <c r="AM299" s="61" t="str">
        <f>IF(Table1[[#This Row],[BricoEtLoisirs]]="","", HYPERLINK(Table1[[#This Row],[Destination - BricoEtLoisirs]],_xlfn.CONCAT("Link (",Table1[[#This Row],[BricoEtLoisirs]],")")))</f>
        <v/>
      </c>
      <c r="AN299" s="62" t="str">
        <f>_xlfn.CONCAT("https://bricoetloisirs.ch/p/",Table1[[#This Row],[BricoEtLoisirs]])</f>
        <v>https://bricoetloisirs.ch/p/</v>
      </c>
      <c r="AO299" s="57"/>
      <c r="AP299" s="59"/>
      <c r="AQ299" s="61" t="str">
        <f>IF(Table1[[#This Row],[Aliexpress]]="","", HYPERLINK(Table1[[#This Row],[Destination - Aliexpress]],_xlfn.CONCAT("Link (",Table1[[#This Row],[Aliexpress]],")")))</f>
        <v/>
      </c>
      <c r="AR299" s="62" t="str">
        <f>_xlfn.CONCAT("https://www.aliexpress.com/item/",Table1[[#This Row],[Aliexpress]],".html")</f>
        <v>https://www.aliexpress.com/item/.html</v>
      </c>
      <c r="AS299" s="57"/>
      <c r="AT299" s="59"/>
      <c r="AU299" s="61" t="str">
        <f>IF(Table1[[#This Row],[Banggood]]="","", HYPERLINK(Table1[[#This Row],[Destination - Banggood]],_xlfn.CONCAT("Link (",Table1[[#This Row],[Banggood]],")")))</f>
        <v/>
      </c>
      <c r="AV299" s="62" t="str">
        <f>_xlfn.CONCAT("https://www.banggood.com/search/",Table1[[#This Row],[Banggood]],".html")</f>
        <v>https://www.banggood.com/search/.html</v>
      </c>
      <c r="AW299" s="59" t="str">
        <f>IF(Table1[[#This Row],[Other]]&lt;&gt;"","Other","")</f>
        <v/>
      </c>
      <c r="AX299" s="57"/>
      <c r="AY299" s="59"/>
      <c r="AZ299" s="61" t="str">
        <f>IF(Table1[[#This Row],[Other]]="","",IF(Table1[[#This Row],[Destination - Other]]="","",HYPERLINK(Table1[[#This Row],[Destination - Other]],_xlfn.CONCAT("Link ("&amp;Table1[[#This Row],[Other]]&amp;")"))))</f>
        <v/>
      </c>
      <c r="BA299" s="59"/>
      <c r="BB299" s="58" t="str">
        <f>IF(AND( Table1[[#This Row],[Auto Order]]=1,Table1[[#This Row],[Obsolete]]=""),IF(Table1[[#This Row],[In stock]]&lt;Table1[[#This Row],[Min in stock]],1,""),"")</f>
        <v/>
      </c>
      <c r="BC299" s="64"/>
      <c r="BD299" s="66" t="str">
        <f>IF(Table1[[#This Row],[Obsolete]],Table1[[#This Row],[Art. Number]],"")</f>
        <v/>
      </c>
    </row>
    <row r="300" spans="1:56" x14ac:dyDescent="0.25">
      <c r="A300" s="65" t="s">
        <v>1778</v>
      </c>
      <c r="B300" s="57" t="s">
        <v>168</v>
      </c>
      <c r="C300" s="57" t="s">
        <v>97</v>
      </c>
      <c r="D300" s="57" t="s">
        <v>1779</v>
      </c>
      <c r="E300" s="57" t="s">
        <v>151</v>
      </c>
      <c r="F300" s="58">
        <v>0</v>
      </c>
      <c r="G300" s="58"/>
      <c r="H300" s="58"/>
      <c r="I30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RHM470DCT-ND</v>
      </c>
      <c r="J30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(RHM470DCT-ND)</v>
      </c>
      <c r="M300" s="57" t="s">
        <v>1780</v>
      </c>
      <c r="N300" s="59">
        <v>0.1</v>
      </c>
      <c r="O300" s="61" t="str">
        <f>IF(Table1[[#This Row],[Digikey]]="","", HYPERLINK(Table1[[#This Row],[Destination - Digikey]],_xlfn.CONCAT("Link (",Table1[[#This Row],[Digikey]],")")))</f>
        <v>Link (RHM470DCT-ND)</v>
      </c>
      <c r="P300" s="62" t="str">
        <f>_xlfn.CONCAT("https://www.digikey.ch/products/en?keywords=",Table1[[#This Row],[Digikey]])</f>
        <v>https://www.digikey.ch/products/en?keywords=RHM470DCT-ND</v>
      </c>
      <c r="Q300" s="57"/>
      <c r="R300" s="59"/>
      <c r="S300" s="61" t="str">
        <f>IF(Table1[[#This Row],[Farnell]]="","", HYPERLINK(Table1[[#This Row],[Destination - Farnell]],_xlfn.CONCAT("Link (",Table1[[#This Row],[Farnell]],")")))</f>
        <v/>
      </c>
      <c r="T300" s="62" t="str">
        <f>_xlfn.CONCAT("https://ch.farnell.com/fr-CH/",Table1[[#This Row],[Farnell]])</f>
        <v>https://ch.farnell.com/fr-CH/</v>
      </c>
      <c r="U300" s="57"/>
      <c r="V300" s="59"/>
      <c r="W300" s="61" t="str">
        <f>IF(Table1[[#This Row],[Distrelec]]="","", HYPERLINK(Table1[[#This Row],[Destination - Distrelec]],_xlfn.CONCAT("Link (",Table1[[#This Row],[Distrelec]],")")))</f>
        <v/>
      </c>
      <c r="X300" s="62" t="str">
        <f>_xlfn.CONCAT("https://www.distrelec.ch/search?q=",Table1[[#This Row],[Distrelec]])</f>
        <v>https://www.distrelec.ch/search?q=</v>
      </c>
      <c r="Y300" s="57"/>
      <c r="Z300" s="59"/>
      <c r="AA300" s="61" t="str">
        <f>IF(Table1[[#This Row],[Conrad]]="","", HYPERLINK(Table1[[#This Row],[Destination - Conrad]],_xlfn.CONCAT("Link (",Table1[[#This Row],[Conrad]],")")))</f>
        <v/>
      </c>
      <c r="AB300" s="62"/>
      <c r="AC300" s="57"/>
      <c r="AD300" s="59"/>
      <c r="AE300" s="61" t="str">
        <f>IF(Table1[[#This Row],[Mouser]]="","", HYPERLINK(Table1[[#This Row],[Destination - Mouser]],_xlfn.CONCAT("Link (",Table1[[#This Row],[Mouser]],")")))</f>
        <v/>
      </c>
      <c r="AF300" s="62" t="str">
        <f>_xlfn.CONCAT("https://www.mouser.ch/ProductDetail/",Table1[[#This Row],[Mouser]])</f>
        <v>https://www.mouser.ch/ProductDetail/</v>
      </c>
      <c r="AG300" s="57"/>
      <c r="AH300" s="59"/>
      <c r="AI300" s="61" t="str">
        <f>IF(Table1[[#This Row],[Bauhaus]]="","", HYPERLINK(Table1[[#This Row],[Destination - Bauhaus]],_xlfn.CONCAT("Link (",Table1[[#This Row],[Bauhaus]],")")))</f>
        <v/>
      </c>
      <c r="AJ300" s="62" t="str">
        <f>_xlfn.CONCAT("https://www.bauhaus.ch/fr/search?query=",Table1[[#This Row],[Bauhaus]])</f>
        <v>https://www.bauhaus.ch/fr/search?query=</v>
      </c>
      <c r="AK300" s="59"/>
      <c r="AL300" s="59"/>
      <c r="AM300" s="61" t="str">
        <f>IF(Table1[[#This Row],[BricoEtLoisirs]]="","", HYPERLINK(Table1[[#This Row],[Destination - BricoEtLoisirs]],_xlfn.CONCAT("Link (",Table1[[#This Row],[BricoEtLoisirs]],")")))</f>
        <v/>
      </c>
      <c r="AN300" s="62" t="str">
        <f>_xlfn.CONCAT("https://bricoetloisirs.ch/p/",Table1[[#This Row],[BricoEtLoisirs]])</f>
        <v>https://bricoetloisirs.ch/p/</v>
      </c>
      <c r="AO300" s="57"/>
      <c r="AP300" s="59"/>
      <c r="AQ300" s="61" t="str">
        <f>IF(Table1[[#This Row],[Aliexpress]]="","", HYPERLINK(Table1[[#This Row],[Destination - Aliexpress]],_xlfn.CONCAT("Link (",Table1[[#This Row],[Aliexpress]],")")))</f>
        <v/>
      </c>
      <c r="AR300" s="62" t="str">
        <f>_xlfn.CONCAT("https://www.aliexpress.com/item/",Table1[[#This Row],[Aliexpress]],".html")</f>
        <v>https://www.aliexpress.com/item/.html</v>
      </c>
      <c r="AS300" s="57"/>
      <c r="AT300" s="59"/>
      <c r="AU300" s="61" t="str">
        <f>IF(Table1[[#This Row],[Banggood]]="","", HYPERLINK(Table1[[#This Row],[Destination - Banggood]],_xlfn.CONCAT("Link (",Table1[[#This Row],[Banggood]],")")))</f>
        <v/>
      </c>
      <c r="AV300" s="62" t="str">
        <f>_xlfn.CONCAT("https://www.banggood.com/search/",Table1[[#This Row],[Banggood]],".html")</f>
        <v>https://www.banggood.com/search/.html</v>
      </c>
      <c r="AW300" s="59" t="str">
        <f>IF(Table1[[#This Row],[Other]]&lt;&gt;"","Other","")</f>
        <v/>
      </c>
      <c r="AX300" s="57"/>
      <c r="AY300" s="59"/>
      <c r="AZ300" s="61" t="str">
        <f>IF(Table1[[#This Row],[Other]]="","",IF(Table1[[#This Row],[Destination - Other]]="","",HYPERLINK(Table1[[#This Row],[Destination - Other]],_xlfn.CONCAT("Link ("&amp;Table1[[#This Row],[Other]]&amp;")"))))</f>
        <v/>
      </c>
      <c r="BA300" s="59"/>
      <c r="BB300" s="58" t="str">
        <f>IF(AND( Table1[[#This Row],[Auto Order]]=1,Table1[[#This Row],[Obsolete]]=""),IF(Table1[[#This Row],[In stock]]&lt;Table1[[#This Row],[Min in stock]],1,""),"")</f>
        <v/>
      </c>
      <c r="BC300" s="64"/>
      <c r="BD300" s="66" t="str">
        <f>IF(Table1[[#This Row],[Obsolete]],Table1[[#This Row],[Art. Number]],"")</f>
        <v/>
      </c>
    </row>
    <row r="301" spans="1:56" x14ac:dyDescent="0.25">
      <c r="A301" s="65" t="s">
        <v>184</v>
      </c>
      <c r="B301" s="57" t="s">
        <v>168</v>
      </c>
      <c r="C301" s="57" t="s">
        <v>1784</v>
      </c>
      <c r="D301" s="57" t="s">
        <v>1785</v>
      </c>
      <c r="E301" s="57" t="s">
        <v>151</v>
      </c>
      <c r="F301" s="58">
        <v>10</v>
      </c>
      <c r="G301" s="58">
        <v>10</v>
      </c>
      <c r="H301" s="58">
        <v>1</v>
      </c>
      <c r="I30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RHM4.7KDCT-ND</v>
      </c>
      <c r="J30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(RHM4.7KDCT-ND)</v>
      </c>
      <c r="M301" s="57" t="s">
        <v>1786</v>
      </c>
      <c r="N301" s="59">
        <v>0.1</v>
      </c>
      <c r="O301" s="61" t="str">
        <f>IF(Table1[[#This Row],[Digikey]]="","", HYPERLINK(Table1[[#This Row],[Destination - Digikey]],_xlfn.CONCAT("Link (",Table1[[#This Row],[Digikey]],")")))</f>
        <v>Link (RHM4.7KDCT-ND)</v>
      </c>
      <c r="P301" s="62" t="str">
        <f>_xlfn.CONCAT("https://www.digikey.ch/products/en?keywords=",Table1[[#This Row],[Digikey]])</f>
        <v>https://www.digikey.ch/products/en?keywords=RHM4.7KDCT-ND</v>
      </c>
      <c r="Q301" s="57"/>
      <c r="R301" s="59"/>
      <c r="S301" s="61" t="str">
        <f>IF(Table1[[#This Row],[Farnell]]="","", HYPERLINK(Table1[[#This Row],[Destination - Farnell]],_xlfn.CONCAT("Link (",Table1[[#This Row],[Farnell]],")")))</f>
        <v/>
      </c>
      <c r="T301" s="62" t="str">
        <f>_xlfn.CONCAT("https://ch.farnell.com/fr-CH/",Table1[[#This Row],[Farnell]])</f>
        <v>https://ch.farnell.com/fr-CH/</v>
      </c>
      <c r="U301" s="57"/>
      <c r="V301" s="59"/>
      <c r="W301" s="61" t="str">
        <f>IF(Table1[[#This Row],[Distrelec]]="","", HYPERLINK(Table1[[#This Row],[Destination - Distrelec]],_xlfn.CONCAT("Link (",Table1[[#This Row],[Distrelec]],")")))</f>
        <v/>
      </c>
      <c r="X301" s="62" t="str">
        <f>_xlfn.CONCAT("https://www.distrelec.ch/search?q=",Table1[[#This Row],[Distrelec]])</f>
        <v>https://www.distrelec.ch/search?q=</v>
      </c>
      <c r="Y301" s="57"/>
      <c r="Z301" s="59"/>
      <c r="AA301" s="61" t="str">
        <f>IF(Table1[[#This Row],[Conrad]]="","", HYPERLINK(Table1[[#This Row],[Destination - Conrad]],_xlfn.CONCAT("Link (",Table1[[#This Row],[Conrad]],")")))</f>
        <v/>
      </c>
      <c r="AB301" s="62"/>
      <c r="AC301" s="57"/>
      <c r="AD301" s="59"/>
      <c r="AE301" s="61" t="str">
        <f>IF(Table1[[#This Row],[Mouser]]="","", HYPERLINK(Table1[[#This Row],[Destination - Mouser]],_xlfn.CONCAT("Link (",Table1[[#This Row],[Mouser]],")")))</f>
        <v/>
      </c>
      <c r="AF301" s="62" t="str">
        <f>_xlfn.CONCAT("https://www.mouser.ch/ProductDetail/",Table1[[#This Row],[Mouser]])</f>
        <v>https://www.mouser.ch/ProductDetail/</v>
      </c>
      <c r="AG301" s="57"/>
      <c r="AH301" s="59"/>
      <c r="AI301" s="61" t="str">
        <f>IF(Table1[[#This Row],[Bauhaus]]="","", HYPERLINK(Table1[[#This Row],[Destination - Bauhaus]],_xlfn.CONCAT("Link (",Table1[[#This Row],[Bauhaus]],")")))</f>
        <v/>
      </c>
      <c r="AJ301" s="62" t="str">
        <f>_xlfn.CONCAT("https://www.bauhaus.ch/fr/search?query=",Table1[[#This Row],[Bauhaus]])</f>
        <v>https://www.bauhaus.ch/fr/search?query=</v>
      </c>
      <c r="AK301" s="59"/>
      <c r="AL301" s="59"/>
      <c r="AM301" s="61" t="str">
        <f>IF(Table1[[#This Row],[BricoEtLoisirs]]="","", HYPERLINK(Table1[[#This Row],[Destination - BricoEtLoisirs]],_xlfn.CONCAT("Link (",Table1[[#This Row],[BricoEtLoisirs]],")")))</f>
        <v/>
      </c>
      <c r="AN301" s="62" t="str">
        <f>_xlfn.CONCAT("https://bricoetloisirs.ch/p/",Table1[[#This Row],[BricoEtLoisirs]])</f>
        <v>https://bricoetloisirs.ch/p/</v>
      </c>
      <c r="AO301" s="57"/>
      <c r="AP301" s="59"/>
      <c r="AQ301" s="61" t="str">
        <f>IF(Table1[[#This Row],[Aliexpress]]="","", HYPERLINK(Table1[[#This Row],[Destination - Aliexpress]],_xlfn.CONCAT("Link (",Table1[[#This Row],[Aliexpress]],")")))</f>
        <v/>
      </c>
      <c r="AR301" s="62" t="str">
        <f>_xlfn.CONCAT("https://www.aliexpress.com/item/",Table1[[#This Row],[Aliexpress]],".html")</f>
        <v>https://www.aliexpress.com/item/.html</v>
      </c>
      <c r="AS301" s="57"/>
      <c r="AT301" s="59"/>
      <c r="AU301" s="61" t="str">
        <f>IF(Table1[[#This Row],[Banggood]]="","", HYPERLINK(Table1[[#This Row],[Destination - Banggood]],_xlfn.CONCAT("Link (",Table1[[#This Row],[Banggood]],")")))</f>
        <v/>
      </c>
      <c r="AV301" s="62" t="str">
        <f>_xlfn.CONCAT("https://www.banggood.com/search/",Table1[[#This Row],[Banggood]],".html")</f>
        <v>https://www.banggood.com/search/.html</v>
      </c>
      <c r="AW301" s="59" t="str">
        <f>IF(Table1[[#This Row],[Other]]&lt;&gt;"","Other","")</f>
        <v/>
      </c>
      <c r="AX301" s="57"/>
      <c r="AY301" s="59"/>
      <c r="AZ301" s="61" t="str">
        <f>IF(Table1[[#This Row],[Other]]="","",IF(Table1[[#This Row],[Destination - Other]]="","",HYPERLINK(Table1[[#This Row],[Destination - Other]],_xlfn.CONCAT("Link ("&amp;Table1[[#This Row],[Other]]&amp;")"))))</f>
        <v/>
      </c>
      <c r="BA301" s="59"/>
      <c r="BB301" s="58" t="str">
        <f>IF(AND( Table1[[#This Row],[Auto Order]]=1,Table1[[#This Row],[Obsolete]]=""),IF(Table1[[#This Row],[In stock]]&lt;Table1[[#This Row],[Min in stock]],1,""),"")</f>
        <v/>
      </c>
      <c r="BC301" s="64"/>
      <c r="BD301" s="66" t="str">
        <f>IF(Table1[[#This Row],[Obsolete]],Table1[[#This Row],[Art. Number]],"")</f>
        <v/>
      </c>
    </row>
    <row r="302" spans="1:56" x14ac:dyDescent="0.25">
      <c r="A302" s="65" t="s">
        <v>1790</v>
      </c>
      <c r="B302" s="57" t="s">
        <v>168</v>
      </c>
      <c r="C302" s="57" t="s">
        <v>97</v>
      </c>
      <c r="D302" s="57" t="s">
        <v>1791</v>
      </c>
      <c r="E302" s="57" t="s">
        <v>151</v>
      </c>
      <c r="F302" s="58">
        <v>0</v>
      </c>
      <c r="G302" s="58"/>
      <c r="H302" s="58"/>
      <c r="I30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RHM47KDCT-ND</v>
      </c>
      <c r="J30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(RHM47KDCT-ND)</v>
      </c>
      <c r="M302" s="57" t="s">
        <v>1792</v>
      </c>
      <c r="N302" s="59">
        <v>0.1</v>
      </c>
      <c r="O302" s="61" t="str">
        <f>IF(Table1[[#This Row],[Digikey]]="","", HYPERLINK(Table1[[#This Row],[Destination - Digikey]],_xlfn.CONCAT("Link (",Table1[[#This Row],[Digikey]],")")))</f>
        <v>Link (RHM47KDCT-ND)</v>
      </c>
      <c r="P302" s="62" t="str">
        <f>_xlfn.CONCAT("https://www.digikey.ch/products/en?keywords=",Table1[[#This Row],[Digikey]])</f>
        <v>https://www.digikey.ch/products/en?keywords=RHM47KDCT-ND</v>
      </c>
      <c r="Q302" s="57"/>
      <c r="R302" s="59"/>
      <c r="S302" s="61" t="str">
        <f>IF(Table1[[#This Row],[Farnell]]="","", HYPERLINK(Table1[[#This Row],[Destination - Farnell]],_xlfn.CONCAT("Link (",Table1[[#This Row],[Farnell]],")")))</f>
        <v/>
      </c>
      <c r="T302" s="62" t="str">
        <f>_xlfn.CONCAT("https://ch.farnell.com/fr-CH/",Table1[[#This Row],[Farnell]])</f>
        <v>https://ch.farnell.com/fr-CH/</v>
      </c>
      <c r="U302" s="57"/>
      <c r="V302" s="59"/>
      <c r="W302" s="61" t="str">
        <f>IF(Table1[[#This Row],[Distrelec]]="","", HYPERLINK(Table1[[#This Row],[Destination - Distrelec]],_xlfn.CONCAT("Link (",Table1[[#This Row],[Distrelec]],")")))</f>
        <v/>
      </c>
      <c r="X302" s="62" t="str">
        <f>_xlfn.CONCAT("https://www.distrelec.ch/search?q=",Table1[[#This Row],[Distrelec]])</f>
        <v>https://www.distrelec.ch/search?q=</v>
      </c>
      <c r="Y302" s="57"/>
      <c r="Z302" s="59"/>
      <c r="AA302" s="61" t="str">
        <f>IF(Table1[[#This Row],[Conrad]]="","", HYPERLINK(Table1[[#This Row],[Destination - Conrad]],_xlfn.CONCAT("Link (",Table1[[#This Row],[Conrad]],")")))</f>
        <v/>
      </c>
      <c r="AB302" s="62"/>
      <c r="AC302" s="57"/>
      <c r="AD302" s="59"/>
      <c r="AE302" s="61" t="str">
        <f>IF(Table1[[#This Row],[Mouser]]="","", HYPERLINK(Table1[[#This Row],[Destination - Mouser]],_xlfn.CONCAT("Link (",Table1[[#This Row],[Mouser]],")")))</f>
        <v/>
      </c>
      <c r="AF302" s="62" t="str">
        <f>_xlfn.CONCAT("https://www.mouser.ch/ProductDetail/",Table1[[#This Row],[Mouser]])</f>
        <v>https://www.mouser.ch/ProductDetail/</v>
      </c>
      <c r="AG302" s="57"/>
      <c r="AH302" s="59"/>
      <c r="AI302" s="61" t="str">
        <f>IF(Table1[[#This Row],[Bauhaus]]="","", HYPERLINK(Table1[[#This Row],[Destination - Bauhaus]],_xlfn.CONCAT("Link (",Table1[[#This Row],[Bauhaus]],")")))</f>
        <v/>
      </c>
      <c r="AJ302" s="62" t="str">
        <f>_xlfn.CONCAT("https://www.bauhaus.ch/fr/search?query=",Table1[[#This Row],[Bauhaus]])</f>
        <v>https://www.bauhaus.ch/fr/search?query=</v>
      </c>
      <c r="AK302" s="59"/>
      <c r="AL302" s="59"/>
      <c r="AM302" s="61" t="str">
        <f>IF(Table1[[#This Row],[BricoEtLoisirs]]="","", HYPERLINK(Table1[[#This Row],[Destination - BricoEtLoisirs]],_xlfn.CONCAT("Link (",Table1[[#This Row],[BricoEtLoisirs]],")")))</f>
        <v/>
      </c>
      <c r="AN302" s="62" t="str">
        <f>_xlfn.CONCAT("https://bricoetloisirs.ch/p/",Table1[[#This Row],[BricoEtLoisirs]])</f>
        <v>https://bricoetloisirs.ch/p/</v>
      </c>
      <c r="AO302" s="57"/>
      <c r="AP302" s="59"/>
      <c r="AQ302" s="61" t="str">
        <f>IF(Table1[[#This Row],[Aliexpress]]="","", HYPERLINK(Table1[[#This Row],[Destination - Aliexpress]],_xlfn.CONCAT("Link (",Table1[[#This Row],[Aliexpress]],")")))</f>
        <v/>
      </c>
      <c r="AR302" s="62" t="str">
        <f>_xlfn.CONCAT("https://www.aliexpress.com/item/",Table1[[#This Row],[Aliexpress]],".html")</f>
        <v>https://www.aliexpress.com/item/.html</v>
      </c>
      <c r="AS302" s="57"/>
      <c r="AT302" s="59"/>
      <c r="AU302" s="61" t="str">
        <f>IF(Table1[[#This Row],[Banggood]]="","", HYPERLINK(Table1[[#This Row],[Destination - Banggood]],_xlfn.CONCAT("Link (",Table1[[#This Row],[Banggood]],")")))</f>
        <v/>
      </c>
      <c r="AV302" s="62" t="str">
        <f>_xlfn.CONCAT("https://www.banggood.com/search/",Table1[[#This Row],[Banggood]],".html")</f>
        <v>https://www.banggood.com/search/.html</v>
      </c>
      <c r="AW302" s="59" t="str">
        <f>IF(Table1[[#This Row],[Other]]&lt;&gt;"","Other","")</f>
        <v/>
      </c>
      <c r="AX302" s="57"/>
      <c r="AY302" s="59"/>
      <c r="AZ302" s="61" t="str">
        <f>IF(Table1[[#This Row],[Other]]="","",IF(Table1[[#This Row],[Destination - Other]]="","",HYPERLINK(Table1[[#This Row],[Destination - Other]],_xlfn.CONCAT("Link ("&amp;Table1[[#This Row],[Other]]&amp;")"))))</f>
        <v/>
      </c>
      <c r="BA302" s="59"/>
      <c r="BB302" s="58" t="str">
        <f>IF(AND( Table1[[#This Row],[Auto Order]]=1,Table1[[#This Row],[Obsolete]]=""),IF(Table1[[#This Row],[In stock]]&lt;Table1[[#This Row],[Min in stock]],1,""),"")</f>
        <v/>
      </c>
      <c r="BC302" s="64"/>
      <c r="BD302" s="66" t="str">
        <f>IF(Table1[[#This Row],[Obsolete]],Table1[[#This Row],[Art. Number]],"")</f>
        <v/>
      </c>
    </row>
    <row r="303" spans="1:56" x14ac:dyDescent="0.25">
      <c r="A303" s="65" t="s">
        <v>1796</v>
      </c>
      <c r="B303" s="57" t="s">
        <v>168</v>
      </c>
      <c r="C303" s="57" t="s">
        <v>97</v>
      </c>
      <c r="D303" s="57" t="s">
        <v>1797</v>
      </c>
      <c r="E303" s="57" t="s">
        <v>151</v>
      </c>
      <c r="F303" s="58">
        <v>0</v>
      </c>
      <c r="G303" s="58"/>
      <c r="H303" s="58"/>
      <c r="I30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RHM470KDCT-ND</v>
      </c>
      <c r="J30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(RHM470KDCT-ND)</v>
      </c>
      <c r="M303" s="57" t="s">
        <v>1798</v>
      </c>
      <c r="N303" s="59">
        <v>0.1</v>
      </c>
      <c r="O303" s="61" t="str">
        <f>IF(Table1[[#This Row],[Digikey]]="","", HYPERLINK(Table1[[#This Row],[Destination - Digikey]],_xlfn.CONCAT("Link (",Table1[[#This Row],[Digikey]],")")))</f>
        <v>Link (RHM470KDCT-ND)</v>
      </c>
      <c r="P303" s="62" t="str">
        <f>_xlfn.CONCAT("https://www.digikey.ch/products/en?keywords=",Table1[[#This Row],[Digikey]])</f>
        <v>https://www.digikey.ch/products/en?keywords=RHM470KDCT-ND</v>
      </c>
      <c r="Q303" s="57"/>
      <c r="R303" s="59"/>
      <c r="S303" s="61" t="str">
        <f>IF(Table1[[#This Row],[Farnell]]="","", HYPERLINK(Table1[[#This Row],[Destination - Farnell]],_xlfn.CONCAT("Link (",Table1[[#This Row],[Farnell]],")")))</f>
        <v/>
      </c>
      <c r="T303" s="62" t="str">
        <f>_xlfn.CONCAT("https://ch.farnell.com/fr-CH/",Table1[[#This Row],[Farnell]])</f>
        <v>https://ch.farnell.com/fr-CH/</v>
      </c>
      <c r="U303" s="57"/>
      <c r="V303" s="59"/>
      <c r="W303" s="61" t="str">
        <f>IF(Table1[[#This Row],[Distrelec]]="","", HYPERLINK(Table1[[#This Row],[Destination - Distrelec]],_xlfn.CONCAT("Link (",Table1[[#This Row],[Distrelec]],")")))</f>
        <v/>
      </c>
      <c r="X303" s="62" t="str">
        <f>_xlfn.CONCAT("https://www.distrelec.ch/search?q=",Table1[[#This Row],[Distrelec]])</f>
        <v>https://www.distrelec.ch/search?q=</v>
      </c>
      <c r="Y303" s="57"/>
      <c r="Z303" s="59"/>
      <c r="AA303" s="61" t="str">
        <f>IF(Table1[[#This Row],[Conrad]]="","", HYPERLINK(Table1[[#This Row],[Destination - Conrad]],_xlfn.CONCAT("Link (",Table1[[#This Row],[Conrad]],")")))</f>
        <v/>
      </c>
      <c r="AB303" s="62"/>
      <c r="AC303" s="57"/>
      <c r="AD303" s="59"/>
      <c r="AE303" s="61" t="str">
        <f>IF(Table1[[#This Row],[Mouser]]="","", HYPERLINK(Table1[[#This Row],[Destination - Mouser]],_xlfn.CONCAT("Link (",Table1[[#This Row],[Mouser]],")")))</f>
        <v/>
      </c>
      <c r="AF303" s="62" t="str">
        <f>_xlfn.CONCAT("https://www.mouser.ch/ProductDetail/",Table1[[#This Row],[Mouser]])</f>
        <v>https://www.mouser.ch/ProductDetail/</v>
      </c>
      <c r="AG303" s="57"/>
      <c r="AH303" s="59"/>
      <c r="AI303" s="61" t="str">
        <f>IF(Table1[[#This Row],[Bauhaus]]="","", HYPERLINK(Table1[[#This Row],[Destination - Bauhaus]],_xlfn.CONCAT("Link (",Table1[[#This Row],[Bauhaus]],")")))</f>
        <v/>
      </c>
      <c r="AJ303" s="62" t="str">
        <f>_xlfn.CONCAT("https://www.bauhaus.ch/fr/search?query=",Table1[[#This Row],[Bauhaus]])</f>
        <v>https://www.bauhaus.ch/fr/search?query=</v>
      </c>
      <c r="AK303" s="59"/>
      <c r="AL303" s="59"/>
      <c r="AM303" s="61" t="str">
        <f>IF(Table1[[#This Row],[BricoEtLoisirs]]="","", HYPERLINK(Table1[[#This Row],[Destination - BricoEtLoisirs]],_xlfn.CONCAT("Link (",Table1[[#This Row],[BricoEtLoisirs]],")")))</f>
        <v/>
      </c>
      <c r="AN303" s="62" t="str">
        <f>_xlfn.CONCAT("https://bricoetloisirs.ch/p/",Table1[[#This Row],[BricoEtLoisirs]])</f>
        <v>https://bricoetloisirs.ch/p/</v>
      </c>
      <c r="AO303" s="57"/>
      <c r="AP303" s="59"/>
      <c r="AQ303" s="61" t="str">
        <f>IF(Table1[[#This Row],[Aliexpress]]="","", HYPERLINK(Table1[[#This Row],[Destination - Aliexpress]],_xlfn.CONCAT("Link (",Table1[[#This Row],[Aliexpress]],")")))</f>
        <v/>
      </c>
      <c r="AR303" s="62" t="str">
        <f>_xlfn.CONCAT("https://www.aliexpress.com/item/",Table1[[#This Row],[Aliexpress]],".html")</f>
        <v>https://www.aliexpress.com/item/.html</v>
      </c>
      <c r="AS303" s="57"/>
      <c r="AT303" s="59"/>
      <c r="AU303" s="61" t="str">
        <f>IF(Table1[[#This Row],[Banggood]]="","", HYPERLINK(Table1[[#This Row],[Destination - Banggood]],_xlfn.CONCAT("Link (",Table1[[#This Row],[Banggood]],")")))</f>
        <v/>
      </c>
      <c r="AV303" s="62" t="str">
        <f>_xlfn.CONCAT("https://www.banggood.com/search/",Table1[[#This Row],[Banggood]],".html")</f>
        <v>https://www.banggood.com/search/.html</v>
      </c>
      <c r="AW303" s="59" t="str">
        <f>IF(Table1[[#This Row],[Other]]&lt;&gt;"","Other","")</f>
        <v/>
      </c>
      <c r="AX303" s="57"/>
      <c r="AY303" s="59"/>
      <c r="AZ303" s="61" t="str">
        <f>IF(Table1[[#This Row],[Other]]="","",IF(Table1[[#This Row],[Destination - Other]]="","",HYPERLINK(Table1[[#This Row],[Destination - Other]],_xlfn.CONCAT("Link ("&amp;Table1[[#This Row],[Other]]&amp;")"))))</f>
        <v/>
      </c>
      <c r="BA303" s="59"/>
      <c r="BB303" s="58" t="str">
        <f>IF(AND( Table1[[#This Row],[Auto Order]]=1,Table1[[#This Row],[Obsolete]]=""),IF(Table1[[#This Row],[In stock]]&lt;Table1[[#This Row],[Min in stock]],1,""),"")</f>
        <v/>
      </c>
      <c r="BC303" s="64"/>
      <c r="BD303" s="66" t="str">
        <f>IF(Table1[[#This Row],[Obsolete]],Table1[[#This Row],[Art. Number]],"")</f>
        <v/>
      </c>
    </row>
    <row r="304" spans="1:56" x14ac:dyDescent="0.25">
      <c r="A304" s="65" t="s">
        <v>1802</v>
      </c>
      <c r="B304" s="57" t="s">
        <v>168</v>
      </c>
      <c r="C304" s="57" t="s">
        <v>97</v>
      </c>
      <c r="D304" s="57" t="s">
        <v>1803</v>
      </c>
      <c r="E304" s="57" t="s">
        <v>151</v>
      </c>
      <c r="F304" s="58">
        <v>0</v>
      </c>
      <c r="G304" s="58"/>
      <c r="H304" s="58"/>
      <c r="I30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RHM4.7MDCT-ND</v>
      </c>
      <c r="J30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(RHM4.7MDCT-ND)</v>
      </c>
      <c r="M304" s="57" t="s">
        <v>1804</v>
      </c>
      <c r="N304" s="59">
        <v>0.1</v>
      </c>
      <c r="O304" s="61" t="str">
        <f>IF(Table1[[#This Row],[Digikey]]="","", HYPERLINK(Table1[[#This Row],[Destination - Digikey]],_xlfn.CONCAT("Link (",Table1[[#This Row],[Digikey]],")")))</f>
        <v>Link (RHM4.7MDCT-ND)</v>
      </c>
      <c r="P304" s="62" t="str">
        <f>_xlfn.CONCAT("https://www.digikey.ch/products/en?keywords=",Table1[[#This Row],[Digikey]])</f>
        <v>https://www.digikey.ch/products/en?keywords=RHM4.7MDCT-ND</v>
      </c>
      <c r="Q304" s="57"/>
      <c r="R304" s="59"/>
      <c r="S304" s="61" t="str">
        <f>IF(Table1[[#This Row],[Farnell]]="","", HYPERLINK(Table1[[#This Row],[Destination - Farnell]],_xlfn.CONCAT("Link (",Table1[[#This Row],[Farnell]],")")))</f>
        <v/>
      </c>
      <c r="T304" s="62" t="str">
        <f>_xlfn.CONCAT("https://ch.farnell.com/fr-CH/",Table1[[#This Row],[Farnell]])</f>
        <v>https://ch.farnell.com/fr-CH/</v>
      </c>
      <c r="U304" s="57"/>
      <c r="V304" s="59"/>
      <c r="W304" s="61" t="str">
        <f>IF(Table1[[#This Row],[Distrelec]]="","", HYPERLINK(Table1[[#This Row],[Destination - Distrelec]],_xlfn.CONCAT("Link (",Table1[[#This Row],[Distrelec]],")")))</f>
        <v/>
      </c>
      <c r="X304" s="62" t="str">
        <f>_xlfn.CONCAT("https://www.distrelec.ch/search?q=",Table1[[#This Row],[Distrelec]])</f>
        <v>https://www.distrelec.ch/search?q=</v>
      </c>
      <c r="Y304" s="57"/>
      <c r="Z304" s="59"/>
      <c r="AA304" s="61" t="str">
        <f>IF(Table1[[#This Row],[Conrad]]="","", HYPERLINK(Table1[[#This Row],[Destination - Conrad]],_xlfn.CONCAT("Link (",Table1[[#This Row],[Conrad]],")")))</f>
        <v/>
      </c>
      <c r="AB304" s="62"/>
      <c r="AC304" s="57"/>
      <c r="AD304" s="59"/>
      <c r="AE304" s="61" t="str">
        <f>IF(Table1[[#This Row],[Mouser]]="","", HYPERLINK(Table1[[#This Row],[Destination - Mouser]],_xlfn.CONCAT("Link (",Table1[[#This Row],[Mouser]],")")))</f>
        <v/>
      </c>
      <c r="AF304" s="62" t="str">
        <f>_xlfn.CONCAT("https://www.mouser.ch/ProductDetail/",Table1[[#This Row],[Mouser]])</f>
        <v>https://www.mouser.ch/ProductDetail/</v>
      </c>
      <c r="AG304" s="57"/>
      <c r="AH304" s="59"/>
      <c r="AI304" s="61" t="str">
        <f>IF(Table1[[#This Row],[Bauhaus]]="","", HYPERLINK(Table1[[#This Row],[Destination - Bauhaus]],_xlfn.CONCAT("Link (",Table1[[#This Row],[Bauhaus]],")")))</f>
        <v/>
      </c>
      <c r="AJ304" s="62" t="str">
        <f>_xlfn.CONCAT("https://www.bauhaus.ch/fr/search?query=",Table1[[#This Row],[Bauhaus]])</f>
        <v>https://www.bauhaus.ch/fr/search?query=</v>
      </c>
      <c r="AK304" s="59"/>
      <c r="AL304" s="59"/>
      <c r="AM304" s="61" t="str">
        <f>IF(Table1[[#This Row],[BricoEtLoisirs]]="","", HYPERLINK(Table1[[#This Row],[Destination - BricoEtLoisirs]],_xlfn.CONCAT("Link (",Table1[[#This Row],[BricoEtLoisirs]],")")))</f>
        <v/>
      </c>
      <c r="AN304" s="62" t="str">
        <f>_xlfn.CONCAT("https://bricoetloisirs.ch/p/",Table1[[#This Row],[BricoEtLoisirs]])</f>
        <v>https://bricoetloisirs.ch/p/</v>
      </c>
      <c r="AO304" s="57"/>
      <c r="AP304" s="59"/>
      <c r="AQ304" s="61" t="str">
        <f>IF(Table1[[#This Row],[Aliexpress]]="","", HYPERLINK(Table1[[#This Row],[Destination - Aliexpress]],_xlfn.CONCAT("Link (",Table1[[#This Row],[Aliexpress]],")")))</f>
        <v/>
      </c>
      <c r="AR304" s="62" t="str">
        <f>_xlfn.CONCAT("https://www.aliexpress.com/item/",Table1[[#This Row],[Aliexpress]],".html")</f>
        <v>https://www.aliexpress.com/item/.html</v>
      </c>
      <c r="AS304" s="57"/>
      <c r="AT304" s="59"/>
      <c r="AU304" s="61" t="str">
        <f>IF(Table1[[#This Row],[Banggood]]="","", HYPERLINK(Table1[[#This Row],[Destination - Banggood]],_xlfn.CONCAT("Link (",Table1[[#This Row],[Banggood]],")")))</f>
        <v/>
      </c>
      <c r="AV304" s="62" t="str">
        <f>_xlfn.CONCAT("https://www.banggood.com/search/",Table1[[#This Row],[Banggood]],".html")</f>
        <v>https://www.banggood.com/search/.html</v>
      </c>
      <c r="AW304" s="59" t="str">
        <f>IF(Table1[[#This Row],[Other]]&lt;&gt;"","Other","")</f>
        <v/>
      </c>
      <c r="AX304" s="57"/>
      <c r="AY304" s="59"/>
      <c r="AZ304" s="61" t="str">
        <f>IF(Table1[[#This Row],[Other]]="","",IF(Table1[[#This Row],[Destination - Other]]="","",HYPERLINK(Table1[[#This Row],[Destination - Other]],_xlfn.CONCAT("Link ("&amp;Table1[[#This Row],[Other]]&amp;")"))))</f>
        <v/>
      </c>
      <c r="BA304" s="59"/>
      <c r="BB304" s="58" t="str">
        <f>IF(AND( Table1[[#This Row],[Auto Order]]=1,Table1[[#This Row],[Obsolete]]=""),IF(Table1[[#This Row],[In stock]]&lt;Table1[[#This Row],[Min in stock]],1,""),"")</f>
        <v/>
      </c>
      <c r="BC304" s="64"/>
      <c r="BD304" s="66" t="str">
        <f>IF(Table1[[#This Row],[Obsolete]],Table1[[#This Row],[Art. Number]],"")</f>
        <v/>
      </c>
    </row>
    <row r="305" spans="1:56" x14ac:dyDescent="0.25">
      <c r="A305" s="65" t="s">
        <v>1808</v>
      </c>
      <c r="B305" s="57" t="s">
        <v>168</v>
      </c>
      <c r="C305" s="57" t="s">
        <v>97</v>
      </c>
      <c r="D305" s="57" t="s">
        <v>1809</v>
      </c>
      <c r="E305" s="57" t="s">
        <v>151</v>
      </c>
      <c r="F305" s="58">
        <v>0</v>
      </c>
      <c r="G305" s="58"/>
      <c r="H305" s="58"/>
      <c r="I30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RHM4.3DCT-ND</v>
      </c>
      <c r="J30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(RHM4.3DCT-ND)</v>
      </c>
      <c r="M305" s="57" t="s">
        <v>1810</v>
      </c>
      <c r="N305" s="59">
        <v>0.1</v>
      </c>
      <c r="O305" s="61" t="str">
        <f>IF(Table1[[#This Row],[Digikey]]="","", HYPERLINK(Table1[[#This Row],[Destination - Digikey]],_xlfn.CONCAT("Link (",Table1[[#This Row],[Digikey]],")")))</f>
        <v>Link (RHM4.3DCT-ND)</v>
      </c>
      <c r="P305" s="62" t="str">
        <f>_xlfn.CONCAT("https://www.digikey.ch/products/en?keywords=",Table1[[#This Row],[Digikey]])</f>
        <v>https://www.digikey.ch/products/en?keywords=RHM4.3DCT-ND</v>
      </c>
      <c r="Q305" s="57"/>
      <c r="R305" s="59"/>
      <c r="S305" s="61" t="str">
        <f>IF(Table1[[#This Row],[Farnell]]="","", HYPERLINK(Table1[[#This Row],[Destination - Farnell]],_xlfn.CONCAT("Link (",Table1[[#This Row],[Farnell]],")")))</f>
        <v/>
      </c>
      <c r="T305" s="62" t="str">
        <f>_xlfn.CONCAT("https://ch.farnell.com/fr-CH/",Table1[[#This Row],[Farnell]])</f>
        <v>https://ch.farnell.com/fr-CH/</v>
      </c>
      <c r="U305" s="57"/>
      <c r="V305" s="59"/>
      <c r="W305" s="61" t="str">
        <f>IF(Table1[[#This Row],[Distrelec]]="","", HYPERLINK(Table1[[#This Row],[Destination - Distrelec]],_xlfn.CONCAT("Link (",Table1[[#This Row],[Distrelec]],")")))</f>
        <v/>
      </c>
      <c r="X305" s="62" t="str">
        <f>_xlfn.CONCAT("https://www.distrelec.ch/search?q=",Table1[[#This Row],[Distrelec]])</f>
        <v>https://www.distrelec.ch/search?q=</v>
      </c>
      <c r="Y305" s="57"/>
      <c r="Z305" s="59"/>
      <c r="AA305" s="61" t="str">
        <f>IF(Table1[[#This Row],[Conrad]]="","", HYPERLINK(Table1[[#This Row],[Destination - Conrad]],_xlfn.CONCAT("Link (",Table1[[#This Row],[Conrad]],")")))</f>
        <v/>
      </c>
      <c r="AB305" s="62"/>
      <c r="AC305" s="57"/>
      <c r="AD305" s="59"/>
      <c r="AE305" s="61" t="str">
        <f>IF(Table1[[#This Row],[Mouser]]="","", HYPERLINK(Table1[[#This Row],[Destination - Mouser]],_xlfn.CONCAT("Link (",Table1[[#This Row],[Mouser]],")")))</f>
        <v/>
      </c>
      <c r="AF305" s="62" t="str">
        <f>_xlfn.CONCAT("https://www.mouser.ch/ProductDetail/",Table1[[#This Row],[Mouser]])</f>
        <v>https://www.mouser.ch/ProductDetail/</v>
      </c>
      <c r="AG305" s="57"/>
      <c r="AH305" s="59"/>
      <c r="AI305" s="61" t="str">
        <f>IF(Table1[[#This Row],[Bauhaus]]="","", HYPERLINK(Table1[[#This Row],[Destination - Bauhaus]],_xlfn.CONCAT("Link (",Table1[[#This Row],[Bauhaus]],")")))</f>
        <v/>
      </c>
      <c r="AJ305" s="62" t="str">
        <f>_xlfn.CONCAT("https://www.bauhaus.ch/fr/search?query=",Table1[[#This Row],[Bauhaus]])</f>
        <v>https://www.bauhaus.ch/fr/search?query=</v>
      </c>
      <c r="AK305" s="59"/>
      <c r="AL305" s="59"/>
      <c r="AM305" s="61" t="str">
        <f>IF(Table1[[#This Row],[BricoEtLoisirs]]="","", HYPERLINK(Table1[[#This Row],[Destination - BricoEtLoisirs]],_xlfn.CONCAT("Link (",Table1[[#This Row],[BricoEtLoisirs]],")")))</f>
        <v/>
      </c>
      <c r="AN305" s="62" t="str">
        <f>_xlfn.CONCAT("https://bricoetloisirs.ch/p/",Table1[[#This Row],[BricoEtLoisirs]])</f>
        <v>https://bricoetloisirs.ch/p/</v>
      </c>
      <c r="AO305" s="57"/>
      <c r="AP305" s="59"/>
      <c r="AQ305" s="61" t="str">
        <f>IF(Table1[[#This Row],[Aliexpress]]="","", HYPERLINK(Table1[[#This Row],[Destination - Aliexpress]],_xlfn.CONCAT("Link (",Table1[[#This Row],[Aliexpress]],")")))</f>
        <v/>
      </c>
      <c r="AR305" s="62" t="str">
        <f>_xlfn.CONCAT("https://www.aliexpress.com/item/",Table1[[#This Row],[Aliexpress]],".html")</f>
        <v>https://www.aliexpress.com/item/.html</v>
      </c>
      <c r="AS305" s="57"/>
      <c r="AT305" s="59"/>
      <c r="AU305" s="61" t="str">
        <f>IF(Table1[[#This Row],[Banggood]]="","", HYPERLINK(Table1[[#This Row],[Destination - Banggood]],_xlfn.CONCAT("Link (",Table1[[#This Row],[Banggood]],")")))</f>
        <v/>
      </c>
      <c r="AV305" s="62" t="str">
        <f>_xlfn.CONCAT("https://www.banggood.com/search/",Table1[[#This Row],[Banggood]],".html")</f>
        <v>https://www.banggood.com/search/.html</v>
      </c>
      <c r="AW305" s="59" t="str">
        <f>IF(Table1[[#This Row],[Other]]&lt;&gt;"","Other","")</f>
        <v/>
      </c>
      <c r="AX305" s="57"/>
      <c r="AY305" s="59"/>
      <c r="AZ305" s="61" t="str">
        <f>IF(Table1[[#This Row],[Other]]="","",IF(Table1[[#This Row],[Destination - Other]]="","",HYPERLINK(Table1[[#This Row],[Destination - Other]],_xlfn.CONCAT("Link ("&amp;Table1[[#This Row],[Other]]&amp;")"))))</f>
        <v/>
      </c>
      <c r="BA305" s="59"/>
      <c r="BB305" s="58" t="str">
        <f>IF(AND( Table1[[#This Row],[Auto Order]]=1,Table1[[#This Row],[Obsolete]]=""),IF(Table1[[#This Row],[In stock]]&lt;Table1[[#This Row],[Min in stock]],1,""),"")</f>
        <v/>
      </c>
      <c r="BC305" s="64"/>
      <c r="BD305" s="66" t="str">
        <f>IF(Table1[[#This Row],[Obsolete]],Table1[[#This Row],[Art. Number]],"")</f>
        <v/>
      </c>
    </row>
    <row r="306" spans="1:56" x14ac:dyDescent="0.25">
      <c r="A306" s="65" t="s">
        <v>1814</v>
      </c>
      <c r="B306" s="57" t="s">
        <v>168</v>
      </c>
      <c r="C306" s="57" t="s">
        <v>97</v>
      </c>
      <c r="D306" s="57" t="s">
        <v>1815</v>
      </c>
      <c r="E306" s="57" t="s">
        <v>151</v>
      </c>
      <c r="F306" s="58">
        <v>0</v>
      </c>
      <c r="G306" s="58"/>
      <c r="H306" s="58"/>
      <c r="I30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RHM4.7DCT-ND</v>
      </c>
      <c r="J30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(RHM4.7DCT-ND)</v>
      </c>
      <c r="M306" s="57" t="s">
        <v>1816</v>
      </c>
      <c r="N306" s="59">
        <v>0.1</v>
      </c>
      <c r="O306" s="61" t="str">
        <f>IF(Table1[[#This Row],[Digikey]]="","", HYPERLINK(Table1[[#This Row],[Destination - Digikey]],_xlfn.CONCAT("Link (",Table1[[#This Row],[Digikey]],")")))</f>
        <v>Link (RHM4.7DCT-ND)</v>
      </c>
      <c r="P306" s="62" t="str">
        <f>_xlfn.CONCAT("https://www.digikey.ch/products/en?keywords=",Table1[[#This Row],[Digikey]])</f>
        <v>https://www.digikey.ch/products/en?keywords=RHM4.7DCT-ND</v>
      </c>
      <c r="Q306" s="57"/>
      <c r="R306" s="59"/>
      <c r="S306" s="61" t="str">
        <f>IF(Table1[[#This Row],[Farnell]]="","", HYPERLINK(Table1[[#This Row],[Destination - Farnell]],_xlfn.CONCAT("Link (",Table1[[#This Row],[Farnell]],")")))</f>
        <v/>
      </c>
      <c r="T306" s="62" t="str">
        <f>_xlfn.CONCAT("https://ch.farnell.com/fr-CH/",Table1[[#This Row],[Farnell]])</f>
        <v>https://ch.farnell.com/fr-CH/</v>
      </c>
      <c r="U306" s="57"/>
      <c r="V306" s="59"/>
      <c r="W306" s="61" t="str">
        <f>IF(Table1[[#This Row],[Distrelec]]="","", HYPERLINK(Table1[[#This Row],[Destination - Distrelec]],_xlfn.CONCAT("Link (",Table1[[#This Row],[Distrelec]],")")))</f>
        <v/>
      </c>
      <c r="X306" s="62" t="str">
        <f>_xlfn.CONCAT("https://www.distrelec.ch/search?q=",Table1[[#This Row],[Distrelec]])</f>
        <v>https://www.distrelec.ch/search?q=</v>
      </c>
      <c r="Y306" s="57"/>
      <c r="Z306" s="59"/>
      <c r="AA306" s="61" t="str">
        <f>IF(Table1[[#This Row],[Conrad]]="","", HYPERLINK(Table1[[#This Row],[Destination - Conrad]],_xlfn.CONCAT("Link (",Table1[[#This Row],[Conrad]],")")))</f>
        <v/>
      </c>
      <c r="AB306" s="62"/>
      <c r="AC306" s="57"/>
      <c r="AD306" s="59"/>
      <c r="AE306" s="61" t="str">
        <f>IF(Table1[[#This Row],[Mouser]]="","", HYPERLINK(Table1[[#This Row],[Destination - Mouser]],_xlfn.CONCAT("Link (",Table1[[#This Row],[Mouser]],")")))</f>
        <v/>
      </c>
      <c r="AF306" s="62" t="str">
        <f>_xlfn.CONCAT("https://www.mouser.ch/ProductDetail/",Table1[[#This Row],[Mouser]])</f>
        <v>https://www.mouser.ch/ProductDetail/</v>
      </c>
      <c r="AG306" s="57"/>
      <c r="AH306" s="59"/>
      <c r="AI306" s="61" t="str">
        <f>IF(Table1[[#This Row],[Bauhaus]]="","", HYPERLINK(Table1[[#This Row],[Destination - Bauhaus]],_xlfn.CONCAT("Link (",Table1[[#This Row],[Bauhaus]],")")))</f>
        <v/>
      </c>
      <c r="AJ306" s="62" t="str">
        <f>_xlfn.CONCAT("https://www.bauhaus.ch/fr/search?query=",Table1[[#This Row],[Bauhaus]])</f>
        <v>https://www.bauhaus.ch/fr/search?query=</v>
      </c>
      <c r="AK306" s="59"/>
      <c r="AL306" s="59"/>
      <c r="AM306" s="61" t="str">
        <f>IF(Table1[[#This Row],[BricoEtLoisirs]]="","", HYPERLINK(Table1[[#This Row],[Destination - BricoEtLoisirs]],_xlfn.CONCAT("Link (",Table1[[#This Row],[BricoEtLoisirs]],")")))</f>
        <v/>
      </c>
      <c r="AN306" s="62" t="str">
        <f>_xlfn.CONCAT("https://bricoetloisirs.ch/p/",Table1[[#This Row],[BricoEtLoisirs]])</f>
        <v>https://bricoetloisirs.ch/p/</v>
      </c>
      <c r="AO306" s="57"/>
      <c r="AP306" s="59"/>
      <c r="AQ306" s="61" t="str">
        <f>IF(Table1[[#This Row],[Aliexpress]]="","", HYPERLINK(Table1[[#This Row],[Destination - Aliexpress]],_xlfn.CONCAT("Link (",Table1[[#This Row],[Aliexpress]],")")))</f>
        <v/>
      </c>
      <c r="AR306" s="62" t="str">
        <f>_xlfn.CONCAT("https://www.aliexpress.com/item/",Table1[[#This Row],[Aliexpress]],".html")</f>
        <v>https://www.aliexpress.com/item/.html</v>
      </c>
      <c r="AS306" s="57"/>
      <c r="AT306" s="59"/>
      <c r="AU306" s="61" t="str">
        <f>IF(Table1[[#This Row],[Banggood]]="","", HYPERLINK(Table1[[#This Row],[Destination - Banggood]],_xlfn.CONCAT("Link (",Table1[[#This Row],[Banggood]],")")))</f>
        <v/>
      </c>
      <c r="AV306" s="62" t="str">
        <f>_xlfn.CONCAT("https://www.banggood.com/search/",Table1[[#This Row],[Banggood]],".html")</f>
        <v>https://www.banggood.com/search/.html</v>
      </c>
      <c r="AW306" s="59" t="str">
        <f>IF(Table1[[#This Row],[Other]]&lt;&gt;"","Other","")</f>
        <v/>
      </c>
      <c r="AX306" s="57"/>
      <c r="AY306" s="59"/>
      <c r="AZ306" s="61" t="str">
        <f>IF(Table1[[#This Row],[Other]]="","",IF(Table1[[#This Row],[Destination - Other]]="","",HYPERLINK(Table1[[#This Row],[Destination - Other]],_xlfn.CONCAT("Link ("&amp;Table1[[#This Row],[Other]]&amp;")"))))</f>
        <v/>
      </c>
      <c r="BA306" s="59"/>
      <c r="BB306" s="58" t="str">
        <f>IF(AND( Table1[[#This Row],[Auto Order]]=1,Table1[[#This Row],[Obsolete]]=""),IF(Table1[[#This Row],[In stock]]&lt;Table1[[#This Row],[Min in stock]],1,""),"")</f>
        <v/>
      </c>
      <c r="BC306" s="64"/>
      <c r="BD306" s="66" t="str">
        <f>IF(Table1[[#This Row],[Obsolete]],Table1[[#This Row],[Art. Number]],"")</f>
        <v/>
      </c>
    </row>
    <row r="307" spans="1:56" x14ac:dyDescent="0.25">
      <c r="A307" s="65" t="s">
        <v>1820</v>
      </c>
      <c r="B307" s="57" t="s">
        <v>168</v>
      </c>
      <c r="C307" s="57" t="s">
        <v>97</v>
      </c>
      <c r="D307" s="57" t="s">
        <v>1821</v>
      </c>
      <c r="E307" s="57" t="s">
        <v>151</v>
      </c>
      <c r="F307" s="58">
        <v>0</v>
      </c>
      <c r="G307" s="58"/>
      <c r="H307" s="58"/>
      <c r="I30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RHM51DCT-ND</v>
      </c>
      <c r="J30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(RHM51DCT-ND)</v>
      </c>
      <c r="M307" s="57" t="s">
        <v>1822</v>
      </c>
      <c r="N307" s="59">
        <v>0.1</v>
      </c>
      <c r="O307" s="61" t="str">
        <f>IF(Table1[[#This Row],[Digikey]]="","", HYPERLINK(Table1[[#This Row],[Destination - Digikey]],_xlfn.CONCAT("Link (",Table1[[#This Row],[Digikey]],")")))</f>
        <v>Link (RHM51DCT-ND)</v>
      </c>
      <c r="P307" s="62" t="str">
        <f>_xlfn.CONCAT("https://www.digikey.ch/products/en?keywords=",Table1[[#This Row],[Digikey]])</f>
        <v>https://www.digikey.ch/products/en?keywords=RHM51DCT-ND</v>
      </c>
      <c r="Q307" s="57"/>
      <c r="R307" s="59"/>
      <c r="S307" s="61" t="str">
        <f>IF(Table1[[#This Row],[Farnell]]="","", HYPERLINK(Table1[[#This Row],[Destination - Farnell]],_xlfn.CONCAT("Link (",Table1[[#This Row],[Farnell]],")")))</f>
        <v/>
      </c>
      <c r="T307" s="62" t="str">
        <f>_xlfn.CONCAT("https://ch.farnell.com/fr-CH/",Table1[[#This Row],[Farnell]])</f>
        <v>https://ch.farnell.com/fr-CH/</v>
      </c>
      <c r="U307" s="57"/>
      <c r="V307" s="59"/>
      <c r="W307" s="61" t="str">
        <f>IF(Table1[[#This Row],[Distrelec]]="","", HYPERLINK(Table1[[#This Row],[Destination - Distrelec]],_xlfn.CONCAT("Link (",Table1[[#This Row],[Distrelec]],")")))</f>
        <v/>
      </c>
      <c r="X307" s="62" t="str">
        <f>_xlfn.CONCAT("https://www.distrelec.ch/search?q=",Table1[[#This Row],[Distrelec]])</f>
        <v>https://www.distrelec.ch/search?q=</v>
      </c>
      <c r="Y307" s="57"/>
      <c r="Z307" s="59"/>
      <c r="AA307" s="61" t="str">
        <f>IF(Table1[[#This Row],[Conrad]]="","", HYPERLINK(Table1[[#This Row],[Destination - Conrad]],_xlfn.CONCAT("Link (",Table1[[#This Row],[Conrad]],")")))</f>
        <v/>
      </c>
      <c r="AB307" s="62"/>
      <c r="AC307" s="57"/>
      <c r="AD307" s="59"/>
      <c r="AE307" s="61" t="str">
        <f>IF(Table1[[#This Row],[Mouser]]="","", HYPERLINK(Table1[[#This Row],[Destination - Mouser]],_xlfn.CONCAT("Link (",Table1[[#This Row],[Mouser]],")")))</f>
        <v/>
      </c>
      <c r="AF307" s="62" t="str">
        <f>_xlfn.CONCAT("https://www.mouser.ch/ProductDetail/",Table1[[#This Row],[Mouser]])</f>
        <v>https://www.mouser.ch/ProductDetail/</v>
      </c>
      <c r="AG307" s="57"/>
      <c r="AH307" s="59"/>
      <c r="AI307" s="61" t="str">
        <f>IF(Table1[[#This Row],[Bauhaus]]="","", HYPERLINK(Table1[[#This Row],[Destination - Bauhaus]],_xlfn.CONCAT("Link (",Table1[[#This Row],[Bauhaus]],")")))</f>
        <v/>
      </c>
      <c r="AJ307" s="62" t="str">
        <f>_xlfn.CONCAT("https://www.bauhaus.ch/fr/search?query=",Table1[[#This Row],[Bauhaus]])</f>
        <v>https://www.bauhaus.ch/fr/search?query=</v>
      </c>
      <c r="AK307" s="59"/>
      <c r="AL307" s="59"/>
      <c r="AM307" s="61" t="str">
        <f>IF(Table1[[#This Row],[BricoEtLoisirs]]="","", HYPERLINK(Table1[[#This Row],[Destination - BricoEtLoisirs]],_xlfn.CONCAT("Link (",Table1[[#This Row],[BricoEtLoisirs]],")")))</f>
        <v/>
      </c>
      <c r="AN307" s="62" t="str">
        <f>_xlfn.CONCAT("https://bricoetloisirs.ch/p/",Table1[[#This Row],[BricoEtLoisirs]])</f>
        <v>https://bricoetloisirs.ch/p/</v>
      </c>
      <c r="AO307" s="57"/>
      <c r="AP307" s="59"/>
      <c r="AQ307" s="61" t="str">
        <f>IF(Table1[[#This Row],[Aliexpress]]="","", HYPERLINK(Table1[[#This Row],[Destination - Aliexpress]],_xlfn.CONCAT("Link (",Table1[[#This Row],[Aliexpress]],")")))</f>
        <v/>
      </c>
      <c r="AR307" s="62" t="str">
        <f>_xlfn.CONCAT("https://www.aliexpress.com/item/",Table1[[#This Row],[Aliexpress]],".html")</f>
        <v>https://www.aliexpress.com/item/.html</v>
      </c>
      <c r="AS307" s="57"/>
      <c r="AT307" s="59"/>
      <c r="AU307" s="61" t="str">
        <f>IF(Table1[[#This Row],[Banggood]]="","", HYPERLINK(Table1[[#This Row],[Destination - Banggood]],_xlfn.CONCAT("Link (",Table1[[#This Row],[Banggood]],")")))</f>
        <v/>
      </c>
      <c r="AV307" s="62" t="str">
        <f>_xlfn.CONCAT("https://www.banggood.com/search/",Table1[[#This Row],[Banggood]],".html")</f>
        <v>https://www.banggood.com/search/.html</v>
      </c>
      <c r="AW307" s="59" t="str">
        <f>IF(Table1[[#This Row],[Other]]&lt;&gt;"","Other","")</f>
        <v/>
      </c>
      <c r="AX307" s="57"/>
      <c r="AY307" s="59"/>
      <c r="AZ307" s="61" t="str">
        <f>IF(Table1[[#This Row],[Other]]="","",IF(Table1[[#This Row],[Destination - Other]]="","",HYPERLINK(Table1[[#This Row],[Destination - Other]],_xlfn.CONCAT("Link ("&amp;Table1[[#This Row],[Other]]&amp;")"))))</f>
        <v/>
      </c>
      <c r="BA307" s="59"/>
      <c r="BB307" s="58" t="str">
        <f>IF(AND( Table1[[#This Row],[Auto Order]]=1,Table1[[#This Row],[Obsolete]]=""),IF(Table1[[#This Row],[In stock]]&lt;Table1[[#This Row],[Min in stock]],1,""),"")</f>
        <v/>
      </c>
      <c r="BC307" s="64"/>
      <c r="BD307" s="66" t="str">
        <f>IF(Table1[[#This Row],[Obsolete]],Table1[[#This Row],[Art. Number]],"")</f>
        <v/>
      </c>
    </row>
    <row r="308" spans="1:56" x14ac:dyDescent="0.25">
      <c r="A308" s="65" t="s">
        <v>1826</v>
      </c>
      <c r="B308" s="57" t="s">
        <v>168</v>
      </c>
      <c r="C308" s="57" t="s">
        <v>97</v>
      </c>
      <c r="D308" s="57" t="s">
        <v>1827</v>
      </c>
      <c r="E308" s="57" t="s">
        <v>151</v>
      </c>
      <c r="F308" s="58">
        <v>0</v>
      </c>
      <c r="G308" s="58"/>
      <c r="H308" s="58"/>
      <c r="I30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RHM510DCT-ND</v>
      </c>
      <c r="J30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(RHM510DCT-ND)</v>
      </c>
      <c r="M308" s="57" t="s">
        <v>1828</v>
      </c>
      <c r="N308" s="59">
        <v>0.1</v>
      </c>
      <c r="O308" s="61" t="str">
        <f>IF(Table1[[#This Row],[Digikey]]="","", HYPERLINK(Table1[[#This Row],[Destination - Digikey]],_xlfn.CONCAT("Link (",Table1[[#This Row],[Digikey]],")")))</f>
        <v>Link (RHM510DCT-ND)</v>
      </c>
      <c r="P308" s="62" t="str">
        <f>_xlfn.CONCAT("https://www.digikey.ch/products/en?keywords=",Table1[[#This Row],[Digikey]])</f>
        <v>https://www.digikey.ch/products/en?keywords=RHM510DCT-ND</v>
      </c>
      <c r="Q308" s="57"/>
      <c r="R308" s="59"/>
      <c r="S308" s="61" t="str">
        <f>IF(Table1[[#This Row],[Farnell]]="","", HYPERLINK(Table1[[#This Row],[Destination - Farnell]],_xlfn.CONCAT("Link (",Table1[[#This Row],[Farnell]],")")))</f>
        <v/>
      </c>
      <c r="T308" s="62" t="str">
        <f>_xlfn.CONCAT("https://ch.farnell.com/fr-CH/",Table1[[#This Row],[Farnell]])</f>
        <v>https://ch.farnell.com/fr-CH/</v>
      </c>
      <c r="U308" s="57"/>
      <c r="V308" s="59"/>
      <c r="W308" s="61" t="str">
        <f>IF(Table1[[#This Row],[Distrelec]]="","", HYPERLINK(Table1[[#This Row],[Destination - Distrelec]],_xlfn.CONCAT("Link (",Table1[[#This Row],[Distrelec]],")")))</f>
        <v/>
      </c>
      <c r="X308" s="62" t="str">
        <f>_xlfn.CONCAT("https://www.distrelec.ch/search?q=",Table1[[#This Row],[Distrelec]])</f>
        <v>https://www.distrelec.ch/search?q=</v>
      </c>
      <c r="Y308" s="57"/>
      <c r="Z308" s="59"/>
      <c r="AA308" s="61" t="str">
        <f>IF(Table1[[#This Row],[Conrad]]="","", HYPERLINK(Table1[[#This Row],[Destination - Conrad]],_xlfn.CONCAT("Link (",Table1[[#This Row],[Conrad]],")")))</f>
        <v/>
      </c>
      <c r="AB308" s="62"/>
      <c r="AC308" s="57"/>
      <c r="AD308" s="59"/>
      <c r="AE308" s="61" t="str">
        <f>IF(Table1[[#This Row],[Mouser]]="","", HYPERLINK(Table1[[#This Row],[Destination - Mouser]],_xlfn.CONCAT("Link (",Table1[[#This Row],[Mouser]],")")))</f>
        <v/>
      </c>
      <c r="AF308" s="62" t="str">
        <f>_xlfn.CONCAT("https://www.mouser.ch/ProductDetail/",Table1[[#This Row],[Mouser]])</f>
        <v>https://www.mouser.ch/ProductDetail/</v>
      </c>
      <c r="AG308" s="57"/>
      <c r="AH308" s="59"/>
      <c r="AI308" s="61" t="str">
        <f>IF(Table1[[#This Row],[Bauhaus]]="","", HYPERLINK(Table1[[#This Row],[Destination - Bauhaus]],_xlfn.CONCAT("Link (",Table1[[#This Row],[Bauhaus]],")")))</f>
        <v/>
      </c>
      <c r="AJ308" s="62" t="str">
        <f>_xlfn.CONCAT("https://www.bauhaus.ch/fr/search?query=",Table1[[#This Row],[Bauhaus]])</f>
        <v>https://www.bauhaus.ch/fr/search?query=</v>
      </c>
      <c r="AK308" s="59"/>
      <c r="AL308" s="59"/>
      <c r="AM308" s="61" t="str">
        <f>IF(Table1[[#This Row],[BricoEtLoisirs]]="","", HYPERLINK(Table1[[#This Row],[Destination - BricoEtLoisirs]],_xlfn.CONCAT("Link (",Table1[[#This Row],[BricoEtLoisirs]],")")))</f>
        <v/>
      </c>
      <c r="AN308" s="62" t="str">
        <f>_xlfn.CONCAT("https://bricoetloisirs.ch/p/",Table1[[#This Row],[BricoEtLoisirs]])</f>
        <v>https://bricoetloisirs.ch/p/</v>
      </c>
      <c r="AO308" s="57"/>
      <c r="AP308" s="59"/>
      <c r="AQ308" s="61" t="str">
        <f>IF(Table1[[#This Row],[Aliexpress]]="","", HYPERLINK(Table1[[#This Row],[Destination - Aliexpress]],_xlfn.CONCAT("Link (",Table1[[#This Row],[Aliexpress]],")")))</f>
        <v/>
      </c>
      <c r="AR308" s="62" t="str">
        <f>_xlfn.CONCAT("https://www.aliexpress.com/item/",Table1[[#This Row],[Aliexpress]],".html")</f>
        <v>https://www.aliexpress.com/item/.html</v>
      </c>
      <c r="AS308" s="57"/>
      <c r="AT308" s="59"/>
      <c r="AU308" s="61" t="str">
        <f>IF(Table1[[#This Row],[Banggood]]="","", HYPERLINK(Table1[[#This Row],[Destination - Banggood]],_xlfn.CONCAT("Link (",Table1[[#This Row],[Banggood]],")")))</f>
        <v/>
      </c>
      <c r="AV308" s="62" t="str">
        <f>_xlfn.CONCAT("https://www.banggood.com/search/",Table1[[#This Row],[Banggood]],".html")</f>
        <v>https://www.banggood.com/search/.html</v>
      </c>
      <c r="AW308" s="59" t="str">
        <f>IF(Table1[[#This Row],[Other]]&lt;&gt;"","Other","")</f>
        <v/>
      </c>
      <c r="AX308" s="57"/>
      <c r="AY308" s="59"/>
      <c r="AZ308" s="61" t="str">
        <f>IF(Table1[[#This Row],[Other]]="","",IF(Table1[[#This Row],[Destination - Other]]="","",HYPERLINK(Table1[[#This Row],[Destination - Other]],_xlfn.CONCAT("Link ("&amp;Table1[[#This Row],[Other]]&amp;")"))))</f>
        <v/>
      </c>
      <c r="BA308" s="59"/>
      <c r="BB308" s="58" t="str">
        <f>IF(AND( Table1[[#This Row],[Auto Order]]=1,Table1[[#This Row],[Obsolete]]=""),IF(Table1[[#This Row],[In stock]]&lt;Table1[[#This Row],[Min in stock]],1,""),"")</f>
        <v/>
      </c>
      <c r="BC308" s="64"/>
      <c r="BD308" s="66" t="str">
        <f>IF(Table1[[#This Row],[Obsolete]],Table1[[#This Row],[Art. Number]],"")</f>
        <v/>
      </c>
    </row>
    <row r="309" spans="1:56" x14ac:dyDescent="0.25">
      <c r="A309" s="65" t="s">
        <v>1832</v>
      </c>
      <c r="B309" s="57" t="s">
        <v>168</v>
      </c>
      <c r="C309" s="57" t="s">
        <v>97</v>
      </c>
      <c r="D309" s="57" t="s">
        <v>1833</v>
      </c>
      <c r="E309" s="57" t="s">
        <v>151</v>
      </c>
      <c r="F309" s="58">
        <v>0</v>
      </c>
      <c r="G309" s="58"/>
      <c r="H309" s="58"/>
      <c r="I30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RHM5.1KDCT-ND</v>
      </c>
      <c r="J30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0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0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(RHM5.1KDCT-ND)</v>
      </c>
      <c r="M309" s="57" t="s">
        <v>1834</v>
      </c>
      <c r="N309" s="59">
        <v>0.1</v>
      </c>
      <c r="O309" s="61" t="str">
        <f>IF(Table1[[#This Row],[Digikey]]="","", HYPERLINK(Table1[[#This Row],[Destination - Digikey]],_xlfn.CONCAT("Link (",Table1[[#This Row],[Digikey]],")")))</f>
        <v>Link (RHM5.1KDCT-ND)</v>
      </c>
      <c r="P309" s="62" t="str">
        <f>_xlfn.CONCAT("https://www.digikey.ch/products/en?keywords=",Table1[[#This Row],[Digikey]])</f>
        <v>https://www.digikey.ch/products/en?keywords=RHM5.1KDCT-ND</v>
      </c>
      <c r="Q309" s="57"/>
      <c r="R309" s="59"/>
      <c r="S309" s="61" t="str">
        <f>IF(Table1[[#This Row],[Farnell]]="","", HYPERLINK(Table1[[#This Row],[Destination - Farnell]],_xlfn.CONCAT("Link (",Table1[[#This Row],[Farnell]],")")))</f>
        <v/>
      </c>
      <c r="T309" s="62" t="str">
        <f>_xlfn.CONCAT("https://ch.farnell.com/fr-CH/",Table1[[#This Row],[Farnell]])</f>
        <v>https://ch.farnell.com/fr-CH/</v>
      </c>
      <c r="U309" s="57"/>
      <c r="V309" s="59"/>
      <c r="W309" s="61" t="str">
        <f>IF(Table1[[#This Row],[Distrelec]]="","", HYPERLINK(Table1[[#This Row],[Destination - Distrelec]],_xlfn.CONCAT("Link (",Table1[[#This Row],[Distrelec]],")")))</f>
        <v/>
      </c>
      <c r="X309" s="62" t="str">
        <f>_xlfn.CONCAT("https://www.distrelec.ch/search?q=",Table1[[#This Row],[Distrelec]])</f>
        <v>https://www.distrelec.ch/search?q=</v>
      </c>
      <c r="Y309" s="57"/>
      <c r="Z309" s="59"/>
      <c r="AA309" s="61" t="str">
        <f>IF(Table1[[#This Row],[Conrad]]="","", HYPERLINK(Table1[[#This Row],[Destination - Conrad]],_xlfn.CONCAT("Link (",Table1[[#This Row],[Conrad]],")")))</f>
        <v/>
      </c>
      <c r="AB309" s="62"/>
      <c r="AC309" s="57"/>
      <c r="AD309" s="59"/>
      <c r="AE309" s="61" t="str">
        <f>IF(Table1[[#This Row],[Mouser]]="","", HYPERLINK(Table1[[#This Row],[Destination - Mouser]],_xlfn.CONCAT("Link (",Table1[[#This Row],[Mouser]],")")))</f>
        <v/>
      </c>
      <c r="AF309" s="62" t="str">
        <f>_xlfn.CONCAT("https://www.mouser.ch/ProductDetail/",Table1[[#This Row],[Mouser]])</f>
        <v>https://www.mouser.ch/ProductDetail/</v>
      </c>
      <c r="AG309" s="57"/>
      <c r="AH309" s="59"/>
      <c r="AI309" s="61" t="str">
        <f>IF(Table1[[#This Row],[Bauhaus]]="","", HYPERLINK(Table1[[#This Row],[Destination - Bauhaus]],_xlfn.CONCAT("Link (",Table1[[#This Row],[Bauhaus]],")")))</f>
        <v/>
      </c>
      <c r="AJ309" s="62" t="str">
        <f>_xlfn.CONCAT("https://www.bauhaus.ch/fr/search?query=",Table1[[#This Row],[Bauhaus]])</f>
        <v>https://www.bauhaus.ch/fr/search?query=</v>
      </c>
      <c r="AK309" s="59"/>
      <c r="AL309" s="59"/>
      <c r="AM309" s="61" t="str">
        <f>IF(Table1[[#This Row],[BricoEtLoisirs]]="","", HYPERLINK(Table1[[#This Row],[Destination - BricoEtLoisirs]],_xlfn.CONCAT("Link (",Table1[[#This Row],[BricoEtLoisirs]],")")))</f>
        <v/>
      </c>
      <c r="AN309" s="62" t="str">
        <f>_xlfn.CONCAT("https://bricoetloisirs.ch/p/",Table1[[#This Row],[BricoEtLoisirs]])</f>
        <v>https://bricoetloisirs.ch/p/</v>
      </c>
      <c r="AO309" s="57"/>
      <c r="AP309" s="59"/>
      <c r="AQ309" s="61" t="str">
        <f>IF(Table1[[#This Row],[Aliexpress]]="","", HYPERLINK(Table1[[#This Row],[Destination - Aliexpress]],_xlfn.CONCAT("Link (",Table1[[#This Row],[Aliexpress]],")")))</f>
        <v/>
      </c>
      <c r="AR309" s="62" t="str">
        <f>_xlfn.CONCAT("https://www.aliexpress.com/item/",Table1[[#This Row],[Aliexpress]],".html")</f>
        <v>https://www.aliexpress.com/item/.html</v>
      </c>
      <c r="AS309" s="57"/>
      <c r="AT309" s="59"/>
      <c r="AU309" s="61" t="str">
        <f>IF(Table1[[#This Row],[Banggood]]="","", HYPERLINK(Table1[[#This Row],[Destination - Banggood]],_xlfn.CONCAT("Link (",Table1[[#This Row],[Banggood]],")")))</f>
        <v/>
      </c>
      <c r="AV309" s="62" t="str">
        <f>_xlfn.CONCAT("https://www.banggood.com/search/",Table1[[#This Row],[Banggood]],".html")</f>
        <v>https://www.banggood.com/search/.html</v>
      </c>
      <c r="AW309" s="59" t="str">
        <f>IF(Table1[[#This Row],[Other]]&lt;&gt;"","Other","")</f>
        <v/>
      </c>
      <c r="AX309" s="57"/>
      <c r="AY309" s="59"/>
      <c r="AZ309" s="61" t="str">
        <f>IF(Table1[[#This Row],[Other]]="","",IF(Table1[[#This Row],[Destination - Other]]="","",HYPERLINK(Table1[[#This Row],[Destination - Other]],_xlfn.CONCAT("Link ("&amp;Table1[[#This Row],[Other]]&amp;")"))))</f>
        <v/>
      </c>
      <c r="BA309" s="59"/>
      <c r="BB309" s="58" t="str">
        <f>IF(AND( Table1[[#This Row],[Auto Order]]=1,Table1[[#This Row],[Obsolete]]=""),IF(Table1[[#This Row],[In stock]]&lt;Table1[[#This Row],[Min in stock]],1,""),"")</f>
        <v/>
      </c>
      <c r="BC309" s="64"/>
      <c r="BD309" s="66" t="str">
        <f>IF(Table1[[#This Row],[Obsolete]],Table1[[#This Row],[Art. Number]],"")</f>
        <v/>
      </c>
    </row>
    <row r="310" spans="1:56" x14ac:dyDescent="0.25">
      <c r="A310" s="65" t="s">
        <v>1838</v>
      </c>
      <c r="B310" s="57" t="s">
        <v>168</v>
      </c>
      <c r="C310" s="57" t="s">
        <v>97</v>
      </c>
      <c r="D310" s="57" t="s">
        <v>1839</v>
      </c>
      <c r="E310" s="57" t="s">
        <v>151</v>
      </c>
      <c r="F310" s="58">
        <v>0</v>
      </c>
      <c r="G310" s="58"/>
      <c r="H310" s="58"/>
      <c r="I31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RHM51KDCT-ND</v>
      </c>
      <c r="J31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(RHM51KDCT-ND)</v>
      </c>
      <c r="M310" s="57" t="s">
        <v>1840</v>
      </c>
      <c r="N310" s="59">
        <v>0.1</v>
      </c>
      <c r="O310" s="61" t="str">
        <f>IF(Table1[[#This Row],[Digikey]]="","", HYPERLINK(Table1[[#This Row],[Destination - Digikey]],_xlfn.CONCAT("Link (",Table1[[#This Row],[Digikey]],")")))</f>
        <v>Link (RHM51KDCT-ND)</v>
      </c>
      <c r="P310" s="62" t="str">
        <f>_xlfn.CONCAT("https://www.digikey.ch/products/en?keywords=",Table1[[#This Row],[Digikey]])</f>
        <v>https://www.digikey.ch/products/en?keywords=RHM51KDCT-ND</v>
      </c>
      <c r="Q310" s="57"/>
      <c r="R310" s="59"/>
      <c r="S310" s="61" t="str">
        <f>IF(Table1[[#This Row],[Farnell]]="","", HYPERLINK(Table1[[#This Row],[Destination - Farnell]],_xlfn.CONCAT("Link (",Table1[[#This Row],[Farnell]],")")))</f>
        <v/>
      </c>
      <c r="T310" s="62" t="str">
        <f>_xlfn.CONCAT("https://ch.farnell.com/fr-CH/",Table1[[#This Row],[Farnell]])</f>
        <v>https://ch.farnell.com/fr-CH/</v>
      </c>
      <c r="U310" s="57"/>
      <c r="V310" s="59"/>
      <c r="W310" s="61" t="str">
        <f>IF(Table1[[#This Row],[Distrelec]]="","", HYPERLINK(Table1[[#This Row],[Destination - Distrelec]],_xlfn.CONCAT("Link (",Table1[[#This Row],[Distrelec]],")")))</f>
        <v/>
      </c>
      <c r="X310" s="62" t="str">
        <f>_xlfn.CONCAT("https://www.distrelec.ch/search?q=",Table1[[#This Row],[Distrelec]])</f>
        <v>https://www.distrelec.ch/search?q=</v>
      </c>
      <c r="Y310" s="57"/>
      <c r="Z310" s="59"/>
      <c r="AA310" s="61" t="str">
        <f>IF(Table1[[#This Row],[Conrad]]="","", HYPERLINK(Table1[[#This Row],[Destination - Conrad]],_xlfn.CONCAT("Link (",Table1[[#This Row],[Conrad]],")")))</f>
        <v/>
      </c>
      <c r="AB310" s="62"/>
      <c r="AC310" s="57"/>
      <c r="AD310" s="59"/>
      <c r="AE310" s="61" t="str">
        <f>IF(Table1[[#This Row],[Mouser]]="","", HYPERLINK(Table1[[#This Row],[Destination - Mouser]],_xlfn.CONCAT("Link (",Table1[[#This Row],[Mouser]],")")))</f>
        <v/>
      </c>
      <c r="AF310" s="62" t="str">
        <f>_xlfn.CONCAT("https://www.mouser.ch/ProductDetail/",Table1[[#This Row],[Mouser]])</f>
        <v>https://www.mouser.ch/ProductDetail/</v>
      </c>
      <c r="AG310" s="57"/>
      <c r="AH310" s="59"/>
      <c r="AI310" s="61" t="str">
        <f>IF(Table1[[#This Row],[Bauhaus]]="","", HYPERLINK(Table1[[#This Row],[Destination - Bauhaus]],_xlfn.CONCAT("Link (",Table1[[#This Row],[Bauhaus]],")")))</f>
        <v/>
      </c>
      <c r="AJ310" s="62" t="str">
        <f>_xlfn.CONCAT("https://www.bauhaus.ch/fr/search?query=",Table1[[#This Row],[Bauhaus]])</f>
        <v>https://www.bauhaus.ch/fr/search?query=</v>
      </c>
      <c r="AK310" s="59"/>
      <c r="AL310" s="59"/>
      <c r="AM310" s="61" t="str">
        <f>IF(Table1[[#This Row],[BricoEtLoisirs]]="","", HYPERLINK(Table1[[#This Row],[Destination - BricoEtLoisirs]],_xlfn.CONCAT("Link (",Table1[[#This Row],[BricoEtLoisirs]],")")))</f>
        <v/>
      </c>
      <c r="AN310" s="62" t="str">
        <f>_xlfn.CONCAT("https://bricoetloisirs.ch/p/",Table1[[#This Row],[BricoEtLoisirs]])</f>
        <v>https://bricoetloisirs.ch/p/</v>
      </c>
      <c r="AO310" s="57"/>
      <c r="AP310" s="59"/>
      <c r="AQ310" s="61" t="str">
        <f>IF(Table1[[#This Row],[Aliexpress]]="","", HYPERLINK(Table1[[#This Row],[Destination - Aliexpress]],_xlfn.CONCAT("Link (",Table1[[#This Row],[Aliexpress]],")")))</f>
        <v/>
      </c>
      <c r="AR310" s="62" t="str">
        <f>_xlfn.CONCAT("https://www.aliexpress.com/item/",Table1[[#This Row],[Aliexpress]],".html")</f>
        <v>https://www.aliexpress.com/item/.html</v>
      </c>
      <c r="AS310" s="57"/>
      <c r="AT310" s="59"/>
      <c r="AU310" s="61" t="str">
        <f>IF(Table1[[#This Row],[Banggood]]="","", HYPERLINK(Table1[[#This Row],[Destination - Banggood]],_xlfn.CONCAT("Link (",Table1[[#This Row],[Banggood]],")")))</f>
        <v/>
      </c>
      <c r="AV310" s="62" t="str">
        <f>_xlfn.CONCAT("https://www.banggood.com/search/",Table1[[#This Row],[Banggood]],".html")</f>
        <v>https://www.banggood.com/search/.html</v>
      </c>
      <c r="AW310" s="59" t="str">
        <f>IF(Table1[[#This Row],[Other]]&lt;&gt;"","Other","")</f>
        <v/>
      </c>
      <c r="AX310" s="57"/>
      <c r="AY310" s="59"/>
      <c r="AZ310" s="61" t="str">
        <f>IF(Table1[[#This Row],[Other]]="","",IF(Table1[[#This Row],[Destination - Other]]="","",HYPERLINK(Table1[[#This Row],[Destination - Other]],_xlfn.CONCAT("Link ("&amp;Table1[[#This Row],[Other]]&amp;")"))))</f>
        <v/>
      </c>
      <c r="BA310" s="59"/>
      <c r="BB310" s="58" t="str">
        <f>IF(AND( Table1[[#This Row],[Auto Order]]=1,Table1[[#This Row],[Obsolete]]=""),IF(Table1[[#This Row],[In stock]]&lt;Table1[[#This Row],[Min in stock]],1,""),"")</f>
        <v/>
      </c>
      <c r="BC310" s="64"/>
      <c r="BD310" s="66" t="str">
        <f>IF(Table1[[#This Row],[Obsolete]],Table1[[#This Row],[Art. Number]],"")</f>
        <v/>
      </c>
    </row>
    <row r="311" spans="1:56" x14ac:dyDescent="0.25">
      <c r="A311" s="65" t="s">
        <v>1844</v>
      </c>
      <c r="B311" s="57" t="s">
        <v>168</v>
      </c>
      <c r="C311" s="57" t="s">
        <v>97</v>
      </c>
      <c r="D311" s="57" t="s">
        <v>1845</v>
      </c>
      <c r="E311" s="57" t="s">
        <v>151</v>
      </c>
      <c r="F311" s="58">
        <v>0</v>
      </c>
      <c r="G311" s="58"/>
      <c r="H311" s="58"/>
      <c r="I31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RHM510KDCT-ND</v>
      </c>
      <c r="J31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(RHM510KDCT-ND)</v>
      </c>
      <c r="M311" s="57" t="s">
        <v>1846</v>
      </c>
      <c r="N311" s="59">
        <v>0.1</v>
      </c>
      <c r="O311" s="61" t="str">
        <f>IF(Table1[[#This Row],[Digikey]]="","", HYPERLINK(Table1[[#This Row],[Destination - Digikey]],_xlfn.CONCAT("Link (",Table1[[#This Row],[Digikey]],")")))</f>
        <v>Link (RHM510KDCT-ND)</v>
      </c>
      <c r="P311" s="62" t="str">
        <f>_xlfn.CONCAT("https://www.digikey.ch/products/en?keywords=",Table1[[#This Row],[Digikey]])</f>
        <v>https://www.digikey.ch/products/en?keywords=RHM510KDCT-ND</v>
      </c>
      <c r="Q311" s="57"/>
      <c r="R311" s="59"/>
      <c r="S311" s="61" t="str">
        <f>IF(Table1[[#This Row],[Farnell]]="","", HYPERLINK(Table1[[#This Row],[Destination - Farnell]],_xlfn.CONCAT("Link (",Table1[[#This Row],[Farnell]],")")))</f>
        <v/>
      </c>
      <c r="T311" s="62" t="str">
        <f>_xlfn.CONCAT("https://ch.farnell.com/fr-CH/",Table1[[#This Row],[Farnell]])</f>
        <v>https://ch.farnell.com/fr-CH/</v>
      </c>
      <c r="U311" s="57"/>
      <c r="V311" s="59"/>
      <c r="W311" s="61" t="str">
        <f>IF(Table1[[#This Row],[Distrelec]]="","", HYPERLINK(Table1[[#This Row],[Destination - Distrelec]],_xlfn.CONCAT("Link (",Table1[[#This Row],[Distrelec]],")")))</f>
        <v/>
      </c>
      <c r="X311" s="62" t="str">
        <f>_xlfn.CONCAT("https://www.distrelec.ch/search?q=",Table1[[#This Row],[Distrelec]])</f>
        <v>https://www.distrelec.ch/search?q=</v>
      </c>
      <c r="Y311" s="57"/>
      <c r="Z311" s="59"/>
      <c r="AA311" s="61" t="str">
        <f>IF(Table1[[#This Row],[Conrad]]="","", HYPERLINK(Table1[[#This Row],[Destination - Conrad]],_xlfn.CONCAT("Link (",Table1[[#This Row],[Conrad]],")")))</f>
        <v/>
      </c>
      <c r="AB311" s="62"/>
      <c r="AC311" s="57"/>
      <c r="AD311" s="59"/>
      <c r="AE311" s="61" t="str">
        <f>IF(Table1[[#This Row],[Mouser]]="","", HYPERLINK(Table1[[#This Row],[Destination - Mouser]],_xlfn.CONCAT("Link (",Table1[[#This Row],[Mouser]],")")))</f>
        <v/>
      </c>
      <c r="AF311" s="62" t="str">
        <f>_xlfn.CONCAT("https://www.mouser.ch/ProductDetail/",Table1[[#This Row],[Mouser]])</f>
        <v>https://www.mouser.ch/ProductDetail/</v>
      </c>
      <c r="AG311" s="57"/>
      <c r="AH311" s="59"/>
      <c r="AI311" s="61" t="str">
        <f>IF(Table1[[#This Row],[Bauhaus]]="","", HYPERLINK(Table1[[#This Row],[Destination - Bauhaus]],_xlfn.CONCAT("Link (",Table1[[#This Row],[Bauhaus]],")")))</f>
        <v/>
      </c>
      <c r="AJ311" s="62" t="str">
        <f>_xlfn.CONCAT("https://www.bauhaus.ch/fr/search?query=",Table1[[#This Row],[Bauhaus]])</f>
        <v>https://www.bauhaus.ch/fr/search?query=</v>
      </c>
      <c r="AK311" s="59"/>
      <c r="AL311" s="59"/>
      <c r="AM311" s="61" t="str">
        <f>IF(Table1[[#This Row],[BricoEtLoisirs]]="","", HYPERLINK(Table1[[#This Row],[Destination - BricoEtLoisirs]],_xlfn.CONCAT("Link (",Table1[[#This Row],[BricoEtLoisirs]],")")))</f>
        <v/>
      </c>
      <c r="AN311" s="62" t="str">
        <f>_xlfn.CONCAT("https://bricoetloisirs.ch/p/",Table1[[#This Row],[BricoEtLoisirs]])</f>
        <v>https://bricoetloisirs.ch/p/</v>
      </c>
      <c r="AO311" s="57"/>
      <c r="AP311" s="59"/>
      <c r="AQ311" s="61" t="str">
        <f>IF(Table1[[#This Row],[Aliexpress]]="","", HYPERLINK(Table1[[#This Row],[Destination - Aliexpress]],_xlfn.CONCAT("Link (",Table1[[#This Row],[Aliexpress]],")")))</f>
        <v/>
      </c>
      <c r="AR311" s="62" t="str">
        <f>_xlfn.CONCAT("https://www.aliexpress.com/item/",Table1[[#This Row],[Aliexpress]],".html")</f>
        <v>https://www.aliexpress.com/item/.html</v>
      </c>
      <c r="AS311" s="57"/>
      <c r="AT311" s="59"/>
      <c r="AU311" s="61" t="str">
        <f>IF(Table1[[#This Row],[Banggood]]="","", HYPERLINK(Table1[[#This Row],[Destination - Banggood]],_xlfn.CONCAT("Link (",Table1[[#This Row],[Banggood]],")")))</f>
        <v/>
      </c>
      <c r="AV311" s="62" t="str">
        <f>_xlfn.CONCAT("https://www.banggood.com/search/",Table1[[#This Row],[Banggood]],".html")</f>
        <v>https://www.banggood.com/search/.html</v>
      </c>
      <c r="AW311" s="59" t="str">
        <f>IF(Table1[[#This Row],[Other]]&lt;&gt;"","Other","")</f>
        <v/>
      </c>
      <c r="AX311" s="57"/>
      <c r="AY311" s="59"/>
      <c r="AZ311" s="61" t="str">
        <f>IF(Table1[[#This Row],[Other]]="","",IF(Table1[[#This Row],[Destination - Other]]="","",HYPERLINK(Table1[[#This Row],[Destination - Other]],_xlfn.CONCAT("Link ("&amp;Table1[[#This Row],[Other]]&amp;")"))))</f>
        <v/>
      </c>
      <c r="BA311" s="59"/>
      <c r="BB311" s="58" t="str">
        <f>IF(AND( Table1[[#This Row],[Auto Order]]=1,Table1[[#This Row],[Obsolete]]=""),IF(Table1[[#This Row],[In stock]]&lt;Table1[[#This Row],[Min in stock]],1,""),"")</f>
        <v/>
      </c>
      <c r="BC311" s="64"/>
      <c r="BD311" s="66" t="str">
        <f>IF(Table1[[#This Row],[Obsolete]],Table1[[#This Row],[Art. Number]],"")</f>
        <v/>
      </c>
    </row>
    <row r="312" spans="1:56" x14ac:dyDescent="0.25">
      <c r="A312" s="65" t="s">
        <v>1850</v>
      </c>
      <c r="B312" s="57" t="s">
        <v>168</v>
      </c>
      <c r="C312" s="57" t="s">
        <v>97</v>
      </c>
      <c r="D312" s="57" t="s">
        <v>1851</v>
      </c>
      <c r="E312" s="57" t="s">
        <v>151</v>
      </c>
      <c r="F312" s="58">
        <v>0</v>
      </c>
      <c r="G312" s="58"/>
      <c r="H312" s="58"/>
      <c r="I31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RHM5.1MDCT-ND</v>
      </c>
      <c r="J31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(RHM5.1MDCT-ND)</v>
      </c>
      <c r="M312" s="57" t="s">
        <v>1852</v>
      </c>
      <c r="N312" s="59">
        <v>0.1</v>
      </c>
      <c r="O312" s="61" t="str">
        <f>IF(Table1[[#This Row],[Digikey]]="","", HYPERLINK(Table1[[#This Row],[Destination - Digikey]],_xlfn.CONCAT("Link (",Table1[[#This Row],[Digikey]],")")))</f>
        <v>Link (RHM5.1MDCT-ND)</v>
      </c>
      <c r="P312" s="62" t="str">
        <f>_xlfn.CONCAT("https://www.digikey.ch/products/en?keywords=",Table1[[#This Row],[Digikey]])</f>
        <v>https://www.digikey.ch/products/en?keywords=RHM5.1MDCT-ND</v>
      </c>
      <c r="Q312" s="57"/>
      <c r="R312" s="59"/>
      <c r="S312" s="61" t="str">
        <f>IF(Table1[[#This Row],[Farnell]]="","", HYPERLINK(Table1[[#This Row],[Destination - Farnell]],_xlfn.CONCAT("Link (",Table1[[#This Row],[Farnell]],")")))</f>
        <v/>
      </c>
      <c r="T312" s="62" t="str">
        <f>_xlfn.CONCAT("https://ch.farnell.com/fr-CH/",Table1[[#This Row],[Farnell]])</f>
        <v>https://ch.farnell.com/fr-CH/</v>
      </c>
      <c r="U312" s="57"/>
      <c r="V312" s="59"/>
      <c r="W312" s="61" t="str">
        <f>IF(Table1[[#This Row],[Distrelec]]="","", HYPERLINK(Table1[[#This Row],[Destination - Distrelec]],_xlfn.CONCAT("Link (",Table1[[#This Row],[Distrelec]],")")))</f>
        <v/>
      </c>
      <c r="X312" s="62" t="str">
        <f>_xlfn.CONCAT("https://www.distrelec.ch/search?q=",Table1[[#This Row],[Distrelec]])</f>
        <v>https://www.distrelec.ch/search?q=</v>
      </c>
      <c r="Y312" s="57"/>
      <c r="Z312" s="59"/>
      <c r="AA312" s="61" t="str">
        <f>IF(Table1[[#This Row],[Conrad]]="","", HYPERLINK(Table1[[#This Row],[Destination - Conrad]],_xlfn.CONCAT("Link (",Table1[[#This Row],[Conrad]],")")))</f>
        <v/>
      </c>
      <c r="AB312" s="62"/>
      <c r="AC312" s="57"/>
      <c r="AD312" s="59"/>
      <c r="AE312" s="61" t="str">
        <f>IF(Table1[[#This Row],[Mouser]]="","", HYPERLINK(Table1[[#This Row],[Destination - Mouser]],_xlfn.CONCAT("Link (",Table1[[#This Row],[Mouser]],")")))</f>
        <v/>
      </c>
      <c r="AF312" s="62" t="str">
        <f>_xlfn.CONCAT("https://www.mouser.ch/ProductDetail/",Table1[[#This Row],[Mouser]])</f>
        <v>https://www.mouser.ch/ProductDetail/</v>
      </c>
      <c r="AG312" s="57"/>
      <c r="AH312" s="59"/>
      <c r="AI312" s="61" t="str">
        <f>IF(Table1[[#This Row],[Bauhaus]]="","", HYPERLINK(Table1[[#This Row],[Destination - Bauhaus]],_xlfn.CONCAT("Link (",Table1[[#This Row],[Bauhaus]],")")))</f>
        <v/>
      </c>
      <c r="AJ312" s="62" t="str">
        <f>_xlfn.CONCAT("https://www.bauhaus.ch/fr/search?query=",Table1[[#This Row],[Bauhaus]])</f>
        <v>https://www.bauhaus.ch/fr/search?query=</v>
      </c>
      <c r="AK312" s="59"/>
      <c r="AL312" s="59"/>
      <c r="AM312" s="61" t="str">
        <f>IF(Table1[[#This Row],[BricoEtLoisirs]]="","", HYPERLINK(Table1[[#This Row],[Destination - BricoEtLoisirs]],_xlfn.CONCAT("Link (",Table1[[#This Row],[BricoEtLoisirs]],")")))</f>
        <v/>
      </c>
      <c r="AN312" s="62" t="str">
        <f>_xlfn.CONCAT("https://bricoetloisirs.ch/p/",Table1[[#This Row],[BricoEtLoisirs]])</f>
        <v>https://bricoetloisirs.ch/p/</v>
      </c>
      <c r="AO312" s="57"/>
      <c r="AP312" s="59"/>
      <c r="AQ312" s="61" t="str">
        <f>IF(Table1[[#This Row],[Aliexpress]]="","", HYPERLINK(Table1[[#This Row],[Destination - Aliexpress]],_xlfn.CONCAT("Link (",Table1[[#This Row],[Aliexpress]],")")))</f>
        <v/>
      </c>
      <c r="AR312" s="62" t="str">
        <f>_xlfn.CONCAT("https://www.aliexpress.com/item/",Table1[[#This Row],[Aliexpress]],".html")</f>
        <v>https://www.aliexpress.com/item/.html</v>
      </c>
      <c r="AS312" s="57"/>
      <c r="AT312" s="59"/>
      <c r="AU312" s="61" t="str">
        <f>IF(Table1[[#This Row],[Banggood]]="","", HYPERLINK(Table1[[#This Row],[Destination - Banggood]],_xlfn.CONCAT("Link (",Table1[[#This Row],[Banggood]],")")))</f>
        <v/>
      </c>
      <c r="AV312" s="62" t="str">
        <f>_xlfn.CONCAT("https://www.banggood.com/search/",Table1[[#This Row],[Banggood]],".html")</f>
        <v>https://www.banggood.com/search/.html</v>
      </c>
      <c r="AW312" s="59" t="str">
        <f>IF(Table1[[#This Row],[Other]]&lt;&gt;"","Other","")</f>
        <v/>
      </c>
      <c r="AX312" s="57"/>
      <c r="AY312" s="59"/>
      <c r="AZ312" s="61" t="str">
        <f>IF(Table1[[#This Row],[Other]]="","",IF(Table1[[#This Row],[Destination - Other]]="","",HYPERLINK(Table1[[#This Row],[Destination - Other]],_xlfn.CONCAT("Link ("&amp;Table1[[#This Row],[Other]]&amp;")"))))</f>
        <v/>
      </c>
      <c r="BA312" s="59"/>
      <c r="BB312" s="58" t="str">
        <f>IF(AND( Table1[[#This Row],[Auto Order]]=1,Table1[[#This Row],[Obsolete]]=""),IF(Table1[[#This Row],[In stock]]&lt;Table1[[#This Row],[Min in stock]],1,""),"")</f>
        <v/>
      </c>
      <c r="BC312" s="64"/>
      <c r="BD312" s="66" t="str">
        <f>IF(Table1[[#This Row],[Obsolete]],Table1[[#This Row],[Art. Number]],"")</f>
        <v/>
      </c>
    </row>
    <row r="313" spans="1:56" x14ac:dyDescent="0.25">
      <c r="A313" s="65" t="s">
        <v>1856</v>
      </c>
      <c r="B313" s="57" t="s">
        <v>168</v>
      </c>
      <c r="C313" s="57" t="s">
        <v>97</v>
      </c>
      <c r="D313" s="57" t="s">
        <v>1857</v>
      </c>
      <c r="E313" s="57" t="s">
        <v>151</v>
      </c>
      <c r="F313" s="58">
        <v>0</v>
      </c>
      <c r="G313" s="58"/>
      <c r="H313" s="58"/>
      <c r="I31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RHM56DCT-ND</v>
      </c>
      <c r="J31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(RHM56DCT-ND)</v>
      </c>
      <c r="M313" s="57" t="s">
        <v>1858</v>
      </c>
      <c r="N313" s="59">
        <v>0.1</v>
      </c>
      <c r="O313" s="61" t="str">
        <f>IF(Table1[[#This Row],[Digikey]]="","", HYPERLINK(Table1[[#This Row],[Destination - Digikey]],_xlfn.CONCAT("Link (",Table1[[#This Row],[Digikey]],")")))</f>
        <v>Link (RHM56DCT-ND)</v>
      </c>
      <c r="P313" s="62" t="str">
        <f>_xlfn.CONCAT("https://www.digikey.ch/products/en?keywords=",Table1[[#This Row],[Digikey]])</f>
        <v>https://www.digikey.ch/products/en?keywords=RHM56DCT-ND</v>
      </c>
      <c r="Q313" s="57"/>
      <c r="R313" s="59"/>
      <c r="S313" s="61" t="str">
        <f>IF(Table1[[#This Row],[Farnell]]="","", HYPERLINK(Table1[[#This Row],[Destination - Farnell]],_xlfn.CONCAT("Link (",Table1[[#This Row],[Farnell]],")")))</f>
        <v/>
      </c>
      <c r="T313" s="62" t="str">
        <f>_xlfn.CONCAT("https://ch.farnell.com/fr-CH/",Table1[[#This Row],[Farnell]])</f>
        <v>https://ch.farnell.com/fr-CH/</v>
      </c>
      <c r="U313" s="57"/>
      <c r="V313" s="59"/>
      <c r="W313" s="61" t="str">
        <f>IF(Table1[[#This Row],[Distrelec]]="","", HYPERLINK(Table1[[#This Row],[Destination - Distrelec]],_xlfn.CONCAT("Link (",Table1[[#This Row],[Distrelec]],")")))</f>
        <v/>
      </c>
      <c r="X313" s="62" t="str">
        <f>_xlfn.CONCAT("https://www.distrelec.ch/search?q=",Table1[[#This Row],[Distrelec]])</f>
        <v>https://www.distrelec.ch/search?q=</v>
      </c>
      <c r="Y313" s="57"/>
      <c r="Z313" s="59"/>
      <c r="AA313" s="61" t="str">
        <f>IF(Table1[[#This Row],[Conrad]]="","", HYPERLINK(Table1[[#This Row],[Destination - Conrad]],_xlfn.CONCAT("Link (",Table1[[#This Row],[Conrad]],")")))</f>
        <v/>
      </c>
      <c r="AB313" s="62"/>
      <c r="AC313" s="57"/>
      <c r="AD313" s="59"/>
      <c r="AE313" s="61" t="str">
        <f>IF(Table1[[#This Row],[Mouser]]="","", HYPERLINK(Table1[[#This Row],[Destination - Mouser]],_xlfn.CONCAT("Link (",Table1[[#This Row],[Mouser]],")")))</f>
        <v/>
      </c>
      <c r="AF313" s="62" t="str">
        <f>_xlfn.CONCAT("https://www.mouser.ch/ProductDetail/",Table1[[#This Row],[Mouser]])</f>
        <v>https://www.mouser.ch/ProductDetail/</v>
      </c>
      <c r="AG313" s="57"/>
      <c r="AH313" s="59"/>
      <c r="AI313" s="61" t="str">
        <f>IF(Table1[[#This Row],[Bauhaus]]="","", HYPERLINK(Table1[[#This Row],[Destination - Bauhaus]],_xlfn.CONCAT("Link (",Table1[[#This Row],[Bauhaus]],")")))</f>
        <v/>
      </c>
      <c r="AJ313" s="62" t="str">
        <f>_xlfn.CONCAT("https://www.bauhaus.ch/fr/search?query=",Table1[[#This Row],[Bauhaus]])</f>
        <v>https://www.bauhaus.ch/fr/search?query=</v>
      </c>
      <c r="AK313" s="59"/>
      <c r="AL313" s="59"/>
      <c r="AM313" s="61" t="str">
        <f>IF(Table1[[#This Row],[BricoEtLoisirs]]="","", HYPERLINK(Table1[[#This Row],[Destination - BricoEtLoisirs]],_xlfn.CONCAT("Link (",Table1[[#This Row],[BricoEtLoisirs]],")")))</f>
        <v/>
      </c>
      <c r="AN313" s="62" t="str">
        <f>_xlfn.CONCAT("https://bricoetloisirs.ch/p/",Table1[[#This Row],[BricoEtLoisirs]])</f>
        <v>https://bricoetloisirs.ch/p/</v>
      </c>
      <c r="AO313" s="57"/>
      <c r="AP313" s="59"/>
      <c r="AQ313" s="61" t="str">
        <f>IF(Table1[[#This Row],[Aliexpress]]="","", HYPERLINK(Table1[[#This Row],[Destination - Aliexpress]],_xlfn.CONCAT("Link (",Table1[[#This Row],[Aliexpress]],")")))</f>
        <v/>
      </c>
      <c r="AR313" s="62" t="str">
        <f>_xlfn.CONCAT("https://www.aliexpress.com/item/",Table1[[#This Row],[Aliexpress]],".html")</f>
        <v>https://www.aliexpress.com/item/.html</v>
      </c>
      <c r="AS313" s="57"/>
      <c r="AT313" s="59"/>
      <c r="AU313" s="61" t="str">
        <f>IF(Table1[[#This Row],[Banggood]]="","", HYPERLINK(Table1[[#This Row],[Destination - Banggood]],_xlfn.CONCAT("Link (",Table1[[#This Row],[Banggood]],")")))</f>
        <v/>
      </c>
      <c r="AV313" s="62" t="str">
        <f>_xlfn.CONCAT("https://www.banggood.com/search/",Table1[[#This Row],[Banggood]],".html")</f>
        <v>https://www.banggood.com/search/.html</v>
      </c>
      <c r="AW313" s="59" t="str">
        <f>IF(Table1[[#This Row],[Other]]&lt;&gt;"","Other","")</f>
        <v/>
      </c>
      <c r="AX313" s="57"/>
      <c r="AY313" s="59"/>
      <c r="AZ313" s="61" t="str">
        <f>IF(Table1[[#This Row],[Other]]="","",IF(Table1[[#This Row],[Destination - Other]]="","",HYPERLINK(Table1[[#This Row],[Destination - Other]],_xlfn.CONCAT("Link ("&amp;Table1[[#This Row],[Other]]&amp;")"))))</f>
        <v/>
      </c>
      <c r="BA313" s="59"/>
      <c r="BB313" s="58" t="str">
        <f>IF(AND( Table1[[#This Row],[Auto Order]]=1,Table1[[#This Row],[Obsolete]]=""),IF(Table1[[#This Row],[In stock]]&lt;Table1[[#This Row],[Min in stock]],1,""),"")</f>
        <v/>
      </c>
      <c r="BC313" s="64"/>
      <c r="BD313" s="66" t="str">
        <f>IF(Table1[[#This Row],[Obsolete]],Table1[[#This Row],[Art. Number]],"")</f>
        <v/>
      </c>
    </row>
    <row r="314" spans="1:56" x14ac:dyDescent="0.25">
      <c r="A314" s="65" t="s">
        <v>192</v>
      </c>
      <c r="B314" s="57" t="s">
        <v>168</v>
      </c>
      <c r="C314" s="57" t="s">
        <v>1862</v>
      </c>
      <c r="D314" s="57" t="s">
        <v>1863</v>
      </c>
      <c r="E314" s="57" t="s">
        <v>151</v>
      </c>
      <c r="F314" s="58">
        <v>9</v>
      </c>
      <c r="G314" s="58"/>
      <c r="H314" s="58"/>
      <c r="I31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RHM560DCT-ND</v>
      </c>
      <c r="J31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(RHM560DCT-ND)</v>
      </c>
      <c r="M314" s="57" t="s">
        <v>1864</v>
      </c>
      <c r="N314" s="59">
        <v>0.1</v>
      </c>
      <c r="O314" s="61" t="str">
        <f>IF(Table1[[#This Row],[Digikey]]="","", HYPERLINK(Table1[[#This Row],[Destination - Digikey]],_xlfn.CONCAT("Link (",Table1[[#This Row],[Digikey]],")")))</f>
        <v>Link (RHM560DCT-ND)</v>
      </c>
      <c r="P314" s="62" t="str">
        <f>_xlfn.CONCAT("https://www.digikey.ch/products/en?keywords=",Table1[[#This Row],[Digikey]])</f>
        <v>https://www.digikey.ch/products/en?keywords=RHM560DCT-ND</v>
      </c>
      <c r="Q314" s="57"/>
      <c r="R314" s="59"/>
      <c r="S314" s="61" t="str">
        <f>IF(Table1[[#This Row],[Farnell]]="","", HYPERLINK(Table1[[#This Row],[Destination - Farnell]],_xlfn.CONCAT("Link (",Table1[[#This Row],[Farnell]],")")))</f>
        <v/>
      </c>
      <c r="T314" s="62" t="str">
        <f>_xlfn.CONCAT("https://ch.farnell.com/fr-CH/",Table1[[#This Row],[Farnell]])</f>
        <v>https://ch.farnell.com/fr-CH/</v>
      </c>
      <c r="U314" s="57"/>
      <c r="V314" s="59"/>
      <c r="W314" s="61" t="str">
        <f>IF(Table1[[#This Row],[Distrelec]]="","", HYPERLINK(Table1[[#This Row],[Destination - Distrelec]],_xlfn.CONCAT("Link (",Table1[[#This Row],[Distrelec]],")")))</f>
        <v/>
      </c>
      <c r="X314" s="62" t="str">
        <f>_xlfn.CONCAT("https://www.distrelec.ch/search?q=",Table1[[#This Row],[Distrelec]])</f>
        <v>https://www.distrelec.ch/search?q=</v>
      </c>
      <c r="Y314" s="57"/>
      <c r="Z314" s="59"/>
      <c r="AA314" s="61" t="str">
        <f>IF(Table1[[#This Row],[Conrad]]="","", HYPERLINK(Table1[[#This Row],[Destination - Conrad]],_xlfn.CONCAT("Link (",Table1[[#This Row],[Conrad]],")")))</f>
        <v/>
      </c>
      <c r="AB314" s="62"/>
      <c r="AC314" s="57"/>
      <c r="AD314" s="59"/>
      <c r="AE314" s="61" t="str">
        <f>IF(Table1[[#This Row],[Mouser]]="","", HYPERLINK(Table1[[#This Row],[Destination - Mouser]],_xlfn.CONCAT("Link (",Table1[[#This Row],[Mouser]],")")))</f>
        <v/>
      </c>
      <c r="AF314" s="62" t="str">
        <f>_xlfn.CONCAT("https://www.mouser.ch/ProductDetail/",Table1[[#This Row],[Mouser]])</f>
        <v>https://www.mouser.ch/ProductDetail/</v>
      </c>
      <c r="AG314" s="57"/>
      <c r="AH314" s="59"/>
      <c r="AI314" s="61" t="str">
        <f>IF(Table1[[#This Row],[Bauhaus]]="","", HYPERLINK(Table1[[#This Row],[Destination - Bauhaus]],_xlfn.CONCAT("Link (",Table1[[#This Row],[Bauhaus]],")")))</f>
        <v/>
      </c>
      <c r="AJ314" s="62" t="str">
        <f>_xlfn.CONCAT("https://www.bauhaus.ch/fr/search?query=",Table1[[#This Row],[Bauhaus]])</f>
        <v>https://www.bauhaus.ch/fr/search?query=</v>
      </c>
      <c r="AK314" s="59"/>
      <c r="AL314" s="59"/>
      <c r="AM314" s="61" t="str">
        <f>IF(Table1[[#This Row],[BricoEtLoisirs]]="","", HYPERLINK(Table1[[#This Row],[Destination - BricoEtLoisirs]],_xlfn.CONCAT("Link (",Table1[[#This Row],[BricoEtLoisirs]],")")))</f>
        <v/>
      </c>
      <c r="AN314" s="62" t="str">
        <f>_xlfn.CONCAT("https://bricoetloisirs.ch/p/",Table1[[#This Row],[BricoEtLoisirs]])</f>
        <v>https://bricoetloisirs.ch/p/</v>
      </c>
      <c r="AO314" s="57"/>
      <c r="AP314" s="59"/>
      <c r="AQ314" s="61" t="str">
        <f>IF(Table1[[#This Row],[Aliexpress]]="","", HYPERLINK(Table1[[#This Row],[Destination - Aliexpress]],_xlfn.CONCAT("Link (",Table1[[#This Row],[Aliexpress]],")")))</f>
        <v/>
      </c>
      <c r="AR314" s="62" t="str">
        <f>_xlfn.CONCAT("https://www.aliexpress.com/item/",Table1[[#This Row],[Aliexpress]],".html")</f>
        <v>https://www.aliexpress.com/item/.html</v>
      </c>
      <c r="AS314" s="57"/>
      <c r="AT314" s="59"/>
      <c r="AU314" s="61" t="str">
        <f>IF(Table1[[#This Row],[Banggood]]="","", HYPERLINK(Table1[[#This Row],[Destination - Banggood]],_xlfn.CONCAT("Link (",Table1[[#This Row],[Banggood]],")")))</f>
        <v/>
      </c>
      <c r="AV314" s="62" t="str">
        <f>_xlfn.CONCAT("https://www.banggood.com/search/",Table1[[#This Row],[Banggood]],".html")</f>
        <v>https://www.banggood.com/search/.html</v>
      </c>
      <c r="AW314" s="59" t="str">
        <f>IF(Table1[[#This Row],[Other]]&lt;&gt;"","Other","")</f>
        <v/>
      </c>
      <c r="AX314" s="57"/>
      <c r="AY314" s="59"/>
      <c r="AZ314" s="61" t="str">
        <f>IF(Table1[[#This Row],[Other]]="","",IF(Table1[[#This Row],[Destination - Other]]="","",HYPERLINK(Table1[[#This Row],[Destination - Other]],_xlfn.CONCAT("Link ("&amp;Table1[[#This Row],[Other]]&amp;")"))))</f>
        <v/>
      </c>
      <c r="BA314" s="59"/>
      <c r="BB314" s="58" t="str">
        <f>IF(AND( Table1[[#This Row],[Auto Order]]=1,Table1[[#This Row],[Obsolete]]=""),IF(Table1[[#This Row],[In stock]]&lt;Table1[[#This Row],[Min in stock]],1,""),"")</f>
        <v/>
      </c>
      <c r="BC314" s="64"/>
      <c r="BD314" s="66" t="str">
        <f>IF(Table1[[#This Row],[Obsolete]],Table1[[#This Row],[Art. Number]],"")</f>
        <v/>
      </c>
    </row>
    <row r="315" spans="1:56" x14ac:dyDescent="0.25">
      <c r="A315" s="65" t="s">
        <v>1868</v>
      </c>
      <c r="B315" s="57" t="s">
        <v>168</v>
      </c>
      <c r="C315" s="57" t="s">
        <v>1869</v>
      </c>
      <c r="D315" s="57" t="s">
        <v>1870</v>
      </c>
      <c r="E315" s="57" t="s">
        <v>151</v>
      </c>
      <c r="F315" s="58">
        <v>10</v>
      </c>
      <c r="G315" s="58">
        <v>10</v>
      </c>
      <c r="H315" s="58">
        <v>1</v>
      </c>
      <c r="I31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RHM5.6KDCT-ND</v>
      </c>
      <c r="J31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(RHM5.6KDCT-ND)</v>
      </c>
      <c r="M315" s="57" t="s">
        <v>1871</v>
      </c>
      <c r="N315" s="59">
        <v>0.1</v>
      </c>
      <c r="O315" s="61" t="str">
        <f>IF(Table1[[#This Row],[Digikey]]="","", HYPERLINK(Table1[[#This Row],[Destination - Digikey]],_xlfn.CONCAT("Link (",Table1[[#This Row],[Digikey]],")")))</f>
        <v>Link (RHM5.6KDCT-ND)</v>
      </c>
      <c r="P315" s="62" t="str">
        <f>_xlfn.CONCAT("https://www.digikey.ch/products/en?keywords=",Table1[[#This Row],[Digikey]])</f>
        <v>https://www.digikey.ch/products/en?keywords=RHM5.6KDCT-ND</v>
      </c>
      <c r="Q315" s="57"/>
      <c r="R315" s="59"/>
      <c r="S315" s="61" t="str">
        <f>IF(Table1[[#This Row],[Farnell]]="","", HYPERLINK(Table1[[#This Row],[Destination - Farnell]],_xlfn.CONCAT("Link (",Table1[[#This Row],[Farnell]],")")))</f>
        <v/>
      </c>
      <c r="T315" s="62" t="str">
        <f>_xlfn.CONCAT("https://ch.farnell.com/fr-CH/",Table1[[#This Row],[Farnell]])</f>
        <v>https://ch.farnell.com/fr-CH/</v>
      </c>
      <c r="U315" s="57"/>
      <c r="V315" s="59"/>
      <c r="W315" s="61" t="str">
        <f>IF(Table1[[#This Row],[Distrelec]]="","", HYPERLINK(Table1[[#This Row],[Destination - Distrelec]],_xlfn.CONCAT("Link (",Table1[[#This Row],[Distrelec]],")")))</f>
        <v/>
      </c>
      <c r="X315" s="62" t="str">
        <f>_xlfn.CONCAT("https://www.distrelec.ch/search?q=",Table1[[#This Row],[Distrelec]])</f>
        <v>https://www.distrelec.ch/search?q=</v>
      </c>
      <c r="Y315" s="57"/>
      <c r="Z315" s="59"/>
      <c r="AA315" s="61" t="str">
        <f>IF(Table1[[#This Row],[Conrad]]="","", HYPERLINK(Table1[[#This Row],[Destination - Conrad]],_xlfn.CONCAT("Link (",Table1[[#This Row],[Conrad]],")")))</f>
        <v/>
      </c>
      <c r="AB315" s="62"/>
      <c r="AC315" s="57"/>
      <c r="AD315" s="59"/>
      <c r="AE315" s="61" t="str">
        <f>IF(Table1[[#This Row],[Mouser]]="","", HYPERLINK(Table1[[#This Row],[Destination - Mouser]],_xlfn.CONCAT("Link (",Table1[[#This Row],[Mouser]],")")))</f>
        <v/>
      </c>
      <c r="AF315" s="62" t="str">
        <f>_xlfn.CONCAT("https://www.mouser.ch/ProductDetail/",Table1[[#This Row],[Mouser]])</f>
        <v>https://www.mouser.ch/ProductDetail/</v>
      </c>
      <c r="AG315" s="57"/>
      <c r="AH315" s="59"/>
      <c r="AI315" s="61" t="str">
        <f>IF(Table1[[#This Row],[Bauhaus]]="","", HYPERLINK(Table1[[#This Row],[Destination - Bauhaus]],_xlfn.CONCAT("Link (",Table1[[#This Row],[Bauhaus]],")")))</f>
        <v/>
      </c>
      <c r="AJ315" s="62" t="str">
        <f>_xlfn.CONCAT("https://www.bauhaus.ch/fr/search?query=",Table1[[#This Row],[Bauhaus]])</f>
        <v>https://www.bauhaus.ch/fr/search?query=</v>
      </c>
      <c r="AK315" s="59"/>
      <c r="AL315" s="59"/>
      <c r="AM315" s="61" t="str">
        <f>IF(Table1[[#This Row],[BricoEtLoisirs]]="","", HYPERLINK(Table1[[#This Row],[Destination - BricoEtLoisirs]],_xlfn.CONCAT("Link (",Table1[[#This Row],[BricoEtLoisirs]],")")))</f>
        <v/>
      </c>
      <c r="AN315" s="62" t="str">
        <f>_xlfn.CONCAT("https://bricoetloisirs.ch/p/",Table1[[#This Row],[BricoEtLoisirs]])</f>
        <v>https://bricoetloisirs.ch/p/</v>
      </c>
      <c r="AO315" s="57"/>
      <c r="AP315" s="59"/>
      <c r="AQ315" s="61" t="str">
        <f>IF(Table1[[#This Row],[Aliexpress]]="","", HYPERLINK(Table1[[#This Row],[Destination - Aliexpress]],_xlfn.CONCAT("Link (",Table1[[#This Row],[Aliexpress]],")")))</f>
        <v/>
      </c>
      <c r="AR315" s="62" t="str">
        <f>_xlfn.CONCAT("https://www.aliexpress.com/item/",Table1[[#This Row],[Aliexpress]],".html")</f>
        <v>https://www.aliexpress.com/item/.html</v>
      </c>
      <c r="AS315" s="57"/>
      <c r="AT315" s="59"/>
      <c r="AU315" s="61" t="str">
        <f>IF(Table1[[#This Row],[Banggood]]="","", HYPERLINK(Table1[[#This Row],[Destination - Banggood]],_xlfn.CONCAT("Link (",Table1[[#This Row],[Banggood]],")")))</f>
        <v/>
      </c>
      <c r="AV315" s="62" t="str">
        <f>_xlfn.CONCAT("https://www.banggood.com/search/",Table1[[#This Row],[Banggood]],".html")</f>
        <v>https://www.banggood.com/search/.html</v>
      </c>
      <c r="AW315" s="59" t="str">
        <f>IF(Table1[[#This Row],[Other]]&lt;&gt;"","Other","")</f>
        <v/>
      </c>
      <c r="AX315" s="57"/>
      <c r="AY315" s="59"/>
      <c r="AZ315" s="61" t="str">
        <f>IF(Table1[[#This Row],[Other]]="","",IF(Table1[[#This Row],[Destination - Other]]="","",HYPERLINK(Table1[[#This Row],[Destination - Other]],_xlfn.CONCAT("Link ("&amp;Table1[[#This Row],[Other]]&amp;")"))))</f>
        <v/>
      </c>
      <c r="BA315" s="59"/>
      <c r="BB315" s="58" t="str">
        <f>IF(AND( Table1[[#This Row],[Auto Order]]=1,Table1[[#This Row],[Obsolete]]=""),IF(Table1[[#This Row],[In stock]]&lt;Table1[[#This Row],[Min in stock]],1,""),"")</f>
        <v/>
      </c>
      <c r="BC315" s="64"/>
      <c r="BD315" s="66" t="str">
        <f>IF(Table1[[#This Row],[Obsolete]],Table1[[#This Row],[Art. Number]],"")</f>
        <v/>
      </c>
    </row>
    <row r="316" spans="1:56" x14ac:dyDescent="0.25">
      <c r="A316" s="65" t="s">
        <v>1875</v>
      </c>
      <c r="B316" s="57" t="s">
        <v>168</v>
      </c>
      <c r="C316" s="57" t="s">
        <v>97</v>
      </c>
      <c r="D316" s="57" t="s">
        <v>1876</v>
      </c>
      <c r="E316" s="57" t="s">
        <v>151</v>
      </c>
      <c r="F316" s="58">
        <v>0</v>
      </c>
      <c r="G316" s="58"/>
      <c r="H316" s="58"/>
      <c r="I31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RHM56KDCT-ND</v>
      </c>
      <c r="J31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(RHM56KDCT-ND)</v>
      </c>
      <c r="M316" s="57" t="s">
        <v>1877</v>
      </c>
      <c r="N316" s="59">
        <v>0.1</v>
      </c>
      <c r="O316" s="61" t="str">
        <f>IF(Table1[[#This Row],[Digikey]]="","", HYPERLINK(Table1[[#This Row],[Destination - Digikey]],_xlfn.CONCAT("Link (",Table1[[#This Row],[Digikey]],")")))</f>
        <v>Link (RHM56KDCT-ND)</v>
      </c>
      <c r="P316" s="62" t="str">
        <f>_xlfn.CONCAT("https://www.digikey.ch/products/en?keywords=",Table1[[#This Row],[Digikey]])</f>
        <v>https://www.digikey.ch/products/en?keywords=RHM56KDCT-ND</v>
      </c>
      <c r="Q316" s="57"/>
      <c r="R316" s="59"/>
      <c r="S316" s="61" t="str">
        <f>IF(Table1[[#This Row],[Farnell]]="","", HYPERLINK(Table1[[#This Row],[Destination - Farnell]],_xlfn.CONCAT("Link (",Table1[[#This Row],[Farnell]],")")))</f>
        <v/>
      </c>
      <c r="T316" s="62" t="str">
        <f>_xlfn.CONCAT("https://ch.farnell.com/fr-CH/",Table1[[#This Row],[Farnell]])</f>
        <v>https://ch.farnell.com/fr-CH/</v>
      </c>
      <c r="U316" s="57"/>
      <c r="V316" s="59"/>
      <c r="W316" s="61" t="str">
        <f>IF(Table1[[#This Row],[Distrelec]]="","", HYPERLINK(Table1[[#This Row],[Destination - Distrelec]],_xlfn.CONCAT("Link (",Table1[[#This Row],[Distrelec]],")")))</f>
        <v/>
      </c>
      <c r="X316" s="62" t="str">
        <f>_xlfn.CONCAT("https://www.distrelec.ch/search?q=",Table1[[#This Row],[Distrelec]])</f>
        <v>https://www.distrelec.ch/search?q=</v>
      </c>
      <c r="Y316" s="57"/>
      <c r="Z316" s="59"/>
      <c r="AA316" s="61" t="str">
        <f>IF(Table1[[#This Row],[Conrad]]="","", HYPERLINK(Table1[[#This Row],[Destination - Conrad]],_xlfn.CONCAT("Link (",Table1[[#This Row],[Conrad]],")")))</f>
        <v/>
      </c>
      <c r="AB316" s="62"/>
      <c r="AC316" s="57"/>
      <c r="AD316" s="59"/>
      <c r="AE316" s="61" t="str">
        <f>IF(Table1[[#This Row],[Mouser]]="","", HYPERLINK(Table1[[#This Row],[Destination - Mouser]],_xlfn.CONCAT("Link (",Table1[[#This Row],[Mouser]],")")))</f>
        <v/>
      </c>
      <c r="AF316" s="62" t="str">
        <f>_xlfn.CONCAT("https://www.mouser.ch/ProductDetail/",Table1[[#This Row],[Mouser]])</f>
        <v>https://www.mouser.ch/ProductDetail/</v>
      </c>
      <c r="AG316" s="57"/>
      <c r="AH316" s="59"/>
      <c r="AI316" s="61" t="str">
        <f>IF(Table1[[#This Row],[Bauhaus]]="","", HYPERLINK(Table1[[#This Row],[Destination - Bauhaus]],_xlfn.CONCAT("Link (",Table1[[#This Row],[Bauhaus]],")")))</f>
        <v/>
      </c>
      <c r="AJ316" s="62" t="str">
        <f>_xlfn.CONCAT("https://www.bauhaus.ch/fr/search?query=",Table1[[#This Row],[Bauhaus]])</f>
        <v>https://www.bauhaus.ch/fr/search?query=</v>
      </c>
      <c r="AK316" s="59"/>
      <c r="AL316" s="59"/>
      <c r="AM316" s="61" t="str">
        <f>IF(Table1[[#This Row],[BricoEtLoisirs]]="","", HYPERLINK(Table1[[#This Row],[Destination - BricoEtLoisirs]],_xlfn.CONCAT("Link (",Table1[[#This Row],[BricoEtLoisirs]],")")))</f>
        <v/>
      </c>
      <c r="AN316" s="62" t="str">
        <f>_xlfn.CONCAT("https://bricoetloisirs.ch/p/",Table1[[#This Row],[BricoEtLoisirs]])</f>
        <v>https://bricoetloisirs.ch/p/</v>
      </c>
      <c r="AO316" s="57"/>
      <c r="AP316" s="59"/>
      <c r="AQ316" s="61" t="str">
        <f>IF(Table1[[#This Row],[Aliexpress]]="","", HYPERLINK(Table1[[#This Row],[Destination - Aliexpress]],_xlfn.CONCAT("Link (",Table1[[#This Row],[Aliexpress]],")")))</f>
        <v/>
      </c>
      <c r="AR316" s="62" t="str">
        <f>_xlfn.CONCAT("https://www.aliexpress.com/item/",Table1[[#This Row],[Aliexpress]],".html")</f>
        <v>https://www.aliexpress.com/item/.html</v>
      </c>
      <c r="AS316" s="57"/>
      <c r="AT316" s="59"/>
      <c r="AU316" s="61" t="str">
        <f>IF(Table1[[#This Row],[Banggood]]="","", HYPERLINK(Table1[[#This Row],[Destination - Banggood]],_xlfn.CONCAT("Link (",Table1[[#This Row],[Banggood]],")")))</f>
        <v/>
      </c>
      <c r="AV316" s="62" t="str">
        <f>_xlfn.CONCAT("https://www.banggood.com/search/",Table1[[#This Row],[Banggood]],".html")</f>
        <v>https://www.banggood.com/search/.html</v>
      </c>
      <c r="AW316" s="59" t="str">
        <f>IF(Table1[[#This Row],[Other]]&lt;&gt;"","Other","")</f>
        <v/>
      </c>
      <c r="AX316" s="57"/>
      <c r="AY316" s="59"/>
      <c r="AZ316" s="61" t="str">
        <f>IF(Table1[[#This Row],[Other]]="","",IF(Table1[[#This Row],[Destination - Other]]="","",HYPERLINK(Table1[[#This Row],[Destination - Other]],_xlfn.CONCAT("Link ("&amp;Table1[[#This Row],[Other]]&amp;")"))))</f>
        <v/>
      </c>
      <c r="BA316" s="59"/>
      <c r="BB316" s="58" t="str">
        <f>IF(AND( Table1[[#This Row],[Auto Order]]=1,Table1[[#This Row],[Obsolete]]=""),IF(Table1[[#This Row],[In stock]]&lt;Table1[[#This Row],[Min in stock]],1,""),"")</f>
        <v/>
      </c>
      <c r="BC316" s="64"/>
      <c r="BD316" s="66" t="str">
        <f>IF(Table1[[#This Row],[Obsolete]],Table1[[#This Row],[Art. Number]],"")</f>
        <v/>
      </c>
    </row>
    <row r="317" spans="1:56" x14ac:dyDescent="0.25">
      <c r="A317" s="65" t="s">
        <v>1881</v>
      </c>
      <c r="B317" s="57" t="s">
        <v>168</v>
      </c>
      <c r="C317" s="57" t="s">
        <v>97</v>
      </c>
      <c r="D317" s="57" t="s">
        <v>1882</v>
      </c>
      <c r="E317" s="57" t="s">
        <v>151</v>
      </c>
      <c r="F317" s="58">
        <v>0</v>
      </c>
      <c r="G317" s="58"/>
      <c r="H317" s="58"/>
      <c r="I31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RHM560KDCT-ND</v>
      </c>
      <c r="J31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(RHM560KDCT-ND)</v>
      </c>
      <c r="M317" s="57" t="s">
        <v>1883</v>
      </c>
      <c r="N317" s="59">
        <v>0.1</v>
      </c>
      <c r="O317" s="61" t="str">
        <f>IF(Table1[[#This Row],[Digikey]]="","", HYPERLINK(Table1[[#This Row],[Destination - Digikey]],_xlfn.CONCAT("Link (",Table1[[#This Row],[Digikey]],")")))</f>
        <v>Link (RHM560KDCT-ND)</v>
      </c>
      <c r="P317" s="62" t="str">
        <f>_xlfn.CONCAT("https://www.digikey.ch/products/en?keywords=",Table1[[#This Row],[Digikey]])</f>
        <v>https://www.digikey.ch/products/en?keywords=RHM560KDCT-ND</v>
      </c>
      <c r="Q317" s="57"/>
      <c r="R317" s="59"/>
      <c r="S317" s="61" t="str">
        <f>IF(Table1[[#This Row],[Farnell]]="","", HYPERLINK(Table1[[#This Row],[Destination - Farnell]],_xlfn.CONCAT("Link (",Table1[[#This Row],[Farnell]],")")))</f>
        <v/>
      </c>
      <c r="T317" s="62" t="str">
        <f>_xlfn.CONCAT("https://ch.farnell.com/fr-CH/",Table1[[#This Row],[Farnell]])</f>
        <v>https://ch.farnell.com/fr-CH/</v>
      </c>
      <c r="U317" s="57"/>
      <c r="V317" s="59"/>
      <c r="W317" s="61" t="str">
        <f>IF(Table1[[#This Row],[Distrelec]]="","", HYPERLINK(Table1[[#This Row],[Destination - Distrelec]],_xlfn.CONCAT("Link (",Table1[[#This Row],[Distrelec]],")")))</f>
        <v/>
      </c>
      <c r="X317" s="62" t="str">
        <f>_xlfn.CONCAT("https://www.distrelec.ch/search?q=",Table1[[#This Row],[Distrelec]])</f>
        <v>https://www.distrelec.ch/search?q=</v>
      </c>
      <c r="Y317" s="57"/>
      <c r="Z317" s="59"/>
      <c r="AA317" s="61" t="str">
        <f>IF(Table1[[#This Row],[Conrad]]="","", HYPERLINK(Table1[[#This Row],[Destination - Conrad]],_xlfn.CONCAT("Link (",Table1[[#This Row],[Conrad]],")")))</f>
        <v/>
      </c>
      <c r="AB317" s="62"/>
      <c r="AC317" s="57"/>
      <c r="AD317" s="59"/>
      <c r="AE317" s="61" t="str">
        <f>IF(Table1[[#This Row],[Mouser]]="","", HYPERLINK(Table1[[#This Row],[Destination - Mouser]],_xlfn.CONCAT("Link (",Table1[[#This Row],[Mouser]],")")))</f>
        <v/>
      </c>
      <c r="AF317" s="62" t="str">
        <f>_xlfn.CONCAT("https://www.mouser.ch/ProductDetail/",Table1[[#This Row],[Mouser]])</f>
        <v>https://www.mouser.ch/ProductDetail/</v>
      </c>
      <c r="AG317" s="57"/>
      <c r="AH317" s="59"/>
      <c r="AI317" s="61" t="str">
        <f>IF(Table1[[#This Row],[Bauhaus]]="","", HYPERLINK(Table1[[#This Row],[Destination - Bauhaus]],_xlfn.CONCAT("Link (",Table1[[#This Row],[Bauhaus]],")")))</f>
        <v/>
      </c>
      <c r="AJ317" s="62" t="str">
        <f>_xlfn.CONCAT("https://www.bauhaus.ch/fr/search?query=",Table1[[#This Row],[Bauhaus]])</f>
        <v>https://www.bauhaus.ch/fr/search?query=</v>
      </c>
      <c r="AK317" s="59"/>
      <c r="AL317" s="59"/>
      <c r="AM317" s="61" t="str">
        <f>IF(Table1[[#This Row],[BricoEtLoisirs]]="","", HYPERLINK(Table1[[#This Row],[Destination - BricoEtLoisirs]],_xlfn.CONCAT("Link (",Table1[[#This Row],[BricoEtLoisirs]],")")))</f>
        <v/>
      </c>
      <c r="AN317" s="62" t="str">
        <f>_xlfn.CONCAT("https://bricoetloisirs.ch/p/",Table1[[#This Row],[BricoEtLoisirs]])</f>
        <v>https://bricoetloisirs.ch/p/</v>
      </c>
      <c r="AO317" s="57"/>
      <c r="AP317" s="59"/>
      <c r="AQ317" s="61" t="str">
        <f>IF(Table1[[#This Row],[Aliexpress]]="","", HYPERLINK(Table1[[#This Row],[Destination - Aliexpress]],_xlfn.CONCAT("Link (",Table1[[#This Row],[Aliexpress]],")")))</f>
        <v/>
      </c>
      <c r="AR317" s="62" t="str">
        <f>_xlfn.CONCAT("https://www.aliexpress.com/item/",Table1[[#This Row],[Aliexpress]],".html")</f>
        <v>https://www.aliexpress.com/item/.html</v>
      </c>
      <c r="AS317" s="57"/>
      <c r="AT317" s="59"/>
      <c r="AU317" s="61" t="str">
        <f>IF(Table1[[#This Row],[Banggood]]="","", HYPERLINK(Table1[[#This Row],[Destination - Banggood]],_xlfn.CONCAT("Link (",Table1[[#This Row],[Banggood]],")")))</f>
        <v/>
      </c>
      <c r="AV317" s="62" t="str">
        <f>_xlfn.CONCAT("https://www.banggood.com/search/",Table1[[#This Row],[Banggood]],".html")</f>
        <v>https://www.banggood.com/search/.html</v>
      </c>
      <c r="AW317" s="59" t="str">
        <f>IF(Table1[[#This Row],[Other]]&lt;&gt;"","Other","")</f>
        <v/>
      </c>
      <c r="AX317" s="57"/>
      <c r="AY317" s="59"/>
      <c r="AZ317" s="61" t="str">
        <f>IF(Table1[[#This Row],[Other]]="","",IF(Table1[[#This Row],[Destination - Other]]="","",HYPERLINK(Table1[[#This Row],[Destination - Other]],_xlfn.CONCAT("Link ("&amp;Table1[[#This Row],[Other]]&amp;")"))))</f>
        <v/>
      </c>
      <c r="BA317" s="59"/>
      <c r="BB317" s="58" t="str">
        <f>IF(AND( Table1[[#This Row],[Auto Order]]=1,Table1[[#This Row],[Obsolete]]=""),IF(Table1[[#This Row],[In stock]]&lt;Table1[[#This Row],[Min in stock]],1,""),"")</f>
        <v/>
      </c>
      <c r="BC317" s="64"/>
      <c r="BD317" s="66" t="str">
        <f>IF(Table1[[#This Row],[Obsolete]],Table1[[#This Row],[Art. Number]],"")</f>
        <v/>
      </c>
    </row>
    <row r="318" spans="1:56" x14ac:dyDescent="0.25">
      <c r="A318" s="65" t="s">
        <v>1887</v>
      </c>
      <c r="B318" s="57" t="s">
        <v>168</v>
      </c>
      <c r="C318" s="57" t="s">
        <v>97</v>
      </c>
      <c r="D318" s="57" t="s">
        <v>1888</v>
      </c>
      <c r="E318" s="57" t="s">
        <v>151</v>
      </c>
      <c r="F318" s="58">
        <v>0</v>
      </c>
      <c r="G318" s="58"/>
      <c r="H318" s="58"/>
      <c r="I31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RHM5.1DCT-ND</v>
      </c>
      <c r="J31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(RHM5.1DCT-ND)</v>
      </c>
      <c r="M318" s="57" t="s">
        <v>1889</v>
      </c>
      <c r="N318" s="59">
        <v>0.1</v>
      </c>
      <c r="O318" s="61" t="str">
        <f>IF(Table1[[#This Row],[Digikey]]="","", HYPERLINK(Table1[[#This Row],[Destination - Digikey]],_xlfn.CONCAT("Link (",Table1[[#This Row],[Digikey]],")")))</f>
        <v>Link (RHM5.1DCT-ND)</v>
      </c>
      <c r="P318" s="62" t="str">
        <f>_xlfn.CONCAT("https://www.digikey.ch/products/en?keywords=",Table1[[#This Row],[Digikey]])</f>
        <v>https://www.digikey.ch/products/en?keywords=RHM5.1DCT-ND</v>
      </c>
      <c r="Q318" s="57"/>
      <c r="R318" s="59"/>
      <c r="S318" s="61" t="str">
        <f>IF(Table1[[#This Row],[Farnell]]="","", HYPERLINK(Table1[[#This Row],[Destination - Farnell]],_xlfn.CONCAT("Link (",Table1[[#This Row],[Farnell]],")")))</f>
        <v/>
      </c>
      <c r="T318" s="62" t="str">
        <f>_xlfn.CONCAT("https://ch.farnell.com/fr-CH/",Table1[[#This Row],[Farnell]])</f>
        <v>https://ch.farnell.com/fr-CH/</v>
      </c>
      <c r="U318" s="57"/>
      <c r="V318" s="59"/>
      <c r="W318" s="61" t="str">
        <f>IF(Table1[[#This Row],[Distrelec]]="","", HYPERLINK(Table1[[#This Row],[Destination - Distrelec]],_xlfn.CONCAT("Link (",Table1[[#This Row],[Distrelec]],")")))</f>
        <v/>
      </c>
      <c r="X318" s="62" t="str">
        <f>_xlfn.CONCAT("https://www.distrelec.ch/search?q=",Table1[[#This Row],[Distrelec]])</f>
        <v>https://www.distrelec.ch/search?q=</v>
      </c>
      <c r="Y318" s="57"/>
      <c r="Z318" s="59"/>
      <c r="AA318" s="61" t="str">
        <f>IF(Table1[[#This Row],[Conrad]]="","", HYPERLINK(Table1[[#This Row],[Destination - Conrad]],_xlfn.CONCAT("Link (",Table1[[#This Row],[Conrad]],")")))</f>
        <v/>
      </c>
      <c r="AB318" s="62"/>
      <c r="AC318" s="57"/>
      <c r="AD318" s="59"/>
      <c r="AE318" s="61" t="str">
        <f>IF(Table1[[#This Row],[Mouser]]="","", HYPERLINK(Table1[[#This Row],[Destination - Mouser]],_xlfn.CONCAT("Link (",Table1[[#This Row],[Mouser]],")")))</f>
        <v/>
      </c>
      <c r="AF318" s="62" t="str">
        <f>_xlfn.CONCAT("https://www.mouser.ch/ProductDetail/",Table1[[#This Row],[Mouser]])</f>
        <v>https://www.mouser.ch/ProductDetail/</v>
      </c>
      <c r="AG318" s="57"/>
      <c r="AH318" s="59"/>
      <c r="AI318" s="61" t="str">
        <f>IF(Table1[[#This Row],[Bauhaus]]="","", HYPERLINK(Table1[[#This Row],[Destination - Bauhaus]],_xlfn.CONCAT("Link (",Table1[[#This Row],[Bauhaus]],")")))</f>
        <v/>
      </c>
      <c r="AJ318" s="62" t="str">
        <f>_xlfn.CONCAT("https://www.bauhaus.ch/fr/search?query=",Table1[[#This Row],[Bauhaus]])</f>
        <v>https://www.bauhaus.ch/fr/search?query=</v>
      </c>
      <c r="AK318" s="59"/>
      <c r="AL318" s="59"/>
      <c r="AM318" s="61" t="str">
        <f>IF(Table1[[#This Row],[BricoEtLoisirs]]="","", HYPERLINK(Table1[[#This Row],[Destination - BricoEtLoisirs]],_xlfn.CONCAT("Link (",Table1[[#This Row],[BricoEtLoisirs]],")")))</f>
        <v/>
      </c>
      <c r="AN318" s="62" t="str">
        <f>_xlfn.CONCAT("https://bricoetloisirs.ch/p/",Table1[[#This Row],[BricoEtLoisirs]])</f>
        <v>https://bricoetloisirs.ch/p/</v>
      </c>
      <c r="AO318" s="57"/>
      <c r="AP318" s="59"/>
      <c r="AQ318" s="61" t="str">
        <f>IF(Table1[[#This Row],[Aliexpress]]="","", HYPERLINK(Table1[[#This Row],[Destination - Aliexpress]],_xlfn.CONCAT("Link (",Table1[[#This Row],[Aliexpress]],")")))</f>
        <v/>
      </c>
      <c r="AR318" s="62" t="str">
        <f>_xlfn.CONCAT("https://www.aliexpress.com/item/",Table1[[#This Row],[Aliexpress]],".html")</f>
        <v>https://www.aliexpress.com/item/.html</v>
      </c>
      <c r="AS318" s="57"/>
      <c r="AT318" s="59"/>
      <c r="AU318" s="61" t="str">
        <f>IF(Table1[[#This Row],[Banggood]]="","", HYPERLINK(Table1[[#This Row],[Destination - Banggood]],_xlfn.CONCAT("Link (",Table1[[#This Row],[Banggood]],")")))</f>
        <v/>
      </c>
      <c r="AV318" s="62" t="str">
        <f>_xlfn.CONCAT("https://www.banggood.com/search/",Table1[[#This Row],[Banggood]],".html")</f>
        <v>https://www.banggood.com/search/.html</v>
      </c>
      <c r="AW318" s="59" t="str">
        <f>IF(Table1[[#This Row],[Other]]&lt;&gt;"","Other","")</f>
        <v/>
      </c>
      <c r="AX318" s="57"/>
      <c r="AY318" s="59"/>
      <c r="AZ318" s="61" t="str">
        <f>IF(Table1[[#This Row],[Other]]="","",IF(Table1[[#This Row],[Destination - Other]]="","",HYPERLINK(Table1[[#This Row],[Destination - Other]],_xlfn.CONCAT("Link ("&amp;Table1[[#This Row],[Other]]&amp;")"))))</f>
        <v/>
      </c>
      <c r="BA318" s="59"/>
      <c r="BB318" s="58" t="str">
        <f>IF(AND( Table1[[#This Row],[Auto Order]]=1,Table1[[#This Row],[Obsolete]]=""),IF(Table1[[#This Row],[In stock]]&lt;Table1[[#This Row],[Min in stock]],1,""),"")</f>
        <v/>
      </c>
      <c r="BC318" s="64"/>
      <c r="BD318" s="66" t="str">
        <f>IF(Table1[[#This Row],[Obsolete]],Table1[[#This Row],[Art. Number]],"")</f>
        <v/>
      </c>
    </row>
    <row r="319" spans="1:56" x14ac:dyDescent="0.25">
      <c r="A319" s="65" t="s">
        <v>1893</v>
      </c>
      <c r="B319" s="57" t="s">
        <v>168</v>
      </c>
      <c r="C319" s="57" t="s">
        <v>97</v>
      </c>
      <c r="D319" s="57" t="s">
        <v>1894</v>
      </c>
      <c r="E319" s="57" t="s">
        <v>151</v>
      </c>
      <c r="F319" s="58">
        <v>0</v>
      </c>
      <c r="G319" s="58"/>
      <c r="H319" s="58"/>
      <c r="I31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RHM5.6DCT-ND</v>
      </c>
      <c r="J31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1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1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(RHM5.6DCT-ND)</v>
      </c>
      <c r="M319" s="57" t="s">
        <v>1895</v>
      </c>
      <c r="N319" s="59">
        <v>0.1</v>
      </c>
      <c r="O319" s="61" t="str">
        <f>IF(Table1[[#This Row],[Digikey]]="","", HYPERLINK(Table1[[#This Row],[Destination - Digikey]],_xlfn.CONCAT("Link (",Table1[[#This Row],[Digikey]],")")))</f>
        <v>Link (RHM5.6DCT-ND)</v>
      </c>
      <c r="P319" s="62" t="str">
        <f>_xlfn.CONCAT("https://www.digikey.ch/products/en?keywords=",Table1[[#This Row],[Digikey]])</f>
        <v>https://www.digikey.ch/products/en?keywords=RHM5.6DCT-ND</v>
      </c>
      <c r="Q319" s="57"/>
      <c r="R319" s="59"/>
      <c r="S319" s="61" t="str">
        <f>IF(Table1[[#This Row],[Farnell]]="","", HYPERLINK(Table1[[#This Row],[Destination - Farnell]],_xlfn.CONCAT("Link (",Table1[[#This Row],[Farnell]],")")))</f>
        <v/>
      </c>
      <c r="T319" s="62" t="str">
        <f>_xlfn.CONCAT("https://ch.farnell.com/fr-CH/",Table1[[#This Row],[Farnell]])</f>
        <v>https://ch.farnell.com/fr-CH/</v>
      </c>
      <c r="U319" s="57"/>
      <c r="V319" s="59"/>
      <c r="W319" s="61" t="str">
        <f>IF(Table1[[#This Row],[Distrelec]]="","", HYPERLINK(Table1[[#This Row],[Destination - Distrelec]],_xlfn.CONCAT("Link (",Table1[[#This Row],[Distrelec]],")")))</f>
        <v/>
      </c>
      <c r="X319" s="62" t="str">
        <f>_xlfn.CONCAT("https://www.distrelec.ch/search?q=",Table1[[#This Row],[Distrelec]])</f>
        <v>https://www.distrelec.ch/search?q=</v>
      </c>
      <c r="Y319" s="57"/>
      <c r="Z319" s="59"/>
      <c r="AA319" s="61" t="str">
        <f>IF(Table1[[#This Row],[Conrad]]="","", HYPERLINK(Table1[[#This Row],[Destination - Conrad]],_xlfn.CONCAT("Link (",Table1[[#This Row],[Conrad]],")")))</f>
        <v/>
      </c>
      <c r="AB319" s="62"/>
      <c r="AC319" s="57"/>
      <c r="AD319" s="59"/>
      <c r="AE319" s="61" t="str">
        <f>IF(Table1[[#This Row],[Mouser]]="","", HYPERLINK(Table1[[#This Row],[Destination - Mouser]],_xlfn.CONCAT("Link (",Table1[[#This Row],[Mouser]],")")))</f>
        <v/>
      </c>
      <c r="AF319" s="62" t="str">
        <f>_xlfn.CONCAT("https://www.mouser.ch/ProductDetail/",Table1[[#This Row],[Mouser]])</f>
        <v>https://www.mouser.ch/ProductDetail/</v>
      </c>
      <c r="AG319" s="57"/>
      <c r="AH319" s="59"/>
      <c r="AI319" s="61" t="str">
        <f>IF(Table1[[#This Row],[Bauhaus]]="","", HYPERLINK(Table1[[#This Row],[Destination - Bauhaus]],_xlfn.CONCAT("Link (",Table1[[#This Row],[Bauhaus]],")")))</f>
        <v/>
      </c>
      <c r="AJ319" s="62" t="str">
        <f>_xlfn.CONCAT("https://www.bauhaus.ch/fr/search?query=",Table1[[#This Row],[Bauhaus]])</f>
        <v>https://www.bauhaus.ch/fr/search?query=</v>
      </c>
      <c r="AK319" s="59"/>
      <c r="AL319" s="59"/>
      <c r="AM319" s="61" t="str">
        <f>IF(Table1[[#This Row],[BricoEtLoisirs]]="","", HYPERLINK(Table1[[#This Row],[Destination - BricoEtLoisirs]],_xlfn.CONCAT("Link (",Table1[[#This Row],[BricoEtLoisirs]],")")))</f>
        <v/>
      </c>
      <c r="AN319" s="62" t="str">
        <f>_xlfn.CONCAT("https://bricoetloisirs.ch/p/",Table1[[#This Row],[BricoEtLoisirs]])</f>
        <v>https://bricoetloisirs.ch/p/</v>
      </c>
      <c r="AO319" s="57"/>
      <c r="AP319" s="59"/>
      <c r="AQ319" s="61" t="str">
        <f>IF(Table1[[#This Row],[Aliexpress]]="","", HYPERLINK(Table1[[#This Row],[Destination - Aliexpress]],_xlfn.CONCAT("Link (",Table1[[#This Row],[Aliexpress]],")")))</f>
        <v/>
      </c>
      <c r="AR319" s="62" t="str">
        <f>_xlfn.CONCAT("https://www.aliexpress.com/item/",Table1[[#This Row],[Aliexpress]],".html")</f>
        <v>https://www.aliexpress.com/item/.html</v>
      </c>
      <c r="AS319" s="57"/>
      <c r="AT319" s="59"/>
      <c r="AU319" s="61" t="str">
        <f>IF(Table1[[#This Row],[Banggood]]="","", HYPERLINK(Table1[[#This Row],[Destination - Banggood]],_xlfn.CONCAT("Link (",Table1[[#This Row],[Banggood]],")")))</f>
        <v/>
      </c>
      <c r="AV319" s="62" t="str">
        <f>_xlfn.CONCAT("https://www.banggood.com/search/",Table1[[#This Row],[Banggood]],".html")</f>
        <v>https://www.banggood.com/search/.html</v>
      </c>
      <c r="AW319" s="59" t="str">
        <f>IF(Table1[[#This Row],[Other]]&lt;&gt;"","Other","")</f>
        <v/>
      </c>
      <c r="AX319" s="57"/>
      <c r="AY319" s="59"/>
      <c r="AZ319" s="61" t="str">
        <f>IF(Table1[[#This Row],[Other]]="","",IF(Table1[[#This Row],[Destination - Other]]="","",HYPERLINK(Table1[[#This Row],[Destination - Other]],_xlfn.CONCAT("Link ("&amp;Table1[[#This Row],[Other]]&amp;")"))))</f>
        <v/>
      </c>
      <c r="BA319" s="59"/>
      <c r="BB319" s="58" t="str">
        <f>IF(AND( Table1[[#This Row],[Auto Order]]=1,Table1[[#This Row],[Obsolete]]=""),IF(Table1[[#This Row],[In stock]]&lt;Table1[[#This Row],[Min in stock]],1,""),"")</f>
        <v/>
      </c>
      <c r="BC319" s="64"/>
      <c r="BD319" s="66" t="str">
        <f>IF(Table1[[#This Row],[Obsolete]],Table1[[#This Row],[Art. Number]],"")</f>
        <v/>
      </c>
    </row>
    <row r="320" spans="1:56" x14ac:dyDescent="0.25">
      <c r="A320" s="65" t="s">
        <v>1899</v>
      </c>
      <c r="B320" s="57" t="s">
        <v>168</v>
      </c>
      <c r="C320" s="57" t="s">
        <v>97</v>
      </c>
      <c r="D320" s="57" t="s">
        <v>1900</v>
      </c>
      <c r="E320" s="57" t="s">
        <v>151</v>
      </c>
      <c r="F320" s="58">
        <v>0</v>
      </c>
      <c r="G320" s="58"/>
      <c r="H320" s="58"/>
      <c r="I32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RHM62DCT-ND</v>
      </c>
      <c r="J32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(RHM62DCT-ND)</v>
      </c>
      <c r="M320" s="57" t="s">
        <v>1901</v>
      </c>
      <c r="N320" s="59">
        <v>0.1</v>
      </c>
      <c r="O320" s="61" t="str">
        <f>IF(Table1[[#This Row],[Digikey]]="","", HYPERLINK(Table1[[#This Row],[Destination - Digikey]],_xlfn.CONCAT("Link (",Table1[[#This Row],[Digikey]],")")))</f>
        <v>Link (RHM62DCT-ND)</v>
      </c>
      <c r="P320" s="62" t="str">
        <f>_xlfn.CONCAT("https://www.digikey.ch/products/en?keywords=",Table1[[#This Row],[Digikey]])</f>
        <v>https://www.digikey.ch/products/en?keywords=RHM62DCT-ND</v>
      </c>
      <c r="Q320" s="57"/>
      <c r="R320" s="59"/>
      <c r="S320" s="61" t="str">
        <f>IF(Table1[[#This Row],[Farnell]]="","", HYPERLINK(Table1[[#This Row],[Destination - Farnell]],_xlfn.CONCAT("Link (",Table1[[#This Row],[Farnell]],")")))</f>
        <v/>
      </c>
      <c r="T320" s="62" t="str">
        <f>_xlfn.CONCAT("https://ch.farnell.com/fr-CH/",Table1[[#This Row],[Farnell]])</f>
        <v>https://ch.farnell.com/fr-CH/</v>
      </c>
      <c r="U320" s="57"/>
      <c r="V320" s="59"/>
      <c r="W320" s="61" t="str">
        <f>IF(Table1[[#This Row],[Distrelec]]="","", HYPERLINK(Table1[[#This Row],[Destination - Distrelec]],_xlfn.CONCAT("Link (",Table1[[#This Row],[Distrelec]],")")))</f>
        <v/>
      </c>
      <c r="X320" s="62" t="str">
        <f>_xlfn.CONCAT("https://www.distrelec.ch/search?q=",Table1[[#This Row],[Distrelec]])</f>
        <v>https://www.distrelec.ch/search?q=</v>
      </c>
      <c r="Y320" s="57"/>
      <c r="Z320" s="59"/>
      <c r="AA320" s="61" t="str">
        <f>IF(Table1[[#This Row],[Conrad]]="","", HYPERLINK(Table1[[#This Row],[Destination - Conrad]],_xlfn.CONCAT("Link (",Table1[[#This Row],[Conrad]],")")))</f>
        <v/>
      </c>
      <c r="AB320" s="62"/>
      <c r="AC320" s="57"/>
      <c r="AD320" s="59"/>
      <c r="AE320" s="61" t="str">
        <f>IF(Table1[[#This Row],[Mouser]]="","", HYPERLINK(Table1[[#This Row],[Destination - Mouser]],_xlfn.CONCAT("Link (",Table1[[#This Row],[Mouser]],")")))</f>
        <v/>
      </c>
      <c r="AF320" s="62" t="str">
        <f>_xlfn.CONCAT("https://www.mouser.ch/ProductDetail/",Table1[[#This Row],[Mouser]])</f>
        <v>https://www.mouser.ch/ProductDetail/</v>
      </c>
      <c r="AG320" s="57"/>
      <c r="AH320" s="59"/>
      <c r="AI320" s="61" t="str">
        <f>IF(Table1[[#This Row],[Bauhaus]]="","", HYPERLINK(Table1[[#This Row],[Destination - Bauhaus]],_xlfn.CONCAT("Link (",Table1[[#This Row],[Bauhaus]],")")))</f>
        <v/>
      </c>
      <c r="AJ320" s="62" t="str">
        <f>_xlfn.CONCAT("https://www.bauhaus.ch/fr/search?query=",Table1[[#This Row],[Bauhaus]])</f>
        <v>https://www.bauhaus.ch/fr/search?query=</v>
      </c>
      <c r="AK320" s="59"/>
      <c r="AL320" s="59"/>
      <c r="AM320" s="61" t="str">
        <f>IF(Table1[[#This Row],[BricoEtLoisirs]]="","", HYPERLINK(Table1[[#This Row],[Destination - BricoEtLoisirs]],_xlfn.CONCAT("Link (",Table1[[#This Row],[BricoEtLoisirs]],")")))</f>
        <v/>
      </c>
      <c r="AN320" s="62" t="str">
        <f>_xlfn.CONCAT("https://bricoetloisirs.ch/p/",Table1[[#This Row],[BricoEtLoisirs]])</f>
        <v>https://bricoetloisirs.ch/p/</v>
      </c>
      <c r="AO320" s="57"/>
      <c r="AP320" s="59"/>
      <c r="AQ320" s="61" t="str">
        <f>IF(Table1[[#This Row],[Aliexpress]]="","", HYPERLINK(Table1[[#This Row],[Destination - Aliexpress]],_xlfn.CONCAT("Link (",Table1[[#This Row],[Aliexpress]],")")))</f>
        <v/>
      </c>
      <c r="AR320" s="62" t="str">
        <f>_xlfn.CONCAT("https://www.aliexpress.com/item/",Table1[[#This Row],[Aliexpress]],".html")</f>
        <v>https://www.aliexpress.com/item/.html</v>
      </c>
      <c r="AS320" s="57"/>
      <c r="AT320" s="59"/>
      <c r="AU320" s="61" t="str">
        <f>IF(Table1[[#This Row],[Banggood]]="","", HYPERLINK(Table1[[#This Row],[Destination - Banggood]],_xlfn.CONCAT("Link (",Table1[[#This Row],[Banggood]],")")))</f>
        <v/>
      </c>
      <c r="AV320" s="62" t="str">
        <f>_xlfn.CONCAT("https://www.banggood.com/search/",Table1[[#This Row],[Banggood]],".html")</f>
        <v>https://www.banggood.com/search/.html</v>
      </c>
      <c r="AW320" s="59" t="str">
        <f>IF(Table1[[#This Row],[Other]]&lt;&gt;"","Other","")</f>
        <v/>
      </c>
      <c r="AX320" s="57"/>
      <c r="AY320" s="59"/>
      <c r="AZ320" s="61" t="str">
        <f>IF(Table1[[#This Row],[Other]]="","",IF(Table1[[#This Row],[Destination - Other]]="","",HYPERLINK(Table1[[#This Row],[Destination - Other]],_xlfn.CONCAT("Link ("&amp;Table1[[#This Row],[Other]]&amp;")"))))</f>
        <v/>
      </c>
      <c r="BA320" s="59"/>
      <c r="BB320" s="58" t="str">
        <f>IF(AND( Table1[[#This Row],[Auto Order]]=1,Table1[[#This Row],[Obsolete]]=""),IF(Table1[[#This Row],[In stock]]&lt;Table1[[#This Row],[Min in stock]],1,""),"")</f>
        <v/>
      </c>
      <c r="BC320" s="64"/>
      <c r="BD320" s="66" t="str">
        <f>IF(Table1[[#This Row],[Obsolete]],Table1[[#This Row],[Art. Number]],"")</f>
        <v/>
      </c>
    </row>
    <row r="321" spans="1:56" x14ac:dyDescent="0.25">
      <c r="A321" s="65" t="s">
        <v>1905</v>
      </c>
      <c r="B321" s="57" t="s">
        <v>168</v>
      </c>
      <c r="C321" s="57" t="s">
        <v>97</v>
      </c>
      <c r="D321" s="57" t="s">
        <v>1906</v>
      </c>
      <c r="E321" s="57" t="s">
        <v>151</v>
      </c>
      <c r="F321" s="58">
        <v>0</v>
      </c>
      <c r="G321" s="58"/>
      <c r="H321" s="58"/>
      <c r="I32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RHM620DCT-ND</v>
      </c>
      <c r="J32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(RHM620DCT-ND)</v>
      </c>
      <c r="M321" s="57" t="s">
        <v>1907</v>
      </c>
      <c r="N321" s="59">
        <v>0.1</v>
      </c>
      <c r="O321" s="61" t="str">
        <f>IF(Table1[[#This Row],[Digikey]]="","", HYPERLINK(Table1[[#This Row],[Destination - Digikey]],_xlfn.CONCAT("Link (",Table1[[#This Row],[Digikey]],")")))</f>
        <v>Link (RHM620DCT-ND)</v>
      </c>
      <c r="P321" s="62" t="str">
        <f>_xlfn.CONCAT("https://www.digikey.ch/products/en?keywords=",Table1[[#This Row],[Digikey]])</f>
        <v>https://www.digikey.ch/products/en?keywords=RHM620DCT-ND</v>
      </c>
      <c r="Q321" s="57"/>
      <c r="R321" s="59"/>
      <c r="S321" s="61" t="str">
        <f>IF(Table1[[#This Row],[Farnell]]="","", HYPERLINK(Table1[[#This Row],[Destination - Farnell]],_xlfn.CONCAT("Link (",Table1[[#This Row],[Farnell]],")")))</f>
        <v/>
      </c>
      <c r="T321" s="62" t="str">
        <f>_xlfn.CONCAT("https://ch.farnell.com/fr-CH/",Table1[[#This Row],[Farnell]])</f>
        <v>https://ch.farnell.com/fr-CH/</v>
      </c>
      <c r="U321" s="57"/>
      <c r="V321" s="59"/>
      <c r="W321" s="61" t="str">
        <f>IF(Table1[[#This Row],[Distrelec]]="","", HYPERLINK(Table1[[#This Row],[Destination - Distrelec]],_xlfn.CONCAT("Link (",Table1[[#This Row],[Distrelec]],")")))</f>
        <v/>
      </c>
      <c r="X321" s="62" t="str">
        <f>_xlfn.CONCAT("https://www.distrelec.ch/search?q=",Table1[[#This Row],[Distrelec]])</f>
        <v>https://www.distrelec.ch/search?q=</v>
      </c>
      <c r="Y321" s="57"/>
      <c r="Z321" s="59"/>
      <c r="AA321" s="61" t="str">
        <f>IF(Table1[[#This Row],[Conrad]]="","", HYPERLINK(Table1[[#This Row],[Destination - Conrad]],_xlfn.CONCAT("Link (",Table1[[#This Row],[Conrad]],")")))</f>
        <v/>
      </c>
      <c r="AB321" s="62"/>
      <c r="AC321" s="57"/>
      <c r="AD321" s="59"/>
      <c r="AE321" s="61" t="str">
        <f>IF(Table1[[#This Row],[Mouser]]="","", HYPERLINK(Table1[[#This Row],[Destination - Mouser]],_xlfn.CONCAT("Link (",Table1[[#This Row],[Mouser]],")")))</f>
        <v/>
      </c>
      <c r="AF321" s="62" t="str">
        <f>_xlfn.CONCAT("https://www.mouser.ch/ProductDetail/",Table1[[#This Row],[Mouser]])</f>
        <v>https://www.mouser.ch/ProductDetail/</v>
      </c>
      <c r="AG321" s="57"/>
      <c r="AH321" s="59"/>
      <c r="AI321" s="61" t="str">
        <f>IF(Table1[[#This Row],[Bauhaus]]="","", HYPERLINK(Table1[[#This Row],[Destination - Bauhaus]],_xlfn.CONCAT("Link (",Table1[[#This Row],[Bauhaus]],")")))</f>
        <v/>
      </c>
      <c r="AJ321" s="62" t="str">
        <f>_xlfn.CONCAT("https://www.bauhaus.ch/fr/search?query=",Table1[[#This Row],[Bauhaus]])</f>
        <v>https://www.bauhaus.ch/fr/search?query=</v>
      </c>
      <c r="AK321" s="59"/>
      <c r="AL321" s="59"/>
      <c r="AM321" s="61" t="str">
        <f>IF(Table1[[#This Row],[BricoEtLoisirs]]="","", HYPERLINK(Table1[[#This Row],[Destination - BricoEtLoisirs]],_xlfn.CONCAT("Link (",Table1[[#This Row],[BricoEtLoisirs]],")")))</f>
        <v/>
      </c>
      <c r="AN321" s="62" t="str">
        <f>_xlfn.CONCAT("https://bricoetloisirs.ch/p/",Table1[[#This Row],[BricoEtLoisirs]])</f>
        <v>https://bricoetloisirs.ch/p/</v>
      </c>
      <c r="AO321" s="57"/>
      <c r="AP321" s="59"/>
      <c r="AQ321" s="61" t="str">
        <f>IF(Table1[[#This Row],[Aliexpress]]="","", HYPERLINK(Table1[[#This Row],[Destination - Aliexpress]],_xlfn.CONCAT("Link (",Table1[[#This Row],[Aliexpress]],")")))</f>
        <v/>
      </c>
      <c r="AR321" s="62" t="str">
        <f>_xlfn.CONCAT("https://www.aliexpress.com/item/",Table1[[#This Row],[Aliexpress]],".html")</f>
        <v>https://www.aliexpress.com/item/.html</v>
      </c>
      <c r="AS321" s="57"/>
      <c r="AT321" s="59"/>
      <c r="AU321" s="61" t="str">
        <f>IF(Table1[[#This Row],[Banggood]]="","", HYPERLINK(Table1[[#This Row],[Destination - Banggood]],_xlfn.CONCAT("Link (",Table1[[#This Row],[Banggood]],")")))</f>
        <v/>
      </c>
      <c r="AV321" s="62" t="str">
        <f>_xlfn.CONCAT("https://www.banggood.com/search/",Table1[[#This Row],[Banggood]],".html")</f>
        <v>https://www.banggood.com/search/.html</v>
      </c>
      <c r="AW321" s="59" t="str">
        <f>IF(Table1[[#This Row],[Other]]&lt;&gt;"","Other","")</f>
        <v/>
      </c>
      <c r="AX321" s="57"/>
      <c r="AY321" s="59"/>
      <c r="AZ321" s="61" t="str">
        <f>IF(Table1[[#This Row],[Other]]="","",IF(Table1[[#This Row],[Destination - Other]]="","",HYPERLINK(Table1[[#This Row],[Destination - Other]],_xlfn.CONCAT("Link ("&amp;Table1[[#This Row],[Other]]&amp;")"))))</f>
        <v/>
      </c>
      <c r="BA321" s="59"/>
      <c r="BB321" s="58" t="str">
        <f>IF(AND( Table1[[#This Row],[Auto Order]]=1,Table1[[#This Row],[Obsolete]]=""),IF(Table1[[#This Row],[In stock]]&lt;Table1[[#This Row],[Min in stock]],1,""),"")</f>
        <v/>
      </c>
      <c r="BC321" s="64"/>
      <c r="BD321" s="66" t="str">
        <f>IF(Table1[[#This Row],[Obsolete]],Table1[[#This Row],[Art. Number]],"")</f>
        <v/>
      </c>
    </row>
    <row r="322" spans="1:56" x14ac:dyDescent="0.25">
      <c r="A322" s="65" t="s">
        <v>1911</v>
      </c>
      <c r="B322" s="57" t="s">
        <v>168</v>
      </c>
      <c r="C322" s="57" t="s">
        <v>97</v>
      </c>
      <c r="D322" s="57" t="s">
        <v>1912</v>
      </c>
      <c r="E322" s="57" t="s">
        <v>151</v>
      </c>
      <c r="F322" s="58">
        <v>0</v>
      </c>
      <c r="G322" s="58"/>
      <c r="H322" s="58"/>
      <c r="I32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RHM6.2KDCT-ND</v>
      </c>
      <c r="J32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(RHM6.2KDCT-ND)</v>
      </c>
      <c r="M322" s="57" t="s">
        <v>1913</v>
      </c>
      <c r="N322" s="59">
        <v>0.1</v>
      </c>
      <c r="O322" s="61" t="str">
        <f>IF(Table1[[#This Row],[Digikey]]="","", HYPERLINK(Table1[[#This Row],[Destination - Digikey]],_xlfn.CONCAT("Link (",Table1[[#This Row],[Digikey]],")")))</f>
        <v>Link (RHM6.2KDCT-ND)</v>
      </c>
      <c r="P322" s="62" t="str">
        <f>_xlfn.CONCAT("https://www.digikey.ch/products/en?keywords=",Table1[[#This Row],[Digikey]])</f>
        <v>https://www.digikey.ch/products/en?keywords=RHM6.2KDCT-ND</v>
      </c>
      <c r="Q322" s="57"/>
      <c r="R322" s="59"/>
      <c r="S322" s="61" t="str">
        <f>IF(Table1[[#This Row],[Farnell]]="","", HYPERLINK(Table1[[#This Row],[Destination - Farnell]],_xlfn.CONCAT("Link (",Table1[[#This Row],[Farnell]],")")))</f>
        <v/>
      </c>
      <c r="T322" s="62" t="str">
        <f>_xlfn.CONCAT("https://ch.farnell.com/fr-CH/",Table1[[#This Row],[Farnell]])</f>
        <v>https://ch.farnell.com/fr-CH/</v>
      </c>
      <c r="U322" s="57"/>
      <c r="V322" s="59"/>
      <c r="W322" s="61" t="str">
        <f>IF(Table1[[#This Row],[Distrelec]]="","", HYPERLINK(Table1[[#This Row],[Destination - Distrelec]],_xlfn.CONCAT("Link (",Table1[[#This Row],[Distrelec]],")")))</f>
        <v/>
      </c>
      <c r="X322" s="62" t="str">
        <f>_xlfn.CONCAT("https://www.distrelec.ch/search?q=",Table1[[#This Row],[Distrelec]])</f>
        <v>https://www.distrelec.ch/search?q=</v>
      </c>
      <c r="Y322" s="57"/>
      <c r="Z322" s="59"/>
      <c r="AA322" s="61" t="str">
        <f>IF(Table1[[#This Row],[Conrad]]="","", HYPERLINK(Table1[[#This Row],[Destination - Conrad]],_xlfn.CONCAT("Link (",Table1[[#This Row],[Conrad]],")")))</f>
        <v/>
      </c>
      <c r="AB322" s="62"/>
      <c r="AC322" s="57"/>
      <c r="AD322" s="59"/>
      <c r="AE322" s="61" t="str">
        <f>IF(Table1[[#This Row],[Mouser]]="","", HYPERLINK(Table1[[#This Row],[Destination - Mouser]],_xlfn.CONCAT("Link (",Table1[[#This Row],[Mouser]],")")))</f>
        <v/>
      </c>
      <c r="AF322" s="62" t="str">
        <f>_xlfn.CONCAT("https://www.mouser.ch/ProductDetail/",Table1[[#This Row],[Mouser]])</f>
        <v>https://www.mouser.ch/ProductDetail/</v>
      </c>
      <c r="AG322" s="57"/>
      <c r="AH322" s="59"/>
      <c r="AI322" s="61" t="str">
        <f>IF(Table1[[#This Row],[Bauhaus]]="","", HYPERLINK(Table1[[#This Row],[Destination - Bauhaus]],_xlfn.CONCAT("Link (",Table1[[#This Row],[Bauhaus]],")")))</f>
        <v/>
      </c>
      <c r="AJ322" s="62" t="str">
        <f>_xlfn.CONCAT("https://www.bauhaus.ch/fr/search?query=",Table1[[#This Row],[Bauhaus]])</f>
        <v>https://www.bauhaus.ch/fr/search?query=</v>
      </c>
      <c r="AK322" s="59"/>
      <c r="AL322" s="59"/>
      <c r="AM322" s="61" t="str">
        <f>IF(Table1[[#This Row],[BricoEtLoisirs]]="","", HYPERLINK(Table1[[#This Row],[Destination - BricoEtLoisirs]],_xlfn.CONCAT("Link (",Table1[[#This Row],[BricoEtLoisirs]],")")))</f>
        <v/>
      </c>
      <c r="AN322" s="62" t="str">
        <f>_xlfn.CONCAT("https://bricoetloisirs.ch/p/",Table1[[#This Row],[BricoEtLoisirs]])</f>
        <v>https://bricoetloisirs.ch/p/</v>
      </c>
      <c r="AO322" s="57"/>
      <c r="AP322" s="59"/>
      <c r="AQ322" s="61" t="str">
        <f>IF(Table1[[#This Row],[Aliexpress]]="","", HYPERLINK(Table1[[#This Row],[Destination - Aliexpress]],_xlfn.CONCAT("Link (",Table1[[#This Row],[Aliexpress]],")")))</f>
        <v/>
      </c>
      <c r="AR322" s="62" t="str">
        <f>_xlfn.CONCAT("https://www.aliexpress.com/item/",Table1[[#This Row],[Aliexpress]],".html")</f>
        <v>https://www.aliexpress.com/item/.html</v>
      </c>
      <c r="AS322" s="57"/>
      <c r="AT322" s="59"/>
      <c r="AU322" s="61" t="str">
        <f>IF(Table1[[#This Row],[Banggood]]="","", HYPERLINK(Table1[[#This Row],[Destination - Banggood]],_xlfn.CONCAT("Link (",Table1[[#This Row],[Banggood]],")")))</f>
        <v/>
      </c>
      <c r="AV322" s="62" t="str">
        <f>_xlfn.CONCAT("https://www.banggood.com/search/",Table1[[#This Row],[Banggood]],".html")</f>
        <v>https://www.banggood.com/search/.html</v>
      </c>
      <c r="AW322" s="59" t="str">
        <f>IF(Table1[[#This Row],[Other]]&lt;&gt;"","Other","")</f>
        <v/>
      </c>
      <c r="AX322" s="57"/>
      <c r="AY322" s="59"/>
      <c r="AZ322" s="61" t="str">
        <f>IF(Table1[[#This Row],[Other]]="","",IF(Table1[[#This Row],[Destination - Other]]="","",HYPERLINK(Table1[[#This Row],[Destination - Other]],_xlfn.CONCAT("Link ("&amp;Table1[[#This Row],[Other]]&amp;")"))))</f>
        <v/>
      </c>
      <c r="BA322" s="59"/>
      <c r="BB322" s="58" t="str">
        <f>IF(AND( Table1[[#This Row],[Auto Order]]=1,Table1[[#This Row],[Obsolete]]=""),IF(Table1[[#This Row],[In stock]]&lt;Table1[[#This Row],[Min in stock]],1,""),"")</f>
        <v/>
      </c>
      <c r="BC322" s="64"/>
      <c r="BD322" s="66" t="str">
        <f>IF(Table1[[#This Row],[Obsolete]],Table1[[#This Row],[Art. Number]],"")</f>
        <v/>
      </c>
    </row>
    <row r="323" spans="1:56" x14ac:dyDescent="0.25">
      <c r="A323" s="65" t="s">
        <v>1917</v>
      </c>
      <c r="B323" s="57" t="s">
        <v>168</v>
      </c>
      <c r="C323" s="57" t="s">
        <v>97</v>
      </c>
      <c r="D323" s="57" t="s">
        <v>1918</v>
      </c>
      <c r="E323" s="57" t="s">
        <v>151</v>
      </c>
      <c r="F323" s="58">
        <v>0</v>
      </c>
      <c r="G323" s="58"/>
      <c r="H323" s="58"/>
      <c r="I32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RHM62KDCT-ND</v>
      </c>
      <c r="J32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(RHM62KDCT-ND)</v>
      </c>
      <c r="M323" s="57" t="s">
        <v>1919</v>
      </c>
      <c r="N323" s="59">
        <v>0.1</v>
      </c>
      <c r="O323" s="61" t="str">
        <f>IF(Table1[[#This Row],[Digikey]]="","", HYPERLINK(Table1[[#This Row],[Destination - Digikey]],_xlfn.CONCAT("Link (",Table1[[#This Row],[Digikey]],")")))</f>
        <v>Link (RHM62KDCT-ND)</v>
      </c>
      <c r="P323" s="62" t="str">
        <f>_xlfn.CONCAT("https://www.digikey.ch/products/en?keywords=",Table1[[#This Row],[Digikey]])</f>
        <v>https://www.digikey.ch/products/en?keywords=RHM62KDCT-ND</v>
      </c>
      <c r="Q323" s="57"/>
      <c r="R323" s="59"/>
      <c r="S323" s="61" t="str">
        <f>IF(Table1[[#This Row],[Farnell]]="","", HYPERLINK(Table1[[#This Row],[Destination - Farnell]],_xlfn.CONCAT("Link (",Table1[[#This Row],[Farnell]],")")))</f>
        <v/>
      </c>
      <c r="T323" s="62" t="str">
        <f>_xlfn.CONCAT("https://ch.farnell.com/fr-CH/",Table1[[#This Row],[Farnell]])</f>
        <v>https://ch.farnell.com/fr-CH/</v>
      </c>
      <c r="U323" s="57"/>
      <c r="V323" s="59"/>
      <c r="W323" s="61" t="str">
        <f>IF(Table1[[#This Row],[Distrelec]]="","", HYPERLINK(Table1[[#This Row],[Destination - Distrelec]],_xlfn.CONCAT("Link (",Table1[[#This Row],[Distrelec]],")")))</f>
        <v/>
      </c>
      <c r="X323" s="62" t="str">
        <f>_xlfn.CONCAT("https://www.distrelec.ch/search?q=",Table1[[#This Row],[Distrelec]])</f>
        <v>https://www.distrelec.ch/search?q=</v>
      </c>
      <c r="Y323" s="57"/>
      <c r="Z323" s="59"/>
      <c r="AA323" s="61" t="str">
        <f>IF(Table1[[#This Row],[Conrad]]="","", HYPERLINK(Table1[[#This Row],[Destination - Conrad]],_xlfn.CONCAT("Link (",Table1[[#This Row],[Conrad]],")")))</f>
        <v/>
      </c>
      <c r="AB323" s="62"/>
      <c r="AC323" s="57"/>
      <c r="AD323" s="59"/>
      <c r="AE323" s="61" t="str">
        <f>IF(Table1[[#This Row],[Mouser]]="","", HYPERLINK(Table1[[#This Row],[Destination - Mouser]],_xlfn.CONCAT("Link (",Table1[[#This Row],[Mouser]],")")))</f>
        <v/>
      </c>
      <c r="AF323" s="62" t="str">
        <f>_xlfn.CONCAT("https://www.mouser.ch/ProductDetail/",Table1[[#This Row],[Mouser]])</f>
        <v>https://www.mouser.ch/ProductDetail/</v>
      </c>
      <c r="AG323" s="57"/>
      <c r="AH323" s="59"/>
      <c r="AI323" s="61" t="str">
        <f>IF(Table1[[#This Row],[Bauhaus]]="","", HYPERLINK(Table1[[#This Row],[Destination - Bauhaus]],_xlfn.CONCAT("Link (",Table1[[#This Row],[Bauhaus]],")")))</f>
        <v/>
      </c>
      <c r="AJ323" s="62" t="str">
        <f>_xlfn.CONCAT("https://www.bauhaus.ch/fr/search?query=",Table1[[#This Row],[Bauhaus]])</f>
        <v>https://www.bauhaus.ch/fr/search?query=</v>
      </c>
      <c r="AK323" s="59"/>
      <c r="AL323" s="59"/>
      <c r="AM323" s="61" t="str">
        <f>IF(Table1[[#This Row],[BricoEtLoisirs]]="","", HYPERLINK(Table1[[#This Row],[Destination - BricoEtLoisirs]],_xlfn.CONCAT("Link (",Table1[[#This Row],[BricoEtLoisirs]],")")))</f>
        <v/>
      </c>
      <c r="AN323" s="62" t="str">
        <f>_xlfn.CONCAT("https://bricoetloisirs.ch/p/",Table1[[#This Row],[BricoEtLoisirs]])</f>
        <v>https://bricoetloisirs.ch/p/</v>
      </c>
      <c r="AO323" s="57"/>
      <c r="AP323" s="59"/>
      <c r="AQ323" s="61" t="str">
        <f>IF(Table1[[#This Row],[Aliexpress]]="","", HYPERLINK(Table1[[#This Row],[Destination - Aliexpress]],_xlfn.CONCAT("Link (",Table1[[#This Row],[Aliexpress]],")")))</f>
        <v/>
      </c>
      <c r="AR323" s="62" t="str">
        <f>_xlfn.CONCAT("https://www.aliexpress.com/item/",Table1[[#This Row],[Aliexpress]],".html")</f>
        <v>https://www.aliexpress.com/item/.html</v>
      </c>
      <c r="AS323" s="57"/>
      <c r="AT323" s="59"/>
      <c r="AU323" s="61" t="str">
        <f>IF(Table1[[#This Row],[Banggood]]="","", HYPERLINK(Table1[[#This Row],[Destination - Banggood]],_xlfn.CONCAT("Link (",Table1[[#This Row],[Banggood]],")")))</f>
        <v/>
      </c>
      <c r="AV323" s="62" t="str">
        <f>_xlfn.CONCAT("https://www.banggood.com/search/",Table1[[#This Row],[Banggood]],".html")</f>
        <v>https://www.banggood.com/search/.html</v>
      </c>
      <c r="AW323" s="59" t="str">
        <f>IF(Table1[[#This Row],[Other]]&lt;&gt;"","Other","")</f>
        <v/>
      </c>
      <c r="AX323" s="57"/>
      <c r="AY323" s="59"/>
      <c r="AZ323" s="61" t="str">
        <f>IF(Table1[[#This Row],[Other]]="","",IF(Table1[[#This Row],[Destination - Other]]="","",HYPERLINK(Table1[[#This Row],[Destination - Other]],_xlfn.CONCAT("Link ("&amp;Table1[[#This Row],[Other]]&amp;")"))))</f>
        <v/>
      </c>
      <c r="BA323" s="59"/>
      <c r="BB323" s="58" t="str">
        <f>IF(AND( Table1[[#This Row],[Auto Order]]=1,Table1[[#This Row],[Obsolete]]=""),IF(Table1[[#This Row],[In stock]]&lt;Table1[[#This Row],[Min in stock]],1,""),"")</f>
        <v/>
      </c>
      <c r="BC323" s="64"/>
      <c r="BD323" s="66" t="str">
        <f>IF(Table1[[#This Row],[Obsolete]],Table1[[#This Row],[Art. Number]],"")</f>
        <v/>
      </c>
    </row>
    <row r="324" spans="1:56" x14ac:dyDescent="0.25">
      <c r="A324" s="65" t="s">
        <v>1923</v>
      </c>
      <c r="B324" s="57" t="s">
        <v>168</v>
      </c>
      <c r="C324" s="57" t="s">
        <v>97</v>
      </c>
      <c r="D324" s="57" t="s">
        <v>1924</v>
      </c>
      <c r="E324" s="57" t="s">
        <v>151</v>
      </c>
      <c r="F324" s="58">
        <v>0</v>
      </c>
      <c r="G324" s="58"/>
      <c r="H324" s="58"/>
      <c r="I32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RHM68DCT-ND</v>
      </c>
      <c r="J32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(RHM68DCT-ND)</v>
      </c>
      <c r="M324" s="57" t="s">
        <v>1925</v>
      </c>
      <c r="N324" s="59">
        <v>0.1</v>
      </c>
      <c r="O324" s="61" t="str">
        <f>IF(Table1[[#This Row],[Digikey]]="","", HYPERLINK(Table1[[#This Row],[Destination - Digikey]],_xlfn.CONCAT("Link (",Table1[[#This Row],[Digikey]],")")))</f>
        <v>Link (RHM68DCT-ND)</v>
      </c>
      <c r="P324" s="62" t="str">
        <f>_xlfn.CONCAT("https://www.digikey.ch/products/en?keywords=",Table1[[#This Row],[Digikey]])</f>
        <v>https://www.digikey.ch/products/en?keywords=RHM68DCT-ND</v>
      </c>
      <c r="Q324" s="57"/>
      <c r="R324" s="59"/>
      <c r="S324" s="61" t="str">
        <f>IF(Table1[[#This Row],[Farnell]]="","", HYPERLINK(Table1[[#This Row],[Destination - Farnell]],_xlfn.CONCAT("Link (",Table1[[#This Row],[Farnell]],")")))</f>
        <v/>
      </c>
      <c r="T324" s="62" t="str">
        <f>_xlfn.CONCAT("https://ch.farnell.com/fr-CH/",Table1[[#This Row],[Farnell]])</f>
        <v>https://ch.farnell.com/fr-CH/</v>
      </c>
      <c r="U324" s="57"/>
      <c r="V324" s="59"/>
      <c r="W324" s="61" t="str">
        <f>IF(Table1[[#This Row],[Distrelec]]="","", HYPERLINK(Table1[[#This Row],[Destination - Distrelec]],_xlfn.CONCAT("Link (",Table1[[#This Row],[Distrelec]],")")))</f>
        <v/>
      </c>
      <c r="X324" s="62" t="str">
        <f>_xlfn.CONCAT("https://www.distrelec.ch/search?q=",Table1[[#This Row],[Distrelec]])</f>
        <v>https://www.distrelec.ch/search?q=</v>
      </c>
      <c r="Y324" s="57"/>
      <c r="Z324" s="59"/>
      <c r="AA324" s="61" t="str">
        <f>IF(Table1[[#This Row],[Conrad]]="","", HYPERLINK(Table1[[#This Row],[Destination - Conrad]],_xlfn.CONCAT("Link (",Table1[[#This Row],[Conrad]],")")))</f>
        <v/>
      </c>
      <c r="AB324" s="62"/>
      <c r="AC324" s="57"/>
      <c r="AD324" s="59"/>
      <c r="AE324" s="61" t="str">
        <f>IF(Table1[[#This Row],[Mouser]]="","", HYPERLINK(Table1[[#This Row],[Destination - Mouser]],_xlfn.CONCAT("Link (",Table1[[#This Row],[Mouser]],")")))</f>
        <v/>
      </c>
      <c r="AF324" s="62" t="str">
        <f>_xlfn.CONCAT("https://www.mouser.ch/ProductDetail/",Table1[[#This Row],[Mouser]])</f>
        <v>https://www.mouser.ch/ProductDetail/</v>
      </c>
      <c r="AG324" s="57"/>
      <c r="AH324" s="59"/>
      <c r="AI324" s="61" t="str">
        <f>IF(Table1[[#This Row],[Bauhaus]]="","", HYPERLINK(Table1[[#This Row],[Destination - Bauhaus]],_xlfn.CONCAT("Link (",Table1[[#This Row],[Bauhaus]],")")))</f>
        <v/>
      </c>
      <c r="AJ324" s="62" t="str">
        <f>_xlfn.CONCAT("https://www.bauhaus.ch/fr/search?query=",Table1[[#This Row],[Bauhaus]])</f>
        <v>https://www.bauhaus.ch/fr/search?query=</v>
      </c>
      <c r="AK324" s="59"/>
      <c r="AL324" s="59"/>
      <c r="AM324" s="61" t="str">
        <f>IF(Table1[[#This Row],[BricoEtLoisirs]]="","", HYPERLINK(Table1[[#This Row],[Destination - BricoEtLoisirs]],_xlfn.CONCAT("Link (",Table1[[#This Row],[BricoEtLoisirs]],")")))</f>
        <v/>
      </c>
      <c r="AN324" s="62" t="str">
        <f>_xlfn.CONCAT("https://bricoetloisirs.ch/p/",Table1[[#This Row],[BricoEtLoisirs]])</f>
        <v>https://bricoetloisirs.ch/p/</v>
      </c>
      <c r="AO324" s="57"/>
      <c r="AP324" s="59"/>
      <c r="AQ324" s="61" t="str">
        <f>IF(Table1[[#This Row],[Aliexpress]]="","", HYPERLINK(Table1[[#This Row],[Destination - Aliexpress]],_xlfn.CONCAT("Link (",Table1[[#This Row],[Aliexpress]],")")))</f>
        <v/>
      </c>
      <c r="AR324" s="62" t="str">
        <f>_xlfn.CONCAT("https://www.aliexpress.com/item/",Table1[[#This Row],[Aliexpress]],".html")</f>
        <v>https://www.aliexpress.com/item/.html</v>
      </c>
      <c r="AS324" s="57"/>
      <c r="AT324" s="59"/>
      <c r="AU324" s="61" t="str">
        <f>IF(Table1[[#This Row],[Banggood]]="","", HYPERLINK(Table1[[#This Row],[Destination - Banggood]],_xlfn.CONCAT("Link (",Table1[[#This Row],[Banggood]],")")))</f>
        <v/>
      </c>
      <c r="AV324" s="62" t="str">
        <f>_xlfn.CONCAT("https://www.banggood.com/search/",Table1[[#This Row],[Banggood]],".html")</f>
        <v>https://www.banggood.com/search/.html</v>
      </c>
      <c r="AW324" s="59" t="str">
        <f>IF(Table1[[#This Row],[Other]]&lt;&gt;"","Other","")</f>
        <v/>
      </c>
      <c r="AX324" s="57"/>
      <c r="AY324" s="59"/>
      <c r="AZ324" s="61" t="str">
        <f>IF(Table1[[#This Row],[Other]]="","",IF(Table1[[#This Row],[Destination - Other]]="","",HYPERLINK(Table1[[#This Row],[Destination - Other]],_xlfn.CONCAT("Link ("&amp;Table1[[#This Row],[Other]]&amp;")"))))</f>
        <v/>
      </c>
      <c r="BA324" s="59"/>
      <c r="BB324" s="58" t="str">
        <f>IF(AND( Table1[[#This Row],[Auto Order]]=1,Table1[[#This Row],[Obsolete]]=""),IF(Table1[[#This Row],[In stock]]&lt;Table1[[#This Row],[Min in stock]],1,""),"")</f>
        <v/>
      </c>
      <c r="BC324" s="64"/>
      <c r="BD324" s="66" t="str">
        <f>IF(Table1[[#This Row],[Obsolete]],Table1[[#This Row],[Art. Number]],"")</f>
        <v/>
      </c>
    </row>
    <row r="325" spans="1:56" x14ac:dyDescent="0.25">
      <c r="A325" s="65" t="s">
        <v>1929</v>
      </c>
      <c r="B325" s="57" t="s">
        <v>168</v>
      </c>
      <c r="C325" s="57" t="s">
        <v>97</v>
      </c>
      <c r="D325" s="57" t="s">
        <v>1930</v>
      </c>
      <c r="E325" s="57" t="s">
        <v>151</v>
      </c>
      <c r="F325" s="58">
        <v>0</v>
      </c>
      <c r="G325" s="58"/>
      <c r="H325" s="58"/>
      <c r="I32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RHM680DCT-ND</v>
      </c>
      <c r="J32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(RHM680DCT-ND)</v>
      </c>
      <c r="M325" s="57" t="s">
        <v>1931</v>
      </c>
      <c r="N325" s="59">
        <v>0.1</v>
      </c>
      <c r="O325" s="61" t="str">
        <f>IF(Table1[[#This Row],[Digikey]]="","", HYPERLINK(Table1[[#This Row],[Destination - Digikey]],_xlfn.CONCAT("Link (",Table1[[#This Row],[Digikey]],")")))</f>
        <v>Link (RHM680DCT-ND)</v>
      </c>
      <c r="P325" s="62" t="str">
        <f>_xlfn.CONCAT("https://www.digikey.ch/products/en?keywords=",Table1[[#This Row],[Digikey]])</f>
        <v>https://www.digikey.ch/products/en?keywords=RHM680DCT-ND</v>
      </c>
      <c r="Q325" s="57"/>
      <c r="R325" s="59"/>
      <c r="S325" s="61" t="str">
        <f>IF(Table1[[#This Row],[Farnell]]="","", HYPERLINK(Table1[[#This Row],[Destination - Farnell]],_xlfn.CONCAT("Link (",Table1[[#This Row],[Farnell]],")")))</f>
        <v/>
      </c>
      <c r="T325" s="62" t="str">
        <f>_xlfn.CONCAT("https://ch.farnell.com/fr-CH/",Table1[[#This Row],[Farnell]])</f>
        <v>https://ch.farnell.com/fr-CH/</v>
      </c>
      <c r="U325" s="57"/>
      <c r="V325" s="59"/>
      <c r="W325" s="61" t="str">
        <f>IF(Table1[[#This Row],[Distrelec]]="","", HYPERLINK(Table1[[#This Row],[Destination - Distrelec]],_xlfn.CONCAT("Link (",Table1[[#This Row],[Distrelec]],")")))</f>
        <v/>
      </c>
      <c r="X325" s="62" t="str">
        <f>_xlfn.CONCAT("https://www.distrelec.ch/search?q=",Table1[[#This Row],[Distrelec]])</f>
        <v>https://www.distrelec.ch/search?q=</v>
      </c>
      <c r="Y325" s="57"/>
      <c r="Z325" s="59"/>
      <c r="AA325" s="61" t="str">
        <f>IF(Table1[[#This Row],[Conrad]]="","", HYPERLINK(Table1[[#This Row],[Destination - Conrad]],_xlfn.CONCAT("Link (",Table1[[#This Row],[Conrad]],")")))</f>
        <v/>
      </c>
      <c r="AB325" s="62"/>
      <c r="AC325" s="57"/>
      <c r="AD325" s="59"/>
      <c r="AE325" s="61" t="str">
        <f>IF(Table1[[#This Row],[Mouser]]="","", HYPERLINK(Table1[[#This Row],[Destination - Mouser]],_xlfn.CONCAT("Link (",Table1[[#This Row],[Mouser]],")")))</f>
        <v/>
      </c>
      <c r="AF325" s="62" t="str">
        <f>_xlfn.CONCAT("https://www.mouser.ch/ProductDetail/",Table1[[#This Row],[Mouser]])</f>
        <v>https://www.mouser.ch/ProductDetail/</v>
      </c>
      <c r="AG325" s="57"/>
      <c r="AH325" s="59"/>
      <c r="AI325" s="61" t="str">
        <f>IF(Table1[[#This Row],[Bauhaus]]="","", HYPERLINK(Table1[[#This Row],[Destination - Bauhaus]],_xlfn.CONCAT("Link (",Table1[[#This Row],[Bauhaus]],")")))</f>
        <v/>
      </c>
      <c r="AJ325" s="62" t="str">
        <f>_xlfn.CONCAT("https://www.bauhaus.ch/fr/search?query=",Table1[[#This Row],[Bauhaus]])</f>
        <v>https://www.bauhaus.ch/fr/search?query=</v>
      </c>
      <c r="AK325" s="59"/>
      <c r="AL325" s="59"/>
      <c r="AM325" s="61" t="str">
        <f>IF(Table1[[#This Row],[BricoEtLoisirs]]="","", HYPERLINK(Table1[[#This Row],[Destination - BricoEtLoisirs]],_xlfn.CONCAT("Link (",Table1[[#This Row],[BricoEtLoisirs]],")")))</f>
        <v/>
      </c>
      <c r="AN325" s="62" t="str">
        <f>_xlfn.CONCAT("https://bricoetloisirs.ch/p/",Table1[[#This Row],[BricoEtLoisirs]])</f>
        <v>https://bricoetloisirs.ch/p/</v>
      </c>
      <c r="AO325" s="57"/>
      <c r="AP325" s="59"/>
      <c r="AQ325" s="61" t="str">
        <f>IF(Table1[[#This Row],[Aliexpress]]="","", HYPERLINK(Table1[[#This Row],[Destination - Aliexpress]],_xlfn.CONCAT("Link (",Table1[[#This Row],[Aliexpress]],")")))</f>
        <v/>
      </c>
      <c r="AR325" s="62" t="str">
        <f>_xlfn.CONCAT("https://www.aliexpress.com/item/",Table1[[#This Row],[Aliexpress]],".html")</f>
        <v>https://www.aliexpress.com/item/.html</v>
      </c>
      <c r="AS325" s="57"/>
      <c r="AT325" s="59"/>
      <c r="AU325" s="61" t="str">
        <f>IF(Table1[[#This Row],[Banggood]]="","", HYPERLINK(Table1[[#This Row],[Destination - Banggood]],_xlfn.CONCAT("Link (",Table1[[#This Row],[Banggood]],")")))</f>
        <v/>
      </c>
      <c r="AV325" s="62" t="str">
        <f>_xlfn.CONCAT("https://www.banggood.com/search/",Table1[[#This Row],[Banggood]],".html")</f>
        <v>https://www.banggood.com/search/.html</v>
      </c>
      <c r="AW325" s="59" t="str">
        <f>IF(Table1[[#This Row],[Other]]&lt;&gt;"","Other","")</f>
        <v/>
      </c>
      <c r="AX325" s="57"/>
      <c r="AY325" s="59"/>
      <c r="AZ325" s="61" t="str">
        <f>IF(Table1[[#This Row],[Other]]="","",IF(Table1[[#This Row],[Destination - Other]]="","",HYPERLINK(Table1[[#This Row],[Destination - Other]],_xlfn.CONCAT("Link ("&amp;Table1[[#This Row],[Other]]&amp;")"))))</f>
        <v/>
      </c>
      <c r="BA325" s="59"/>
      <c r="BB325" s="58" t="str">
        <f>IF(AND( Table1[[#This Row],[Auto Order]]=1,Table1[[#This Row],[Obsolete]]=""),IF(Table1[[#This Row],[In stock]]&lt;Table1[[#This Row],[Min in stock]],1,""),"")</f>
        <v/>
      </c>
      <c r="BC325" s="64"/>
      <c r="BD325" s="66" t="str">
        <f>IF(Table1[[#This Row],[Obsolete]],Table1[[#This Row],[Art. Number]],"")</f>
        <v/>
      </c>
    </row>
    <row r="326" spans="1:56" x14ac:dyDescent="0.25">
      <c r="A326" s="65" t="s">
        <v>1935</v>
      </c>
      <c r="B326" s="57" t="s">
        <v>168</v>
      </c>
      <c r="C326" s="57" t="s">
        <v>1936</v>
      </c>
      <c r="D326" s="57" t="s">
        <v>1937</v>
      </c>
      <c r="E326" s="57" t="s">
        <v>151</v>
      </c>
      <c r="F326" s="58">
        <v>10</v>
      </c>
      <c r="G326" s="58">
        <v>10</v>
      </c>
      <c r="H326" s="58">
        <v>1</v>
      </c>
      <c r="I32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RHM6.8KDCT-ND</v>
      </c>
      <c r="J32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(RHM6.8KDCT-ND)</v>
      </c>
      <c r="M326" s="57" t="s">
        <v>1938</v>
      </c>
      <c r="N326" s="59">
        <v>0.1</v>
      </c>
      <c r="O326" s="61" t="str">
        <f>IF(Table1[[#This Row],[Digikey]]="","", HYPERLINK(Table1[[#This Row],[Destination - Digikey]],_xlfn.CONCAT("Link (",Table1[[#This Row],[Digikey]],")")))</f>
        <v>Link (RHM6.8KDCT-ND)</v>
      </c>
      <c r="P326" s="62" t="str">
        <f>_xlfn.CONCAT("https://www.digikey.ch/products/en?keywords=",Table1[[#This Row],[Digikey]])</f>
        <v>https://www.digikey.ch/products/en?keywords=RHM6.8KDCT-ND</v>
      </c>
      <c r="Q326" s="57"/>
      <c r="R326" s="59"/>
      <c r="S326" s="61" t="str">
        <f>IF(Table1[[#This Row],[Farnell]]="","", HYPERLINK(Table1[[#This Row],[Destination - Farnell]],_xlfn.CONCAT("Link (",Table1[[#This Row],[Farnell]],")")))</f>
        <v/>
      </c>
      <c r="T326" s="62" t="str">
        <f>_xlfn.CONCAT("https://ch.farnell.com/fr-CH/",Table1[[#This Row],[Farnell]])</f>
        <v>https://ch.farnell.com/fr-CH/</v>
      </c>
      <c r="U326" s="57"/>
      <c r="V326" s="59"/>
      <c r="W326" s="61" t="str">
        <f>IF(Table1[[#This Row],[Distrelec]]="","", HYPERLINK(Table1[[#This Row],[Destination - Distrelec]],_xlfn.CONCAT("Link (",Table1[[#This Row],[Distrelec]],")")))</f>
        <v/>
      </c>
      <c r="X326" s="62" t="str">
        <f>_xlfn.CONCAT("https://www.distrelec.ch/search?q=",Table1[[#This Row],[Distrelec]])</f>
        <v>https://www.distrelec.ch/search?q=</v>
      </c>
      <c r="Y326" s="57"/>
      <c r="Z326" s="59"/>
      <c r="AA326" s="61" t="str">
        <f>IF(Table1[[#This Row],[Conrad]]="","", HYPERLINK(Table1[[#This Row],[Destination - Conrad]],_xlfn.CONCAT("Link (",Table1[[#This Row],[Conrad]],")")))</f>
        <v/>
      </c>
      <c r="AB326" s="62"/>
      <c r="AC326" s="57"/>
      <c r="AD326" s="59"/>
      <c r="AE326" s="61" t="str">
        <f>IF(Table1[[#This Row],[Mouser]]="","", HYPERLINK(Table1[[#This Row],[Destination - Mouser]],_xlfn.CONCAT("Link (",Table1[[#This Row],[Mouser]],")")))</f>
        <v/>
      </c>
      <c r="AF326" s="62" t="str">
        <f>_xlfn.CONCAT("https://www.mouser.ch/ProductDetail/",Table1[[#This Row],[Mouser]])</f>
        <v>https://www.mouser.ch/ProductDetail/</v>
      </c>
      <c r="AG326" s="57"/>
      <c r="AH326" s="59"/>
      <c r="AI326" s="61" t="str">
        <f>IF(Table1[[#This Row],[Bauhaus]]="","", HYPERLINK(Table1[[#This Row],[Destination - Bauhaus]],_xlfn.CONCAT("Link (",Table1[[#This Row],[Bauhaus]],")")))</f>
        <v/>
      </c>
      <c r="AJ326" s="62" t="str">
        <f>_xlfn.CONCAT("https://www.bauhaus.ch/fr/search?query=",Table1[[#This Row],[Bauhaus]])</f>
        <v>https://www.bauhaus.ch/fr/search?query=</v>
      </c>
      <c r="AK326" s="59"/>
      <c r="AL326" s="59"/>
      <c r="AM326" s="61" t="str">
        <f>IF(Table1[[#This Row],[BricoEtLoisirs]]="","", HYPERLINK(Table1[[#This Row],[Destination - BricoEtLoisirs]],_xlfn.CONCAT("Link (",Table1[[#This Row],[BricoEtLoisirs]],")")))</f>
        <v/>
      </c>
      <c r="AN326" s="62" t="str">
        <f>_xlfn.CONCAT("https://bricoetloisirs.ch/p/",Table1[[#This Row],[BricoEtLoisirs]])</f>
        <v>https://bricoetloisirs.ch/p/</v>
      </c>
      <c r="AO326" s="57"/>
      <c r="AP326" s="59"/>
      <c r="AQ326" s="61" t="str">
        <f>IF(Table1[[#This Row],[Aliexpress]]="","", HYPERLINK(Table1[[#This Row],[Destination - Aliexpress]],_xlfn.CONCAT("Link (",Table1[[#This Row],[Aliexpress]],")")))</f>
        <v/>
      </c>
      <c r="AR326" s="62" t="str">
        <f>_xlfn.CONCAT("https://www.aliexpress.com/item/",Table1[[#This Row],[Aliexpress]],".html")</f>
        <v>https://www.aliexpress.com/item/.html</v>
      </c>
      <c r="AS326" s="57"/>
      <c r="AT326" s="59"/>
      <c r="AU326" s="61" t="str">
        <f>IF(Table1[[#This Row],[Banggood]]="","", HYPERLINK(Table1[[#This Row],[Destination - Banggood]],_xlfn.CONCAT("Link (",Table1[[#This Row],[Banggood]],")")))</f>
        <v/>
      </c>
      <c r="AV326" s="62" t="str">
        <f>_xlfn.CONCAT("https://www.banggood.com/search/",Table1[[#This Row],[Banggood]],".html")</f>
        <v>https://www.banggood.com/search/.html</v>
      </c>
      <c r="AW326" s="59" t="str">
        <f>IF(Table1[[#This Row],[Other]]&lt;&gt;"","Other","")</f>
        <v/>
      </c>
      <c r="AX326" s="57"/>
      <c r="AY326" s="59"/>
      <c r="AZ326" s="61" t="str">
        <f>IF(Table1[[#This Row],[Other]]="","",IF(Table1[[#This Row],[Destination - Other]]="","",HYPERLINK(Table1[[#This Row],[Destination - Other]],_xlfn.CONCAT("Link ("&amp;Table1[[#This Row],[Other]]&amp;")"))))</f>
        <v/>
      </c>
      <c r="BA326" s="59"/>
      <c r="BB326" s="58" t="str">
        <f>IF(AND( Table1[[#This Row],[Auto Order]]=1,Table1[[#This Row],[Obsolete]]=""),IF(Table1[[#This Row],[In stock]]&lt;Table1[[#This Row],[Min in stock]],1,""),"")</f>
        <v/>
      </c>
      <c r="BC326" s="64"/>
      <c r="BD326" s="66" t="str">
        <f>IF(Table1[[#This Row],[Obsolete]],Table1[[#This Row],[Art. Number]],"")</f>
        <v/>
      </c>
    </row>
    <row r="327" spans="1:56" x14ac:dyDescent="0.25">
      <c r="A327" s="65" t="s">
        <v>1942</v>
      </c>
      <c r="B327" s="57" t="s">
        <v>168</v>
      </c>
      <c r="C327" s="57" t="s">
        <v>97</v>
      </c>
      <c r="D327" s="57" t="s">
        <v>1943</v>
      </c>
      <c r="E327" s="57" t="s">
        <v>151</v>
      </c>
      <c r="F327" s="58">
        <v>0</v>
      </c>
      <c r="G327" s="58"/>
      <c r="H327" s="58"/>
      <c r="I32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RHM68KDCT-ND</v>
      </c>
      <c r="J32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(RHM68KDCT-ND)</v>
      </c>
      <c r="M327" s="57" t="s">
        <v>1944</v>
      </c>
      <c r="N327" s="59">
        <v>0.1</v>
      </c>
      <c r="O327" s="61" t="str">
        <f>IF(Table1[[#This Row],[Digikey]]="","", HYPERLINK(Table1[[#This Row],[Destination - Digikey]],_xlfn.CONCAT("Link (",Table1[[#This Row],[Digikey]],")")))</f>
        <v>Link (RHM68KDCT-ND)</v>
      </c>
      <c r="P327" s="62" t="str">
        <f>_xlfn.CONCAT("https://www.digikey.ch/products/en?keywords=",Table1[[#This Row],[Digikey]])</f>
        <v>https://www.digikey.ch/products/en?keywords=RHM68KDCT-ND</v>
      </c>
      <c r="Q327" s="57"/>
      <c r="R327" s="59"/>
      <c r="S327" s="61" t="str">
        <f>IF(Table1[[#This Row],[Farnell]]="","", HYPERLINK(Table1[[#This Row],[Destination - Farnell]],_xlfn.CONCAT("Link (",Table1[[#This Row],[Farnell]],")")))</f>
        <v/>
      </c>
      <c r="T327" s="62" t="str">
        <f>_xlfn.CONCAT("https://ch.farnell.com/fr-CH/",Table1[[#This Row],[Farnell]])</f>
        <v>https://ch.farnell.com/fr-CH/</v>
      </c>
      <c r="U327" s="57"/>
      <c r="V327" s="59"/>
      <c r="W327" s="61" t="str">
        <f>IF(Table1[[#This Row],[Distrelec]]="","", HYPERLINK(Table1[[#This Row],[Destination - Distrelec]],_xlfn.CONCAT("Link (",Table1[[#This Row],[Distrelec]],")")))</f>
        <v/>
      </c>
      <c r="X327" s="62" t="str">
        <f>_xlfn.CONCAT("https://www.distrelec.ch/search?q=",Table1[[#This Row],[Distrelec]])</f>
        <v>https://www.distrelec.ch/search?q=</v>
      </c>
      <c r="Y327" s="57"/>
      <c r="Z327" s="59"/>
      <c r="AA327" s="61" t="str">
        <f>IF(Table1[[#This Row],[Conrad]]="","", HYPERLINK(Table1[[#This Row],[Destination - Conrad]],_xlfn.CONCAT("Link (",Table1[[#This Row],[Conrad]],")")))</f>
        <v/>
      </c>
      <c r="AB327" s="62"/>
      <c r="AC327" s="57"/>
      <c r="AD327" s="59"/>
      <c r="AE327" s="61" t="str">
        <f>IF(Table1[[#This Row],[Mouser]]="","", HYPERLINK(Table1[[#This Row],[Destination - Mouser]],_xlfn.CONCAT("Link (",Table1[[#This Row],[Mouser]],")")))</f>
        <v/>
      </c>
      <c r="AF327" s="62" t="str">
        <f>_xlfn.CONCAT("https://www.mouser.ch/ProductDetail/",Table1[[#This Row],[Mouser]])</f>
        <v>https://www.mouser.ch/ProductDetail/</v>
      </c>
      <c r="AG327" s="57"/>
      <c r="AH327" s="59"/>
      <c r="AI327" s="61" t="str">
        <f>IF(Table1[[#This Row],[Bauhaus]]="","", HYPERLINK(Table1[[#This Row],[Destination - Bauhaus]],_xlfn.CONCAT("Link (",Table1[[#This Row],[Bauhaus]],")")))</f>
        <v/>
      </c>
      <c r="AJ327" s="62" t="str">
        <f>_xlfn.CONCAT("https://www.bauhaus.ch/fr/search?query=",Table1[[#This Row],[Bauhaus]])</f>
        <v>https://www.bauhaus.ch/fr/search?query=</v>
      </c>
      <c r="AK327" s="59"/>
      <c r="AL327" s="59"/>
      <c r="AM327" s="61" t="str">
        <f>IF(Table1[[#This Row],[BricoEtLoisirs]]="","", HYPERLINK(Table1[[#This Row],[Destination - BricoEtLoisirs]],_xlfn.CONCAT("Link (",Table1[[#This Row],[BricoEtLoisirs]],")")))</f>
        <v/>
      </c>
      <c r="AN327" s="62" t="str">
        <f>_xlfn.CONCAT("https://bricoetloisirs.ch/p/",Table1[[#This Row],[BricoEtLoisirs]])</f>
        <v>https://bricoetloisirs.ch/p/</v>
      </c>
      <c r="AO327" s="57"/>
      <c r="AP327" s="59"/>
      <c r="AQ327" s="61" t="str">
        <f>IF(Table1[[#This Row],[Aliexpress]]="","", HYPERLINK(Table1[[#This Row],[Destination - Aliexpress]],_xlfn.CONCAT("Link (",Table1[[#This Row],[Aliexpress]],")")))</f>
        <v/>
      </c>
      <c r="AR327" s="62" t="str">
        <f>_xlfn.CONCAT("https://www.aliexpress.com/item/",Table1[[#This Row],[Aliexpress]],".html")</f>
        <v>https://www.aliexpress.com/item/.html</v>
      </c>
      <c r="AS327" s="57"/>
      <c r="AT327" s="59"/>
      <c r="AU327" s="61" t="str">
        <f>IF(Table1[[#This Row],[Banggood]]="","", HYPERLINK(Table1[[#This Row],[Destination - Banggood]],_xlfn.CONCAT("Link (",Table1[[#This Row],[Banggood]],")")))</f>
        <v/>
      </c>
      <c r="AV327" s="62" t="str">
        <f>_xlfn.CONCAT("https://www.banggood.com/search/",Table1[[#This Row],[Banggood]],".html")</f>
        <v>https://www.banggood.com/search/.html</v>
      </c>
      <c r="AW327" s="59" t="str">
        <f>IF(Table1[[#This Row],[Other]]&lt;&gt;"","Other","")</f>
        <v/>
      </c>
      <c r="AX327" s="57"/>
      <c r="AY327" s="59"/>
      <c r="AZ327" s="61" t="str">
        <f>IF(Table1[[#This Row],[Other]]="","",IF(Table1[[#This Row],[Destination - Other]]="","",HYPERLINK(Table1[[#This Row],[Destination - Other]],_xlfn.CONCAT("Link ("&amp;Table1[[#This Row],[Other]]&amp;")"))))</f>
        <v/>
      </c>
      <c r="BA327" s="59"/>
      <c r="BB327" s="58" t="str">
        <f>IF(AND( Table1[[#This Row],[Auto Order]]=1,Table1[[#This Row],[Obsolete]]=""),IF(Table1[[#This Row],[In stock]]&lt;Table1[[#This Row],[Min in stock]],1,""),"")</f>
        <v/>
      </c>
      <c r="BC327" s="64"/>
      <c r="BD327" s="66" t="str">
        <f>IF(Table1[[#This Row],[Obsolete]],Table1[[#This Row],[Art. Number]],"")</f>
        <v/>
      </c>
    </row>
    <row r="328" spans="1:56" x14ac:dyDescent="0.25">
      <c r="A328" s="65" t="s">
        <v>1948</v>
      </c>
      <c r="B328" s="57" t="s">
        <v>168</v>
      </c>
      <c r="C328" s="57" t="s">
        <v>97</v>
      </c>
      <c r="D328" s="57" t="s">
        <v>1949</v>
      </c>
      <c r="E328" s="57" t="s">
        <v>151</v>
      </c>
      <c r="F328" s="58">
        <v>0</v>
      </c>
      <c r="G328" s="58"/>
      <c r="H328" s="58"/>
      <c r="I32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RHM680KDCT-ND</v>
      </c>
      <c r="J32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(RHM680KDCT-ND)</v>
      </c>
      <c r="M328" s="57" t="s">
        <v>1950</v>
      </c>
      <c r="N328" s="59">
        <v>0.1</v>
      </c>
      <c r="O328" s="61" t="str">
        <f>IF(Table1[[#This Row],[Digikey]]="","", HYPERLINK(Table1[[#This Row],[Destination - Digikey]],_xlfn.CONCAT("Link (",Table1[[#This Row],[Digikey]],")")))</f>
        <v>Link (RHM680KDCT-ND)</v>
      </c>
      <c r="P328" s="62" t="str">
        <f>_xlfn.CONCAT("https://www.digikey.ch/products/en?keywords=",Table1[[#This Row],[Digikey]])</f>
        <v>https://www.digikey.ch/products/en?keywords=RHM680KDCT-ND</v>
      </c>
      <c r="Q328" s="57"/>
      <c r="R328" s="59"/>
      <c r="S328" s="61" t="str">
        <f>IF(Table1[[#This Row],[Farnell]]="","", HYPERLINK(Table1[[#This Row],[Destination - Farnell]],_xlfn.CONCAT("Link (",Table1[[#This Row],[Farnell]],")")))</f>
        <v/>
      </c>
      <c r="T328" s="62" t="str">
        <f>_xlfn.CONCAT("https://ch.farnell.com/fr-CH/",Table1[[#This Row],[Farnell]])</f>
        <v>https://ch.farnell.com/fr-CH/</v>
      </c>
      <c r="U328" s="57"/>
      <c r="V328" s="59"/>
      <c r="W328" s="61" t="str">
        <f>IF(Table1[[#This Row],[Distrelec]]="","", HYPERLINK(Table1[[#This Row],[Destination - Distrelec]],_xlfn.CONCAT("Link (",Table1[[#This Row],[Distrelec]],")")))</f>
        <v/>
      </c>
      <c r="X328" s="62" t="str">
        <f>_xlfn.CONCAT("https://www.distrelec.ch/search?q=",Table1[[#This Row],[Distrelec]])</f>
        <v>https://www.distrelec.ch/search?q=</v>
      </c>
      <c r="Y328" s="57"/>
      <c r="Z328" s="59"/>
      <c r="AA328" s="61" t="str">
        <f>IF(Table1[[#This Row],[Conrad]]="","", HYPERLINK(Table1[[#This Row],[Destination - Conrad]],_xlfn.CONCAT("Link (",Table1[[#This Row],[Conrad]],")")))</f>
        <v/>
      </c>
      <c r="AB328" s="62"/>
      <c r="AC328" s="57"/>
      <c r="AD328" s="59"/>
      <c r="AE328" s="61" t="str">
        <f>IF(Table1[[#This Row],[Mouser]]="","", HYPERLINK(Table1[[#This Row],[Destination - Mouser]],_xlfn.CONCAT("Link (",Table1[[#This Row],[Mouser]],")")))</f>
        <v/>
      </c>
      <c r="AF328" s="62" t="str">
        <f>_xlfn.CONCAT("https://www.mouser.ch/ProductDetail/",Table1[[#This Row],[Mouser]])</f>
        <v>https://www.mouser.ch/ProductDetail/</v>
      </c>
      <c r="AG328" s="57"/>
      <c r="AH328" s="59"/>
      <c r="AI328" s="61" t="str">
        <f>IF(Table1[[#This Row],[Bauhaus]]="","", HYPERLINK(Table1[[#This Row],[Destination - Bauhaus]],_xlfn.CONCAT("Link (",Table1[[#This Row],[Bauhaus]],")")))</f>
        <v/>
      </c>
      <c r="AJ328" s="62" t="str">
        <f>_xlfn.CONCAT("https://www.bauhaus.ch/fr/search?query=",Table1[[#This Row],[Bauhaus]])</f>
        <v>https://www.bauhaus.ch/fr/search?query=</v>
      </c>
      <c r="AK328" s="59"/>
      <c r="AL328" s="59"/>
      <c r="AM328" s="61" t="str">
        <f>IF(Table1[[#This Row],[BricoEtLoisirs]]="","", HYPERLINK(Table1[[#This Row],[Destination - BricoEtLoisirs]],_xlfn.CONCAT("Link (",Table1[[#This Row],[BricoEtLoisirs]],")")))</f>
        <v/>
      </c>
      <c r="AN328" s="62" t="str">
        <f>_xlfn.CONCAT("https://bricoetloisirs.ch/p/",Table1[[#This Row],[BricoEtLoisirs]])</f>
        <v>https://bricoetloisirs.ch/p/</v>
      </c>
      <c r="AO328" s="57"/>
      <c r="AP328" s="59"/>
      <c r="AQ328" s="61" t="str">
        <f>IF(Table1[[#This Row],[Aliexpress]]="","", HYPERLINK(Table1[[#This Row],[Destination - Aliexpress]],_xlfn.CONCAT("Link (",Table1[[#This Row],[Aliexpress]],")")))</f>
        <v/>
      </c>
      <c r="AR328" s="62" t="str">
        <f>_xlfn.CONCAT("https://www.aliexpress.com/item/",Table1[[#This Row],[Aliexpress]],".html")</f>
        <v>https://www.aliexpress.com/item/.html</v>
      </c>
      <c r="AS328" s="57"/>
      <c r="AT328" s="59"/>
      <c r="AU328" s="61" t="str">
        <f>IF(Table1[[#This Row],[Banggood]]="","", HYPERLINK(Table1[[#This Row],[Destination - Banggood]],_xlfn.CONCAT("Link (",Table1[[#This Row],[Banggood]],")")))</f>
        <v/>
      </c>
      <c r="AV328" s="62" t="str">
        <f>_xlfn.CONCAT("https://www.banggood.com/search/",Table1[[#This Row],[Banggood]],".html")</f>
        <v>https://www.banggood.com/search/.html</v>
      </c>
      <c r="AW328" s="59" t="str">
        <f>IF(Table1[[#This Row],[Other]]&lt;&gt;"","Other","")</f>
        <v/>
      </c>
      <c r="AX328" s="57"/>
      <c r="AY328" s="59"/>
      <c r="AZ328" s="61" t="str">
        <f>IF(Table1[[#This Row],[Other]]="","",IF(Table1[[#This Row],[Destination - Other]]="","",HYPERLINK(Table1[[#This Row],[Destination - Other]],_xlfn.CONCAT("Link ("&amp;Table1[[#This Row],[Other]]&amp;")"))))</f>
        <v/>
      </c>
      <c r="BA328" s="59"/>
      <c r="BB328" s="58" t="str">
        <f>IF(AND( Table1[[#This Row],[Auto Order]]=1,Table1[[#This Row],[Obsolete]]=""),IF(Table1[[#This Row],[In stock]]&lt;Table1[[#This Row],[Min in stock]],1,""),"")</f>
        <v/>
      </c>
      <c r="BC328" s="64"/>
      <c r="BD328" s="66" t="str">
        <f>IF(Table1[[#This Row],[Obsolete]],Table1[[#This Row],[Art. Number]],"")</f>
        <v/>
      </c>
    </row>
    <row r="329" spans="1:56" x14ac:dyDescent="0.25">
      <c r="A329" s="65" t="s">
        <v>1954</v>
      </c>
      <c r="B329" s="57" t="s">
        <v>168</v>
      </c>
      <c r="C329" s="57" t="s">
        <v>97</v>
      </c>
      <c r="D329" s="57" t="s">
        <v>1955</v>
      </c>
      <c r="E329" s="57" t="s">
        <v>151</v>
      </c>
      <c r="F329" s="58">
        <v>0</v>
      </c>
      <c r="G329" s="58"/>
      <c r="H329" s="58"/>
      <c r="I32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RHM6.8MDCT-ND</v>
      </c>
      <c r="J32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2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2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(RHM6.8MDCT-ND)</v>
      </c>
      <c r="M329" s="57" t="s">
        <v>1956</v>
      </c>
      <c r="N329" s="59">
        <v>0.1</v>
      </c>
      <c r="O329" s="61" t="str">
        <f>IF(Table1[[#This Row],[Digikey]]="","", HYPERLINK(Table1[[#This Row],[Destination - Digikey]],_xlfn.CONCAT("Link (",Table1[[#This Row],[Digikey]],")")))</f>
        <v>Link (RHM6.8MDCT-ND)</v>
      </c>
      <c r="P329" s="62" t="str">
        <f>_xlfn.CONCAT("https://www.digikey.ch/products/en?keywords=",Table1[[#This Row],[Digikey]])</f>
        <v>https://www.digikey.ch/products/en?keywords=RHM6.8MDCT-ND</v>
      </c>
      <c r="Q329" s="57"/>
      <c r="R329" s="59"/>
      <c r="S329" s="61" t="str">
        <f>IF(Table1[[#This Row],[Farnell]]="","", HYPERLINK(Table1[[#This Row],[Destination - Farnell]],_xlfn.CONCAT("Link (",Table1[[#This Row],[Farnell]],")")))</f>
        <v/>
      </c>
      <c r="T329" s="62" t="str">
        <f>_xlfn.CONCAT("https://ch.farnell.com/fr-CH/",Table1[[#This Row],[Farnell]])</f>
        <v>https://ch.farnell.com/fr-CH/</v>
      </c>
      <c r="U329" s="57"/>
      <c r="V329" s="59"/>
      <c r="W329" s="61" t="str">
        <f>IF(Table1[[#This Row],[Distrelec]]="","", HYPERLINK(Table1[[#This Row],[Destination - Distrelec]],_xlfn.CONCAT("Link (",Table1[[#This Row],[Distrelec]],")")))</f>
        <v/>
      </c>
      <c r="X329" s="62" t="str">
        <f>_xlfn.CONCAT("https://www.distrelec.ch/search?q=",Table1[[#This Row],[Distrelec]])</f>
        <v>https://www.distrelec.ch/search?q=</v>
      </c>
      <c r="Y329" s="57"/>
      <c r="Z329" s="59"/>
      <c r="AA329" s="61" t="str">
        <f>IF(Table1[[#This Row],[Conrad]]="","", HYPERLINK(Table1[[#This Row],[Destination - Conrad]],_xlfn.CONCAT("Link (",Table1[[#This Row],[Conrad]],")")))</f>
        <v/>
      </c>
      <c r="AB329" s="62"/>
      <c r="AC329" s="57"/>
      <c r="AD329" s="59"/>
      <c r="AE329" s="61" t="str">
        <f>IF(Table1[[#This Row],[Mouser]]="","", HYPERLINK(Table1[[#This Row],[Destination - Mouser]],_xlfn.CONCAT("Link (",Table1[[#This Row],[Mouser]],")")))</f>
        <v/>
      </c>
      <c r="AF329" s="62" t="str">
        <f>_xlfn.CONCAT("https://www.mouser.ch/ProductDetail/",Table1[[#This Row],[Mouser]])</f>
        <v>https://www.mouser.ch/ProductDetail/</v>
      </c>
      <c r="AG329" s="57"/>
      <c r="AH329" s="59"/>
      <c r="AI329" s="61" t="str">
        <f>IF(Table1[[#This Row],[Bauhaus]]="","", HYPERLINK(Table1[[#This Row],[Destination - Bauhaus]],_xlfn.CONCAT("Link (",Table1[[#This Row],[Bauhaus]],")")))</f>
        <v/>
      </c>
      <c r="AJ329" s="62" t="str">
        <f>_xlfn.CONCAT("https://www.bauhaus.ch/fr/search?query=",Table1[[#This Row],[Bauhaus]])</f>
        <v>https://www.bauhaus.ch/fr/search?query=</v>
      </c>
      <c r="AK329" s="59"/>
      <c r="AL329" s="59"/>
      <c r="AM329" s="61" t="str">
        <f>IF(Table1[[#This Row],[BricoEtLoisirs]]="","", HYPERLINK(Table1[[#This Row],[Destination - BricoEtLoisirs]],_xlfn.CONCAT("Link (",Table1[[#This Row],[BricoEtLoisirs]],")")))</f>
        <v/>
      </c>
      <c r="AN329" s="62" t="str">
        <f>_xlfn.CONCAT("https://bricoetloisirs.ch/p/",Table1[[#This Row],[BricoEtLoisirs]])</f>
        <v>https://bricoetloisirs.ch/p/</v>
      </c>
      <c r="AO329" s="57"/>
      <c r="AP329" s="59"/>
      <c r="AQ329" s="61" t="str">
        <f>IF(Table1[[#This Row],[Aliexpress]]="","", HYPERLINK(Table1[[#This Row],[Destination - Aliexpress]],_xlfn.CONCAT("Link (",Table1[[#This Row],[Aliexpress]],")")))</f>
        <v/>
      </c>
      <c r="AR329" s="62" t="str">
        <f>_xlfn.CONCAT("https://www.aliexpress.com/item/",Table1[[#This Row],[Aliexpress]],".html")</f>
        <v>https://www.aliexpress.com/item/.html</v>
      </c>
      <c r="AS329" s="57"/>
      <c r="AT329" s="59"/>
      <c r="AU329" s="61" t="str">
        <f>IF(Table1[[#This Row],[Banggood]]="","", HYPERLINK(Table1[[#This Row],[Destination - Banggood]],_xlfn.CONCAT("Link (",Table1[[#This Row],[Banggood]],")")))</f>
        <v/>
      </c>
      <c r="AV329" s="62" t="str">
        <f>_xlfn.CONCAT("https://www.banggood.com/search/",Table1[[#This Row],[Banggood]],".html")</f>
        <v>https://www.banggood.com/search/.html</v>
      </c>
      <c r="AW329" s="59" t="str">
        <f>IF(Table1[[#This Row],[Other]]&lt;&gt;"","Other","")</f>
        <v/>
      </c>
      <c r="AX329" s="57"/>
      <c r="AY329" s="59"/>
      <c r="AZ329" s="61" t="str">
        <f>IF(Table1[[#This Row],[Other]]="","",IF(Table1[[#This Row],[Destination - Other]]="","",HYPERLINK(Table1[[#This Row],[Destination - Other]],_xlfn.CONCAT("Link ("&amp;Table1[[#This Row],[Other]]&amp;")"))))</f>
        <v/>
      </c>
      <c r="BA329" s="59"/>
      <c r="BB329" s="58" t="str">
        <f>IF(AND( Table1[[#This Row],[Auto Order]]=1,Table1[[#This Row],[Obsolete]]=""),IF(Table1[[#This Row],[In stock]]&lt;Table1[[#This Row],[Min in stock]],1,""),"")</f>
        <v/>
      </c>
      <c r="BC329" s="64"/>
      <c r="BD329" s="66" t="str">
        <f>IF(Table1[[#This Row],[Obsolete]],Table1[[#This Row],[Art. Number]],"")</f>
        <v/>
      </c>
    </row>
    <row r="330" spans="1:56" x14ac:dyDescent="0.25">
      <c r="A330" s="65" t="s">
        <v>1960</v>
      </c>
      <c r="B330" s="57" t="s">
        <v>168</v>
      </c>
      <c r="C330" s="57" t="s">
        <v>97</v>
      </c>
      <c r="D330" s="57" t="s">
        <v>1961</v>
      </c>
      <c r="E330" s="57" t="s">
        <v>151</v>
      </c>
      <c r="F330" s="58">
        <v>0</v>
      </c>
      <c r="G330" s="58"/>
      <c r="H330" s="58"/>
      <c r="I33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RHM6.2DCT-ND</v>
      </c>
      <c r="J33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(RHM6.2DCT-ND)</v>
      </c>
      <c r="M330" s="57" t="s">
        <v>1962</v>
      </c>
      <c r="N330" s="59">
        <v>0.1</v>
      </c>
      <c r="O330" s="61" t="str">
        <f>IF(Table1[[#This Row],[Digikey]]="","", HYPERLINK(Table1[[#This Row],[Destination - Digikey]],_xlfn.CONCAT("Link (",Table1[[#This Row],[Digikey]],")")))</f>
        <v>Link (RHM6.2DCT-ND)</v>
      </c>
      <c r="P330" s="62" t="str">
        <f>_xlfn.CONCAT("https://www.digikey.ch/products/en?keywords=",Table1[[#This Row],[Digikey]])</f>
        <v>https://www.digikey.ch/products/en?keywords=RHM6.2DCT-ND</v>
      </c>
      <c r="Q330" s="57"/>
      <c r="R330" s="59"/>
      <c r="S330" s="61" t="str">
        <f>IF(Table1[[#This Row],[Farnell]]="","", HYPERLINK(Table1[[#This Row],[Destination - Farnell]],_xlfn.CONCAT("Link (",Table1[[#This Row],[Farnell]],")")))</f>
        <v/>
      </c>
      <c r="T330" s="62" t="str">
        <f>_xlfn.CONCAT("https://ch.farnell.com/fr-CH/",Table1[[#This Row],[Farnell]])</f>
        <v>https://ch.farnell.com/fr-CH/</v>
      </c>
      <c r="U330" s="57"/>
      <c r="V330" s="59"/>
      <c r="W330" s="61" t="str">
        <f>IF(Table1[[#This Row],[Distrelec]]="","", HYPERLINK(Table1[[#This Row],[Destination - Distrelec]],_xlfn.CONCAT("Link (",Table1[[#This Row],[Distrelec]],")")))</f>
        <v/>
      </c>
      <c r="X330" s="62" t="str">
        <f>_xlfn.CONCAT("https://www.distrelec.ch/search?q=",Table1[[#This Row],[Distrelec]])</f>
        <v>https://www.distrelec.ch/search?q=</v>
      </c>
      <c r="Y330" s="57"/>
      <c r="Z330" s="59"/>
      <c r="AA330" s="61" t="str">
        <f>IF(Table1[[#This Row],[Conrad]]="","", HYPERLINK(Table1[[#This Row],[Destination - Conrad]],_xlfn.CONCAT("Link (",Table1[[#This Row],[Conrad]],")")))</f>
        <v/>
      </c>
      <c r="AB330" s="62"/>
      <c r="AC330" s="57"/>
      <c r="AD330" s="59"/>
      <c r="AE330" s="61" t="str">
        <f>IF(Table1[[#This Row],[Mouser]]="","", HYPERLINK(Table1[[#This Row],[Destination - Mouser]],_xlfn.CONCAT("Link (",Table1[[#This Row],[Mouser]],")")))</f>
        <v/>
      </c>
      <c r="AF330" s="62" t="str">
        <f>_xlfn.CONCAT("https://www.mouser.ch/ProductDetail/",Table1[[#This Row],[Mouser]])</f>
        <v>https://www.mouser.ch/ProductDetail/</v>
      </c>
      <c r="AG330" s="57"/>
      <c r="AH330" s="59"/>
      <c r="AI330" s="61" t="str">
        <f>IF(Table1[[#This Row],[Bauhaus]]="","", HYPERLINK(Table1[[#This Row],[Destination - Bauhaus]],_xlfn.CONCAT("Link (",Table1[[#This Row],[Bauhaus]],")")))</f>
        <v/>
      </c>
      <c r="AJ330" s="62" t="str">
        <f>_xlfn.CONCAT("https://www.bauhaus.ch/fr/search?query=",Table1[[#This Row],[Bauhaus]])</f>
        <v>https://www.bauhaus.ch/fr/search?query=</v>
      </c>
      <c r="AK330" s="59"/>
      <c r="AL330" s="59"/>
      <c r="AM330" s="61" t="str">
        <f>IF(Table1[[#This Row],[BricoEtLoisirs]]="","", HYPERLINK(Table1[[#This Row],[Destination - BricoEtLoisirs]],_xlfn.CONCAT("Link (",Table1[[#This Row],[BricoEtLoisirs]],")")))</f>
        <v/>
      </c>
      <c r="AN330" s="62" t="str">
        <f>_xlfn.CONCAT("https://bricoetloisirs.ch/p/",Table1[[#This Row],[BricoEtLoisirs]])</f>
        <v>https://bricoetloisirs.ch/p/</v>
      </c>
      <c r="AO330" s="57"/>
      <c r="AP330" s="59"/>
      <c r="AQ330" s="61" t="str">
        <f>IF(Table1[[#This Row],[Aliexpress]]="","", HYPERLINK(Table1[[#This Row],[Destination - Aliexpress]],_xlfn.CONCAT("Link (",Table1[[#This Row],[Aliexpress]],")")))</f>
        <v/>
      </c>
      <c r="AR330" s="62" t="str">
        <f>_xlfn.CONCAT("https://www.aliexpress.com/item/",Table1[[#This Row],[Aliexpress]],".html")</f>
        <v>https://www.aliexpress.com/item/.html</v>
      </c>
      <c r="AS330" s="57"/>
      <c r="AT330" s="59"/>
      <c r="AU330" s="61" t="str">
        <f>IF(Table1[[#This Row],[Banggood]]="","", HYPERLINK(Table1[[#This Row],[Destination - Banggood]],_xlfn.CONCAT("Link (",Table1[[#This Row],[Banggood]],")")))</f>
        <v/>
      </c>
      <c r="AV330" s="62" t="str">
        <f>_xlfn.CONCAT("https://www.banggood.com/search/",Table1[[#This Row],[Banggood]],".html")</f>
        <v>https://www.banggood.com/search/.html</v>
      </c>
      <c r="AW330" s="59" t="str">
        <f>IF(Table1[[#This Row],[Other]]&lt;&gt;"","Other","")</f>
        <v/>
      </c>
      <c r="AX330" s="57"/>
      <c r="AY330" s="59"/>
      <c r="AZ330" s="61" t="str">
        <f>IF(Table1[[#This Row],[Other]]="","",IF(Table1[[#This Row],[Destination - Other]]="","",HYPERLINK(Table1[[#This Row],[Destination - Other]],_xlfn.CONCAT("Link ("&amp;Table1[[#This Row],[Other]]&amp;")"))))</f>
        <v/>
      </c>
      <c r="BA330" s="59"/>
      <c r="BB330" s="58" t="str">
        <f>IF(AND( Table1[[#This Row],[Auto Order]]=1,Table1[[#This Row],[Obsolete]]=""),IF(Table1[[#This Row],[In stock]]&lt;Table1[[#This Row],[Min in stock]],1,""),"")</f>
        <v/>
      </c>
      <c r="BC330" s="64"/>
      <c r="BD330" s="66" t="str">
        <f>IF(Table1[[#This Row],[Obsolete]],Table1[[#This Row],[Art. Number]],"")</f>
        <v/>
      </c>
    </row>
    <row r="331" spans="1:56" x14ac:dyDescent="0.25">
      <c r="A331" s="65" t="s">
        <v>1966</v>
      </c>
      <c r="B331" s="57" t="s">
        <v>168</v>
      </c>
      <c r="C331" s="57" t="s">
        <v>97</v>
      </c>
      <c r="D331" s="57" t="s">
        <v>1967</v>
      </c>
      <c r="E331" s="57" t="s">
        <v>151</v>
      </c>
      <c r="F331" s="58">
        <v>0</v>
      </c>
      <c r="G331" s="58"/>
      <c r="H331" s="58"/>
      <c r="I33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RHM6.8DCT-ND</v>
      </c>
      <c r="J33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(RHM6.8DCT-ND)</v>
      </c>
      <c r="M331" s="57" t="s">
        <v>1968</v>
      </c>
      <c r="N331" s="59">
        <v>0.1</v>
      </c>
      <c r="O331" s="61" t="str">
        <f>IF(Table1[[#This Row],[Digikey]]="","", HYPERLINK(Table1[[#This Row],[Destination - Digikey]],_xlfn.CONCAT("Link (",Table1[[#This Row],[Digikey]],")")))</f>
        <v>Link (RHM6.8DCT-ND)</v>
      </c>
      <c r="P331" s="62" t="str">
        <f>_xlfn.CONCAT("https://www.digikey.ch/products/en?keywords=",Table1[[#This Row],[Digikey]])</f>
        <v>https://www.digikey.ch/products/en?keywords=RHM6.8DCT-ND</v>
      </c>
      <c r="Q331" s="57"/>
      <c r="R331" s="59"/>
      <c r="S331" s="61" t="str">
        <f>IF(Table1[[#This Row],[Farnell]]="","", HYPERLINK(Table1[[#This Row],[Destination - Farnell]],_xlfn.CONCAT("Link (",Table1[[#This Row],[Farnell]],")")))</f>
        <v/>
      </c>
      <c r="T331" s="62" t="str">
        <f>_xlfn.CONCAT("https://ch.farnell.com/fr-CH/",Table1[[#This Row],[Farnell]])</f>
        <v>https://ch.farnell.com/fr-CH/</v>
      </c>
      <c r="U331" s="57"/>
      <c r="V331" s="59"/>
      <c r="W331" s="61" t="str">
        <f>IF(Table1[[#This Row],[Distrelec]]="","", HYPERLINK(Table1[[#This Row],[Destination - Distrelec]],_xlfn.CONCAT("Link (",Table1[[#This Row],[Distrelec]],")")))</f>
        <v/>
      </c>
      <c r="X331" s="62" t="str">
        <f>_xlfn.CONCAT("https://www.distrelec.ch/search?q=",Table1[[#This Row],[Distrelec]])</f>
        <v>https://www.distrelec.ch/search?q=</v>
      </c>
      <c r="Y331" s="57"/>
      <c r="Z331" s="59"/>
      <c r="AA331" s="61" t="str">
        <f>IF(Table1[[#This Row],[Conrad]]="","", HYPERLINK(Table1[[#This Row],[Destination - Conrad]],_xlfn.CONCAT("Link (",Table1[[#This Row],[Conrad]],")")))</f>
        <v/>
      </c>
      <c r="AB331" s="62"/>
      <c r="AC331" s="57"/>
      <c r="AD331" s="59"/>
      <c r="AE331" s="61" t="str">
        <f>IF(Table1[[#This Row],[Mouser]]="","", HYPERLINK(Table1[[#This Row],[Destination - Mouser]],_xlfn.CONCAT("Link (",Table1[[#This Row],[Mouser]],")")))</f>
        <v/>
      </c>
      <c r="AF331" s="62" t="str">
        <f>_xlfn.CONCAT("https://www.mouser.ch/ProductDetail/",Table1[[#This Row],[Mouser]])</f>
        <v>https://www.mouser.ch/ProductDetail/</v>
      </c>
      <c r="AG331" s="57"/>
      <c r="AH331" s="59"/>
      <c r="AI331" s="61" t="str">
        <f>IF(Table1[[#This Row],[Bauhaus]]="","", HYPERLINK(Table1[[#This Row],[Destination - Bauhaus]],_xlfn.CONCAT("Link (",Table1[[#This Row],[Bauhaus]],")")))</f>
        <v/>
      </c>
      <c r="AJ331" s="62" t="str">
        <f>_xlfn.CONCAT("https://www.bauhaus.ch/fr/search?query=",Table1[[#This Row],[Bauhaus]])</f>
        <v>https://www.bauhaus.ch/fr/search?query=</v>
      </c>
      <c r="AK331" s="59"/>
      <c r="AL331" s="59"/>
      <c r="AM331" s="61" t="str">
        <f>IF(Table1[[#This Row],[BricoEtLoisirs]]="","", HYPERLINK(Table1[[#This Row],[Destination - BricoEtLoisirs]],_xlfn.CONCAT("Link (",Table1[[#This Row],[BricoEtLoisirs]],")")))</f>
        <v/>
      </c>
      <c r="AN331" s="62" t="str">
        <f>_xlfn.CONCAT("https://bricoetloisirs.ch/p/",Table1[[#This Row],[BricoEtLoisirs]])</f>
        <v>https://bricoetloisirs.ch/p/</v>
      </c>
      <c r="AO331" s="57"/>
      <c r="AP331" s="59"/>
      <c r="AQ331" s="61" t="str">
        <f>IF(Table1[[#This Row],[Aliexpress]]="","", HYPERLINK(Table1[[#This Row],[Destination - Aliexpress]],_xlfn.CONCAT("Link (",Table1[[#This Row],[Aliexpress]],")")))</f>
        <v/>
      </c>
      <c r="AR331" s="62" t="str">
        <f>_xlfn.CONCAT("https://www.aliexpress.com/item/",Table1[[#This Row],[Aliexpress]],".html")</f>
        <v>https://www.aliexpress.com/item/.html</v>
      </c>
      <c r="AS331" s="57"/>
      <c r="AT331" s="59"/>
      <c r="AU331" s="61" t="str">
        <f>IF(Table1[[#This Row],[Banggood]]="","", HYPERLINK(Table1[[#This Row],[Destination - Banggood]],_xlfn.CONCAT("Link (",Table1[[#This Row],[Banggood]],")")))</f>
        <v/>
      </c>
      <c r="AV331" s="62" t="str">
        <f>_xlfn.CONCAT("https://www.banggood.com/search/",Table1[[#This Row],[Banggood]],".html")</f>
        <v>https://www.banggood.com/search/.html</v>
      </c>
      <c r="AW331" s="59" t="str">
        <f>IF(Table1[[#This Row],[Other]]&lt;&gt;"","Other","")</f>
        <v/>
      </c>
      <c r="AX331" s="57"/>
      <c r="AY331" s="59"/>
      <c r="AZ331" s="61" t="str">
        <f>IF(Table1[[#This Row],[Other]]="","",IF(Table1[[#This Row],[Destination - Other]]="","",HYPERLINK(Table1[[#This Row],[Destination - Other]],_xlfn.CONCAT("Link ("&amp;Table1[[#This Row],[Other]]&amp;")"))))</f>
        <v/>
      </c>
      <c r="BA331" s="59"/>
      <c r="BB331" s="58" t="str">
        <f>IF(AND( Table1[[#This Row],[Auto Order]]=1,Table1[[#This Row],[Obsolete]]=""),IF(Table1[[#This Row],[In stock]]&lt;Table1[[#This Row],[Min in stock]],1,""),"")</f>
        <v/>
      </c>
      <c r="BC331" s="64"/>
      <c r="BD331" s="66" t="str">
        <f>IF(Table1[[#This Row],[Obsolete]],Table1[[#This Row],[Art. Number]],"")</f>
        <v/>
      </c>
    </row>
    <row r="332" spans="1:56" x14ac:dyDescent="0.25">
      <c r="A332" s="65" t="s">
        <v>1972</v>
      </c>
      <c r="B332" s="57" t="s">
        <v>168</v>
      </c>
      <c r="C332" s="57" t="s">
        <v>97</v>
      </c>
      <c r="D332" s="57" t="s">
        <v>1973</v>
      </c>
      <c r="E332" s="57" t="s">
        <v>151</v>
      </c>
      <c r="F332" s="58">
        <v>0</v>
      </c>
      <c r="G332" s="58"/>
      <c r="H332" s="58"/>
      <c r="I33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RHM75DCT-ND</v>
      </c>
      <c r="J33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(RHM75DCT-ND)</v>
      </c>
      <c r="M332" s="57" t="s">
        <v>1974</v>
      </c>
      <c r="N332" s="59">
        <v>0.1</v>
      </c>
      <c r="O332" s="61" t="str">
        <f>IF(Table1[[#This Row],[Digikey]]="","", HYPERLINK(Table1[[#This Row],[Destination - Digikey]],_xlfn.CONCAT("Link (",Table1[[#This Row],[Digikey]],")")))</f>
        <v>Link (RHM75DCT-ND)</v>
      </c>
      <c r="P332" s="62" t="str">
        <f>_xlfn.CONCAT("https://www.digikey.ch/products/en?keywords=",Table1[[#This Row],[Digikey]])</f>
        <v>https://www.digikey.ch/products/en?keywords=RHM75DCT-ND</v>
      </c>
      <c r="Q332" s="57"/>
      <c r="R332" s="59"/>
      <c r="S332" s="61" t="str">
        <f>IF(Table1[[#This Row],[Farnell]]="","", HYPERLINK(Table1[[#This Row],[Destination - Farnell]],_xlfn.CONCAT("Link (",Table1[[#This Row],[Farnell]],")")))</f>
        <v/>
      </c>
      <c r="T332" s="62" t="str">
        <f>_xlfn.CONCAT("https://ch.farnell.com/fr-CH/",Table1[[#This Row],[Farnell]])</f>
        <v>https://ch.farnell.com/fr-CH/</v>
      </c>
      <c r="U332" s="57"/>
      <c r="V332" s="59"/>
      <c r="W332" s="61" t="str">
        <f>IF(Table1[[#This Row],[Distrelec]]="","", HYPERLINK(Table1[[#This Row],[Destination - Distrelec]],_xlfn.CONCAT("Link (",Table1[[#This Row],[Distrelec]],")")))</f>
        <v/>
      </c>
      <c r="X332" s="62" t="str">
        <f>_xlfn.CONCAT("https://www.distrelec.ch/search?q=",Table1[[#This Row],[Distrelec]])</f>
        <v>https://www.distrelec.ch/search?q=</v>
      </c>
      <c r="Y332" s="57"/>
      <c r="Z332" s="59"/>
      <c r="AA332" s="61" t="str">
        <f>IF(Table1[[#This Row],[Conrad]]="","", HYPERLINK(Table1[[#This Row],[Destination - Conrad]],_xlfn.CONCAT("Link (",Table1[[#This Row],[Conrad]],")")))</f>
        <v/>
      </c>
      <c r="AB332" s="62"/>
      <c r="AC332" s="57"/>
      <c r="AD332" s="59"/>
      <c r="AE332" s="61" t="str">
        <f>IF(Table1[[#This Row],[Mouser]]="","", HYPERLINK(Table1[[#This Row],[Destination - Mouser]],_xlfn.CONCAT("Link (",Table1[[#This Row],[Mouser]],")")))</f>
        <v/>
      </c>
      <c r="AF332" s="62" t="str">
        <f>_xlfn.CONCAT("https://www.mouser.ch/ProductDetail/",Table1[[#This Row],[Mouser]])</f>
        <v>https://www.mouser.ch/ProductDetail/</v>
      </c>
      <c r="AG332" s="57"/>
      <c r="AH332" s="59"/>
      <c r="AI332" s="61" t="str">
        <f>IF(Table1[[#This Row],[Bauhaus]]="","", HYPERLINK(Table1[[#This Row],[Destination - Bauhaus]],_xlfn.CONCAT("Link (",Table1[[#This Row],[Bauhaus]],")")))</f>
        <v/>
      </c>
      <c r="AJ332" s="62" t="str">
        <f>_xlfn.CONCAT("https://www.bauhaus.ch/fr/search?query=",Table1[[#This Row],[Bauhaus]])</f>
        <v>https://www.bauhaus.ch/fr/search?query=</v>
      </c>
      <c r="AK332" s="59"/>
      <c r="AL332" s="59"/>
      <c r="AM332" s="61" t="str">
        <f>IF(Table1[[#This Row],[BricoEtLoisirs]]="","", HYPERLINK(Table1[[#This Row],[Destination - BricoEtLoisirs]],_xlfn.CONCAT("Link (",Table1[[#This Row],[BricoEtLoisirs]],")")))</f>
        <v/>
      </c>
      <c r="AN332" s="62" t="str">
        <f>_xlfn.CONCAT("https://bricoetloisirs.ch/p/",Table1[[#This Row],[BricoEtLoisirs]])</f>
        <v>https://bricoetloisirs.ch/p/</v>
      </c>
      <c r="AO332" s="57"/>
      <c r="AP332" s="59"/>
      <c r="AQ332" s="61" t="str">
        <f>IF(Table1[[#This Row],[Aliexpress]]="","", HYPERLINK(Table1[[#This Row],[Destination - Aliexpress]],_xlfn.CONCAT("Link (",Table1[[#This Row],[Aliexpress]],")")))</f>
        <v/>
      </c>
      <c r="AR332" s="62" t="str">
        <f>_xlfn.CONCAT("https://www.aliexpress.com/item/",Table1[[#This Row],[Aliexpress]],".html")</f>
        <v>https://www.aliexpress.com/item/.html</v>
      </c>
      <c r="AS332" s="57"/>
      <c r="AT332" s="59"/>
      <c r="AU332" s="61" t="str">
        <f>IF(Table1[[#This Row],[Banggood]]="","", HYPERLINK(Table1[[#This Row],[Destination - Banggood]],_xlfn.CONCAT("Link (",Table1[[#This Row],[Banggood]],")")))</f>
        <v/>
      </c>
      <c r="AV332" s="62" t="str">
        <f>_xlfn.CONCAT("https://www.banggood.com/search/",Table1[[#This Row],[Banggood]],".html")</f>
        <v>https://www.banggood.com/search/.html</v>
      </c>
      <c r="AW332" s="59" t="str">
        <f>IF(Table1[[#This Row],[Other]]&lt;&gt;"","Other","")</f>
        <v/>
      </c>
      <c r="AX332" s="57"/>
      <c r="AY332" s="59"/>
      <c r="AZ332" s="61" t="str">
        <f>IF(Table1[[#This Row],[Other]]="","",IF(Table1[[#This Row],[Destination - Other]]="","",HYPERLINK(Table1[[#This Row],[Destination - Other]],_xlfn.CONCAT("Link ("&amp;Table1[[#This Row],[Other]]&amp;")"))))</f>
        <v/>
      </c>
      <c r="BA332" s="59"/>
      <c r="BB332" s="58" t="str">
        <f>IF(AND( Table1[[#This Row],[Auto Order]]=1,Table1[[#This Row],[Obsolete]]=""),IF(Table1[[#This Row],[In stock]]&lt;Table1[[#This Row],[Min in stock]],1,""),"")</f>
        <v/>
      </c>
      <c r="BC332" s="64"/>
      <c r="BD332" s="66" t="str">
        <f>IF(Table1[[#This Row],[Obsolete]],Table1[[#This Row],[Art. Number]],"")</f>
        <v/>
      </c>
    </row>
    <row r="333" spans="1:56" x14ac:dyDescent="0.25">
      <c r="A333" s="65" t="s">
        <v>1978</v>
      </c>
      <c r="B333" s="57" t="s">
        <v>168</v>
      </c>
      <c r="C333" s="57" t="s">
        <v>97</v>
      </c>
      <c r="D333" s="57" t="s">
        <v>1979</v>
      </c>
      <c r="E333" s="57" t="s">
        <v>151</v>
      </c>
      <c r="F333" s="58">
        <v>0</v>
      </c>
      <c r="G333" s="58"/>
      <c r="H333" s="58"/>
      <c r="I33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RHM750DCT-ND</v>
      </c>
      <c r="J33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(RHM750DCT-ND)</v>
      </c>
      <c r="M333" s="57" t="s">
        <v>1980</v>
      </c>
      <c r="N333" s="59">
        <v>0.1</v>
      </c>
      <c r="O333" s="61" t="str">
        <f>IF(Table1[[#This Row],[Digikey]]="","", HYPERLINK(Table1[[#This Row],[Destination - Digikey]],_xlfn.CONCAT("Link (",Table1[[#This Row],[Digikey]],")")))</f>
        <v>Link (RHM750DCT-ND)</v>
      </c>
      <c r="P333" s="62" t="str">
        <f>_xlfn.CONCAT("https://www.digikey.ch/products/en?keywords=",Table1[[#This Row],[Digikey]])</f>
        <v>https://www.digikey.ch/products/en?keywords=RHM750DCT-ND</v>
      </c>
      <c r="Q333" s="57"/>
      <c r="R333" s="59"/>
      <c r="S333" s="61" t="str">
        <f>IF(Table1[[#This Row],[Farnell]]="","", HYPERLINK(Table1[[#This Row],[Destination - Farnell]],_xlfn.CONCAT("Link (",Table1[[#This Row],[Farnell]],")")))</f>
        <v/>
      </c>
      <c r="T333" s="62" t="str">
        <f>_xlfn.CONCAT("https://ch.farnell.com/fr-CH/",Table1[[#This Row],[Farnell]])</f>
        <v>https://ch.farnell.com/fr-CH/</v>
      </c>
      <c r="U333" s="57"/>
      <c r="V333" s="59"/>
      <c r="W333" s="61" t="str">
        <f>IF(Table1[[#This Row],[Distrelec]]="","", HYPERLINK(Table1[[#This Row],[Destination - Distrelec]],_xlfn.CONCAT("Link (",Table1[[#This Row],[Distrelec]],")")))</f>
        <v/>
      </c>
      <c r="X333" s="62" t="str">
        <f>_xlfn.CONCAT("https://www.distrelec.ch/search?q=",Table1[[#This Row],[Distrelec]])</f>
        <v>https://www.distrelec.ch/search?q=</v>
      </c>
      <c r="Y333" s="57"/>
      <c r="Z333" s="59"/>
      <c r="AA333" s="61" t="str">
        <f>IF(Table1[[#This Row],[Conrad]]="","", HYPERLINK(Table1[[#This Row],[Destination - Conrad]],_xlfn.CONCAT("Link (",Table1[[#This Row],[Conrad]],")")))</f>
        <v/>
      </c>
      <c r="AB333" s="62"/>
      <c r="AC333" s="57"/>
      <c r="AD333" s="59"/>
      <c r="AE333" s="61" t="str">
        <f>IF(Table1[[#This Row],[Mouser]]="","", HYPERLINK(Table1[[#This Row],[Destination - Mouser]],_xlfn.CONCAT("Link (",Table1[[#This Row],[Mouser]],")")))</f>
        <v/>
      </c>
      <c r="AF333" s="62" t="str">
        <f>_xlfn.CONCAT("https://www.mouser.ch/ProductDetail/",Table1[[#This Row],[Mouser]])</f>
        <v>https://www.mouser.ch/ProductDetail/</v>
      </c>
      <c r="AG333" s="57"/>
      <c r="AH333" s="59"/>
      <c r="AI333" s="61" t="str">
        <f>IF(Table1[[#This Row],[Bauhaus]]="","", HYPERLINK(Table1[[#This Row],[Destination - Bauhaus]],_xlfn.CONCAT("Link (",Table1[[#This Row],[Bauhaus]],")")))</f>
        <v/>
      </c>
      <c r="AJ333" s="62" t="str">
        <f>_xlfn.CONCAT("https://www.bauhaus.ch/fr/search?query=",Table1[[#This Row],[Bauhaus]])</f>
        <v>https://www.bauhaus.ch/fr/search?query=</v>
      </c>
      <c r="AK333" s="59"/>
      <c r="AL333" s="59"/>
      <c r="AM333" s="61" t="str">
        <f>IF(Table1[[#This Row],[BricoEtLoisirs]]="","", HYPERLINK(Table1[[#This Row],[Destination - BricoEtLoisirs]],_xlfn.CONCAT("Link (",Table1[[#This Row],[BricoEtLoisirs]],")")))</f>
        <v/>
      </c>
      <c r="AN333" s="62" t="str">
        <f>_xlfn.CONCAT("https://bricoetloisirs.ch/p/",Table1[[#This Row],[BricoEtLoisirs]])</f>
        <v>https://bricoetloisirs.ch/p/</v>
      </c>
      <c r="AO333" s="57"/>
      <c r="AP333" s="59"/>
      <c r="AQ333" s="61" t="str">
        <f>IF(Table1[[#This Row],[Aliexpress]]="","", HYPERLINK(Table1[[#This Row],[Destination - Aliexpress]],_xlfn.CONCAT("Link (",Table1[[#This Row],[Aliexpress]],")")))</f>
        <v/>
      </c>
      <c r="AR333" s="62" t="str">
        <f>_xlfn.CONCAT("https://www.aliexpress.com/item/",Table1[[#This Row],[Aliexpress]],".html")</f>
        <v>https://www.aliexpress.com/item/.html</v>
      </c>
      <c r="AS333" s="57"/>
      <c r="AT333" s="59"/>
      <c r="AU333" s="61" t="str">
        <f>IF(Table1[[#This Row],[Banggood]]="","", HYPERLINK(Table1[[#This Row],[Destination - Banggood]],_xlfn.CONCAT("Link (",Table1[[#This Row],[Banggood]],")")))</f>
        <v/>
      </c>
      <c r="AV333" s="62" t="str">
        <f>_xlfn.CONCAT("https://www.banggood.com/search/",Table1[[#This Row],[Banggood]],".html")</f>
        <v>https://www.banggood.com/search/.html</v>
      </c>
      <c r="AW333" s="59" t="str">
        <f>IF(Table1[[#This Row],[Other]]&lt;&gt;"","Other","")</f>
        <v/>
      </c>
      <c r="AX333" s="57"/>
      <c r="AY333" s="59"/>
      <c r="AZ333" s="61" t="str">
        <f>IF(Table1[[#This Row],[Other]]="","",IF(Table1[[#This Row],[Destination - Other]]="","",HYPERLINK(Table1[[#This Row],[Destination - Other]],_xlfn.CONCAT("Link ("&amp;Table1[[#This Row],[Other]]&amp;")"))))</f>
        <v/>
      </c>
      <c r="BA333" s="59"/>
      <c r="BB333" s="58" t="str">
        <f>IF(AND( Table1[[#This Row],[Auto Order]]=1,Table1[[#This Row],[Obsolete]]=""),IF(Table1[[#This Row],[In stock]]&lt;Table1[[#This Row],[Min in stock]],1,""),"")</f>
        <v/>
      </c>
      <c r="BC333" s="64"/>
      <c r="BD333" s="66" t="str">
        <f>IF(Table1[[#This Row],[Obsolete]],Table1[[#This Row],[Art. Number]],"")</f>
        <v/>
      </c>
    </row>
    <row r="334" spans="1:56" x14ac:dyDescent="0.25">
      <c r="A334" s="65" t="s">
        <v>1984</v>
      </c>
      <c r="B334" s="57" t="s">
        <v>168</v>
      </c>
      <c r="C334" s="57" t="s">
        <v>97</v>
      </c>
      <c r="D334" s="57" t="s">
        <v>1985</v>
      </c>
      <c r="E334" s="57" t="s">
        <v>151</v>
      </c>
      <c r="F334" s="58">
        <v>0</v>
      </c>
      <c r="G334" s="58"/>
      <c r="H334" s="58"/>
      <c r="I33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RHM7.5KDCT-ND</v>
      </c>
      <c r="J33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(RHM7.5KDCT-ND)</v>
      </c>
      <c r="M334" s="57" t="s">
        <v>1986</v>
      </c>
      <c r="N334" s="59">
        <v>0.1</v>
      </c>
      <c r="O334" s="61" t="str">
        <f>IF(Table1[[#This Row],[Digikey]]="","", HYPERLINK(Table1[[#This Row],[Destination - Digikey]],_xlfn.CONCAT("Link (",Table1[[#This Row],[Digikey]],")")))</f>
        <v>Link (RHM7.5KDCT-ND)</v>
      </c>
      <c r="P334" s="62" t="str">
        <f>_xlfn.CONCAT("https://www.digikey.ch/products/en?keywords=",Table1[[#This Row],[Digikey]])</f>
        <v>https://www.digikey.ch/products/en?keywords=RHM7.5KDCT-ND</v>
      </c>
      <c r="Q334" s="57"/>
      <c r="R334" s="59"/>
      <c r="S334" s="61" t="str">
        <f>IF(Table1[[#This Row],[Farnell]]="","", HYPERLINK(Table1[[#This Row],[Destination - Farnell]],_xlfn.CONCAT("Link (",Table1[[#This Row],[Farnell]],")")))</f>
        <v/>
      </c>
      <c r="T334" s="62" t="str">
        <f>_xlfn.CONCAT("https://ch.farnell.com/fr-CH/",Table1[[#This Row],[Farnell]])</f>
        <v>https://ch.farnell.com/fr-CH/</v>
      </c>
      <c r="U334" s="57"/>
      <c r="V334" s="59"/>
      <c r="W334" s="61" t="str">
        <f>IF(Table1[[#This Row],[Distrelec]]="","", HYPERLINK(Table1[[#This Row],[Destination - Distrelec]],_xlfn.CONCAT("Link (",Table1[[#This Row],[Distrelec]],")")))</f>
        <v/>
      </c>
      <c r="X334" s="62" t="str">
        <f>_xlfn.CONCAT("https://www.distrelec.ch/search?q=",Table1[[#This Row],[Distrelec]])</f>
        <v>https://www.distrelec.ch/search?q=</v>
      </c>
      <c r="Y334" s="57"/>
      <c r="Z334" s="59"/>
      <c r="AA334" s="61" t="str">
        <f>IF(Table1[[#This Row],[Conrad]]="","", HYPERLINK(Table1[[#This Row],[Destination - Conrad]],_xlfn.CONCAT("Link (",Table1[[#This Row],[Conrad]],")")))</f>
        <v/>
      </c>
      <c r="AB334" s="62"/>
      <c r="AC334" s="57"/>
      <c r="AD334" s="59"/>
      <c r="AE334" s="61" t="str">
        <f>IF(Table1[[#This Row],[Mouser]]="","", HYPERLINK(Table1[[#This Row],[Destination - Mouser]],_xlfn.CONCAT("Link (",Table1[[#This Row],[Mouser]],")")))</f>
        <v/>
      </c>
      <c r="AF334" s="62" t="str">
        <f>_xlfn.CONCAT("https://www.mouser.ch/ProductDetail/",Table1[[#This Row],[Mouser]])</f>
        <v>https://www.mouser.ch/ProductDetail/</v>
      </c>
      <c r="AG334" s="57"/>
      <c r="AH334" s="59"/>
      <c r="AI334" s="61" t="str">
        <f>IF(Table1[[#This Row],[Bauhaus]]="","", HYPERLINK(Table1[[#This Row],[Destination - Bauhaus]],_xlfn.CONCAT("Link (",Table1[[#This Row],[Bauhaus]],")")))</f>
        <v/>
      </c>
      <c r="AJ334" s="62" t="str">
        <f>_xlfn.CONCAT("https://www.bauhaus.ch/fr/search?query=",Table1[[#This Row],[Bauhaus]])</f>
        <v>https://www.bauhaus.ch/fr/search?query=</v>
      </c>
      <c r="AK334" s="59"/>
      <c r="AL334" s="59"/>
      <c r="AM334" s="61" t="str">
        <f>IF(Table1[[#This Row],[BricoEtLoisirs]]="","", HYPERLINK(Table1[[#This Row],[Destination - BricoEtLoisirs]],_xlfn.CONCAT("Link (",Table1[[#This Row],[BricoEtLoisirs]],")")))</f>
        <v/>
      </c>
      <c r="AN334" s="62" t="str">
        <f>_xlfn.CONCAT("https://bricoetloisirs.ch/p/",Table1[[#This Row],[BricoEtLoisirs]])</f>
        <v>https://bricoetloisirs.ch/p/</v>
      </c>
      <c r="AO334" s="57"/>
      <c r="AP334" s="59"/>
      <c r="AQ334" s="61" t="str">
        <f>IF(Table1[[#This Row],[Aliexpress]]="","", HYPERLINK(Table1[[#This Row],[Destination - Aliexpress]],_xlfn.CONCAT("Link (",Table1[[#This Row],[Aliexpress]],")")))</f>
        <v/>
      </c>
      <c r="AR334" s="62" t="str">
        <f>_xlfn.CONCAT("https://www.aliexpress.com/item/",Table1[[#This Row],[Aliexpress]],".html")</f>
        <v>https://www.aliexpress.com/item/.html</v>
      </c>
      <c r="AS334" s="57"/>
      <c r="AT334" s="59"/>
      <c r="AU334" s="61" t="str">
        <f>IF(Table1[[#This Row],[Banggood]]="","", HYPERLINK(Table1[[#This Row],[Destination - Banggood]],_xlfn.CONCAT("Link (",Table1[[#This Row],[Banggood]],")")))</f>
        <v/>
      </c>
      <c r="AV334" s="62" t="str">
        <f>_xlfn.CONCAT("https://www.banggood.com/search/",Table1[[#This Row],[Banggood]],".html")</f>
        <v>https://www.banggood.com/search/.html</v>
      </c>
      <c r="AW334" s="59" t="str">
        <f>IF(Table1[[#This Row],[Other]]&lt;&gt;"","Other","")</f>
        <v/>
      </c>
      <c r="AX334" s="57"/>
      <c r="AY334" s="59"/>
      <c r="AZ334" s="61" t="str">
        <f>IF(Table1[[#This Row],[Other]]="","",IF(Table1[[#This Row],[Destination - Other]]="","",HYPERLINK(Table1[[#This Row],[Destination - Other]],_xlfn.CONCAT("Link ("&amp;Table1[[#This Row],[Other]]&amp;")"))))</f>
        <v/>
      </c>
      <c r="BA334" s="59"/>
      <c r="BB334" s="58" t="str">
        <f>IF(AND( Table1[[#This Row],[Auto Order]]=1,Table1[[#This Row],[Obsolete]]=""),IF(Table1[[#This Row],[In stock]]&lt;Table1[[#This Row],[Min in stock]],1,""),"")</f>
        <v/>
      </c>
      <c r="BC334" s="64"/>
      <c r="BD334" s="66" t="str">
        <f>IF(Table1[[#This Row],[Obsolete]],Table1[[#This Row],[Art. Number]],"")</f>
        <v/>
      </c>
    </row>
    <row r="335" spans="1:56" x14ac:dyDescent="0.25">
      <c r="A335" s="65" t="s">
        <v>1990</v>
      </c>
      <c r="B335" s="57" t="s">
        <v>168</v>
      </c>
      <c r="C335" s="57" t="s">
        <v>97</v>
      </c>
      <c r="D335" s="57" t="s">
        <v>1991</v>
      </c>
      <c r="E335" s="57" t="s">
        <v>151</v>
      </c>
      <c r="F335" s="58">
        <v>0</v>
      </c>
      <c r="G335" s="58"/>
      <c r="H335" s="58"/>
      <c r="I33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RHM75KDCT-ND</v>
      </c>
      <c r="J33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(RHM75KDCT-ND)</v>
      </c>
      <c r="M335" s="57" t="s">
        <v>1992</v>
      </c>
      <c r="N335" s="59">
        <v>0.1</v>
      </c>
      <c r="O335" s="61" t="str">
        <f>IF(Table1[[#This Row],[Digikey]]="","", HYPERLINK(Table1[[#This Row],[Destination - Digikey]],_xlfn.CONCAT("Link (",Table1[[#This Row],[Digikey]],")")))</f>
        <v>Link (RHM75KDCT-ND)</v>
      </c>
      <c r="P335" s="62" t="str">
        <f>_xlfn.CONCAT("https://www.digikey.ch/products/en?keywords=",Table1[[#This Row],[Digikey]])</f>
        <v>https://www.digikey.ch/products/en?keywords=RHM75KDCT-ND</v>
      </c>
      <c r="Q335" s="57"/>
      <c r="R335" s="59"/>
      <c r="S335" s="61" t="str">
        <f>IF(Table1[[#This Row],[Farnell]]="","", HYPERLINK(Table1[[#This Row],[Destination - Farnell]],_xlfn.CONCAT("Link (",Table1[[#This Row],[Farnell]],")")))</f>
        <v/>
      </c>
      <c r="T335" s="62" t="str">
        <f>_xlfn.CONCAT("https://ch.farnell.com/fr-CH/",Table1[[#This Row],[Farnell]])</f>
        <v>https://ch.farnell.com/fr-CH/</v>
      </c>
      <c r="U335" s="57"/>
      <c r="V335" s="59"/>
      <c r="W335" s="61" t="str">
        <f>IF(Table1[[#This Row],[Distrelec]]="","", HYPERLINK(Table1[[#This Row],[Destination - Distrelec]],_xlfn.CONCAT("Link (",Table1[[#This Row],[Distrelec]],")")))</f>
        <v/>
      </c>
      <c r="X335" s="62" t="str">
        <f>_xlfn.CONCAT("https://www.distrelec.ch/search?q=",Table1[[#This Row],[Distrelec]])</f>
        <v>https://www.distrelec.ch/search?q=</v>
      </c>
      <c r="Y335" s="57"/>
      <c r="Z335" s="59"/>
      <c r="AA335" s="61" t="str">
        <f>IF(Table1[[#This Row],[Conrad]]="","", HYPERLINK(Table1[[#This Row],[Destination - Conrad]],_xlfn.CONCAT("Link (",Table1[[#This Row],[Conrad]],")")))</f>
        <v/>
      </c>
      <c r="AB335" s="62"/>
      <c r="AC335" s="57"/>
      <c r="AD335" s="59"/>
      <c r="AE335" s="61" t="str">
        <f>IF(Table1[[#This Row],[Mouser]]="","", HYPERLINK(Table1[[#This Row],[Destination - Mouser]],_xlfn.CONCAT("Link (",Table1[[#This Row],[Mouser]],")")))</f>
        <v/>
      </c>
      <c r="AF335" s="62" t="str">
        <f>_xlfn.CONCAT("https://www.mouser.ch/ProductDetail/",Table1[[#This Row],[Mouser]])</f>
        <v>https://www.mouser.ch/ProductDetail/</v>
      </c>
      <c r="AG335" s="57"/>
      <c r="AH335" s="59"/>
      <c r="AI335" s="61" t="str">
        <f>IF(Table1[[#This Row],[Bauhaus]]="","", HYPERLINK(Table1[[#This Row],[Destination - Bauhaus]],_xlfn.CONCAT("Link (",Table1[[#This Row],[Bauhaus]],")")))</f>
        <v/>
      </c>
      <c r="AJ335" s="62" t="str">
        <f>_xlfn.CONCAT("https://www.bauhaus.ch/fr/search?query=",Table1[[#This Row],[Bauhaus]])</f>
        <v>https://www.bauhaus.ch/fr/search?query=</v>
      </c>
      <c r="AK335" s="59"/>
      <c r="AL335" s="59"/>
      <c r="AM335" s="61" t="str">
        <f>IF(Table1[[#This Row],[BricoEtLoisirs]]="","", HYPERLINK(Table1[[#This Row],[Destination - BricoEtLoisirs]],_xlfn.CONCAT("Link (",Table1[[#This Row],[BricoEtLoisirs]],")")))</f>
        <v/>
      </c>
      <c r="AN335" s="62" t="str">
        <f>_xlfn.CONCAT("https://bricoetloisirs.ch/p/",Table1[[#This Row],[BricoEtLoisirs]])</f>
        <v>https://bricoetloisirs.ch/p/</v>
      </c>
      <c r="AO335" s="57"/>
      <c r="AP335" s="59"/>
      <c r="AQ335" s="61" t="str">
        <f>IF(Table1[[#This Row],[Aliexpress]]="","", HYPERLINK(Table1[[#This Row],[Destination - Aliexpress]],_xlfn.CONCAT("Link (",Table1[[#This Row],[Aliexpress]],")")))</f>
        <v/>
      </c>
      <c r="AR335" s="62" t="str">
        <f>_xlfn.CONCAT("https://www.aliexpress.com/item/",Table1[[#This Row],[Aliexpress]],".html")</f>
        <v>https://www.aliexpress.com/item/.html</v>
      </c>
      <c r="AS335" s="57"/>
      <c r="AT335" s="59"/>
      <c r="AU335" s="61" t="str">
        <f>IF(Table1[[#This Row],[Banggood]]="","", HYPERLINK(Table1[[#This Row],[Destination - Banggood]],_xlfn.CONCAT("Link (",Table1[[#This Row],[Banggood]],")")))</f>
        <v/>
      </c>
      <c r="AV335" s="62" t="str">
        <f>_xlfn.CONCAT("https://www.banggood.com/search/",Table1[[#This Row],[Banggood]],".html")</f>
        <v>https://www.banggood.com/search/.html</v>
      </c>
      <c r="AW335" s="59" t="str">
        <f>IF(Table1[[#This Row],[Other]]&lt;&gt;"","Other","")</f>
        <v/>
      </c>
      <c r="AX335" s="57"/>
      <c r="AY335" s="59"/>
      <c r="AZ335" s="61" t="str">
        <f>IF(Table1[[#This Row],[Other]]="","",IF(Table1[[#This Row],[Destination - Other]]="","",HYPERLINK(Table1[[#This Row],[Destination - Other]],_xlfn.CONCAT("Link ("&amp;Table1[[#This Row],[Other]]&amp;")"))))</f>
        <v/>
      </c>
      <c r="BA335" s="59"/>
      <c r="BB335" s="58" t="str">
        <f>IF(AND( Table1[[#This Row],[Auto Order]]=1,Table1[[#This Row],[Obsolete]]=""),IF(Table1[[#This Row],[In stock]]&lt;Table1[[#This Row],[Min in stock]],1,""),"")</f>
        <v/>
      </c>
      <c r="BC335" s="64"/>
      <c r="BD335" s="66" t="str">
        <f>IF(Table1[[#This Row],[Obsolete]],Table1[[#This Row],[Art. Number]],"")</f>
        <v/>
      </c>
    </row>
    <row r="336" spans="1:56" x14ac:dyDescent="0.25">
      <c r="A336" s="65" t="s">
        <v>1996</v>
      </c>
      <c r="B336" s="57" t="s">
        <v>168</v>
      </c>
      <c r="C336" s="57" t="s">
        <v>97</v>
      </c>
      <c r="D336" s="57" t="s">
        <v>1997</v>
      </c>
      <c r="E336" s="57" t="s">
        <v>151</v>
      </c>
      <c r="F336" s="58">
        <v>0</v>
      </c>
      <c r="G336" s="58"/>
      <c r="H336" s="58"/>
      <c r="I33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RHM750KDCT-ND</v>
      </c>
      <c r="J33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(RHM750KDCT-ND)</v>
      </c>
      <c r="M336" s="57" t="s">
        <v>1998</v>
      </c>
      <c r="N336" s="59">
        <v>0.1</v>
      </c>
      <c r="O336" s="61" t="str">
        <f>IF(Table1[[#This Row],[Digikey]]="","", HYPERLINK(Table1[[#This Row],[Destination - Digikey]],_xlfn.CONCAT("Link (",Table1[[#This Row],[Digikey]],")")))</f>
        <v>Link (RHM750KDCT-ND)</v>
      </c>
      <c r="P336" s="62" t="str">
        <f>_xlfn.CONCAT("https://www.digikey.ch/products/en?keywords=",Table1[[#This Row],[Digikey]])</f>
        <v>https://www.digikey.ch/products/en?keywords=RHM750KDCT-ND</v>
      </c>
      <c r="Q336" s="57"/>
      <c r="R336" s="59"/>
      <c r="S336" s="61" t="str">
        <f>IF(Table1[[#This Row],[Farnell]]="","", HYPERLINK(Table1[[#This Row],[Destination - Farnell]],_xlfn.CONCAT("Link (",Table1[[#This Row],[Farnell]],")")))</f>
        <v/>
      </c>
      <c r="T336" s="62" t="str">
        <f>_xlfn.CONCAT("https://ch.farnell.com/fr-CH/",Table1[[#This Row],[Farnell]])</f>
        <v>https://ch.farnell.com/fr-CH/</v>
      </c>
      <c r="U336" s="57"/>
      <c r="V336" s="59"/>
      <c r="W336" s="61" t="str">
        <f>IF(Table1[[#This Row],[Distrelec]]="","", HYPERLINK(Table1[[#This Row],[Destination - Distrelec]],_xlfn.CONCAT("Link (",Table1[[#This Row],[Distrelec]],")")))</f>
        <v/>
      </c>
      <c r="X336" s="62" t="str">
        <f>_xlfn.CONCAT("https://www.distrelec.ch/search?q=",Table1[[#This Row],[Distrelec]])</f>
        <v>https://www.distrelec.ch/search?q=</v>
      </c>
      <c r="Y336" s="57"/>
      <c r="Z336" s="59"/>
      <c r="AA336" s="61" t="str">
        <f>IF(Table1[[#This Row],[Conrad]]="","", HYPERLINK(Table1[[#This Row],[Destination - Conrad]],_xlfn.CONCAT("Link (",Table1[[#This Row],[Conrad]],")")))</f>
        <v/>
      </c>
      <c r="AB336" s="62"/>
      <c r="AC336" s="57"/>
      <c r="AD336" s="59"/>
      <c r="AE336" s="61" t="str">
        <f>IF(Table1[[#This Row],[Mouser]]="","", HYPERLINK(Table1[[#This Row],[Destination - Mouser]],_xlfn.CONCAT("Link (",Table1[[#This Row],[Mouser]],")")))</f>
        <v/>
      </c>
      <c r="AF336" s="62" t="str">
        <f>_xlfn.CONCAT("https://www.mouser.ch/ProductDetail/",Table1[[#This Row],[Mouser]])</f>
        <v>https://www.mouser.ch/ProductDetail/</v>
      </c>
      <c r="AG336" s="57"/>
      <c r="AH336" s="59"/>
      <c r="AI336" s="61" t="str">
        <f>IF(Table1[[#This Row],[Bauhaus]]="","", HYPERLINK(Table1[[#This Row],[Destination - Bauhaus]],_xlfn.CONCAT("Link (",Table1[[#This Row],[Bauhaus]],")")))</f>
        <v/>
      </c>
      <c r="AJ336" s="62" t="str">
        <f>_xlfn.CONCAT("https://www.bauhaus.ch/fr/search?query=",Table1[[#This Row],[Bauhaus]])</f>
        <v>https://www.bauhaus.ch/fr/search?query=</v>
      </c>
      <c r="AK336" s="59"/>
      <c r="AL336" s="59"/>
      <c r="AM336" s="61" t="str">
        <f>IF(Table1[[#This Row],[BricoEtLoisirs]]="","", HYPERLINK(Table1[[#This Row],[Destination - BricoEtLoisirs]],_xlfn.CONCAT("Link (",Table1[[#This Row],[BricoEtLoisirs]],")")))</f>
        <v/>
      </c>
      <c r="AN336" s="62" t="str">
        <f>_xlfn.CONCAT("https://bricoetloisirs.ch/p/",Table1[[#This Row],[BricoEtLoisirs]])</f>
        <v>https://bricoetloisirs.ch/p/</v>
      </c>
      <c r="AO336" s="57"/>
      <c r="AP336" s="59"/>
      <c r="AQ336" s="61" t="str">
        <f>IF(Table1[[#This Row],[Aliexpress]]="","", HYPERLINK(Table1[[#This Row],[Destination - Aliexpress]],_xlfn.CONCAT("Link (",Table1[[#This Row],[Aliexpress]],")")))</f>
        <v/>
      </c>
      <c r="AR336" s="62" t="str">
        <f>_xlfn.CONCAT("https://www.aliexpress.com/item/",Table1[[#This Row],[Aliexpress]],".html")</f>
        <v>https://www.aliexpress.com/item/.html</v>
      </c>
      <c r="AS336" s="57"/>
      <c r="AT336" s="59"/>
      <c r="AU336" s="61" t="str">
        <f>IF(Table1[[#This Row],[Banggood]]="","", HYPERLINK(Table1[[#This Row],[Destination - Banggood]],_xlfn.CONCAT("Link (",Table1[[#This Row],[Banggood]],")")))</f>
        <v/>
      </c>
      <c r="AV336" s="62" t="str">
        <f>_xlfn.CONCAT("https://www.banggood.com/search/",Table1[[#This Row],[Banggood]],".html")</f>
        <v>https://www.banggood.com/search/.html</v>
      </c>
      <c r="AW336" s="59" t="str">
        <f>IF(Table1[[#This Row],[Other]]&lt;&gt;"","Other","")</f>
        <v/>
      </c>
      <c r="AX336" s="57"/>
      <c r="AY336" s="59"/>
      <c r="AZ336" s="61" t="str">
        <f>IF(Table1[[#This Row],[Other]]="","",IF(Table1[[#This Row],[Destination - Other]]="","",HYPERLINK(Table1[[#This Row],[Destination - Other]],_xlfn.CONCAT("Link ("&amp;Table1[[#This Row],[Other]]&amp;")"))))</f>
        <v/>
      </c>
      <c r="BA336" s="59"/>
      <c r="BB336" s="58" t="str">
        <f>IF(AND( Table1[[#This Row],[Auto Order]]=1,Table1[[#This Row],[Obsolete]]=""),IF(Table1[[#This Row],[In stock]]&lt;Table1[[#This Row],[Min in stock]],1,""),"")</f>
        <v/>
      </c>
      <c r="BC336" s="64"/>
      <c r="BD336" s="66" t="str">
        <f>IF(Table1[[#This Row],[Obsolete]],Table1[[#This Row],[Art. Number]],"")</f>
        <v/>
      </c>
    </row>
    <row r="337" spans="1:56" x14ac:dyDescent="0.25">
      <c r="A337" s="65" t="s">
        <v>2002</v>
      </c>
      <c r="B337" s="57" t="s">
        <v>168</v>
      </c>
      <c r="C337" s="57" t="s">
        <v>97</v>
      </c>
      <c r="D337" s="57" t="s">
        <v>2003</v>
      </c>
      <c r="E337" s="57" t="s">
        <v>151</v>
      </c>
      <c r="F337" s="58">
        <v>0</v>
      </c>
      <c r="G337" s="58"/>
      <c r="H337" s="58"/>
      <c r="I33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RHM7.5MDCT-ND</v>
      </c>
      <c r="J33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(RHM7.5MDCT-ND)</v>
      </c>
      <c r="M337" s="57" t="s">
        <v>2004</v>
      </c>
      <c r="N337" s="59">
        <v>0.1</v>
      </c>
      <c r="O337" s="61" t="str">
        <f>IF(Table1[[#This Row],[Digikey]]="","", HYPERLINK(Table1[[#This Row],[Destination - Digikey]],_xlfn.CONCAT("Link (",Table1[[#This Row],[Digikey]],")")))</f>
        <v>Link (RHM7.5MDCT-ND)</v>
      </c>
      <c r="P337" s="62" t="str">
        <f>_xlfn.CONCAT("https://www.digikey.ch/products/en?keywords=",Table1[[#This Row],[Digikey]])</f>
        <v>https://www.digikey.ch/products/en?keywords=RHM7.5MDCT-ND</v>
      </c>
      <c r="Q337" s="57"/>
      <c r="R337" s="59"/>
      <c r="S337" s="61" t="str">
        <f>IF(Table1[[#This Row],[Farnell]]="","", HYPERLINK(Table1[[#This Row],[Destination - Farnell]],_xlfn.CONCAT("Link (",Table1[[#This Row],[Farnell]],")")))</f>
        <v/>
      </c>
      <c r="T337" s="62" t="str">
        <f>_xlfn.CONCAT("https://ch.farnell.com/fr-CH/",Table1[[#This Row],[Farnell]])</f>
        <v>https://ch.farnell.com/fr-CH/</v>
      </c>
      <c r="U337" s="57"/>
      <c r="V337" s="59"/>
      <c r="W337" s="61" t="str">
        <f>IF(Table1[[#This Row],[Distrelec]]="","", HYPERLINK(Table1[[#This Row],[Destination - Distrelec]],_xlfn.CONCAT("Link (",Table1[[#This Row],[Distrelec]],")")))</f>
        <v/>
      </c>
      <c r="X337" s="62" t="str">
        <f>_xlfn.CONCAT("https://www.distrelec.ch/search?q=",Table1[[#This Row],[Distrelec]])</f>
        <v>https://www.distrelec.ch/search?q=</v>
      </c>
      <c r="Y337" s="57"/>
      <c r="Z337" s="59"/>
      <c r="AA337" s="61" t="str">
        <f>IF(Table1[[#This Row],[Conrad]]="","", HYPERLINK(Table1[[#This Row],[Destination - Conrad]],_xlfn.CONCAT("Link (",Table1[[#This Row],[Conrad]],")")))</f>
        <v/>
      </c>
      <c r="AB337" s="62"/>
      <c r="AC337" s="57"/>
      <c r="AD337" s="59"/>
      <c r="AE337" s="61" t="str">
        <f>IF(Table1[[#This Row],[Mouser]]="","", HYPERLINK(Table1[[#This Row],[Destination - Mouser]],_xlfn.CONCAT("Link (",Table1[[#This Row],[Mouser]],")")))</f>
        <v/>
      </c>
      <c r="AF337" s="62" t="str">
        <f>_xlfn.CONCAT("https://www.mouser.ch/ProductDetail/",Table1[[#This Row],[Mouser]])</f>
        <v>https://www.mouser.ch/ProductDetail/</v>
      </c>
      <c r="AG337" s="57"/>
      <c r="AH337" s="59"/>
      <c r="AI337" s="61" t="str">
        <f>IF(Table1[[#This Row],[Bauhaus]]="","", HYPERLINK(Table1[[#This Row],[Destination - Bauhaus]],_xlfn.CONCAT("Link (",Table1[[#This Row],[Bauhaus]],")")))</f>
        <v/>
      </c>
      <c r="AJ337" s="62" t="str">
        <f>_xlfn.CONCAT("https://www.bauhaus.ch/fr/search?query=",Table1[[#This Row],[Bauhaus]])</f>
        <v>https://www.bauhaus.ch/fr/search?query=</v>
      </c>
      <c r="AK337" s="59"/>
      <c r="AL337" s="59"/>
      <c r="AM337" s="61" t="str">
        <f>IF(Table1[[#This Row],[BricoEtLoisirs]]="","", HYPERLINK(Table1[[#This Row],[Destination - BricoEtLoisirs]],_xlfn.CONCAT("Link (",Table1[[#This Row],[BricoEtLoisirs]],")")))</f>
        <v/>
      </c>
      <c r="AN337" s="62" t="str">
        <f>_xlfn.CONCAT("https://bricoetloisirs.ch/p/",Table1[[#This Row],[BricoEtLoisirs]])</f>
        <v>https://bricoetloisirs.ch/p/</v>
      </c>
      <c r="AO337" s="57"/>
      <c r="AP337" s="59"/>
      <c r="AQ337" s="61" t="str">
        <f>IF(Table1[[#This Row],[Aliexpress]]="","", HYPERLINK(Table1[[#This Row],[Destination - Aliexpress]],_xlfn.CONCAT("Link (",Table1[[#This Row],[Aliexpress]],")")))</f>
        <v/>
      </c>
      <c r="AR337" s="62" t="str">
        <f>_xlfn.CONCAT("https://www.aliexpress.com/item/",Table1[[#This Row],[Aliexpress]],".html")</f>
        <v>https://www.aliexpress.com/item/.html</v>
      </c>
      <c r="AS337" s="57"/>
      <c r="AT337" s="59"/>
      <c r="AU337" s="61" t="str">
        <f>IF(Table1[[#This Row],[Banggood]]="","", HYPERLINK(Table1[[#This Row],[Destination - Banggood]],_xlfn.CONCAT("Link (",Table1[[#This Row],[Banggood]],")")))</f>
        <v/>
      </c>
      <c r="AV337" s="62" t="str">
        <f>_xlfn.CONCAT("https://www.banggood.com/search/",Table1[[#This Row],[Banggood]],".html")</f>
        <v>https://www.banggood.com/search/.html</v>
      </c>
      <c r="AW337" s="59" t="str">
        <f>IF(Table1[[#This Row],[Other]]&lt;&gt;"","Other","")</f>
        <v/>
      </c>
      <c r="AX337" s="57"/>
      <c r="AY337" s="59"/>
      <c r="AZ337" s="61" t="str">
        <f>IF(Table1[[#This Row],[Other]]="","",IF(Table1[[#This Row],[Destination - Other]]="","",HYPERLINK(Table1[[#This Row],[Destination - Other]],_xlfn.CONCAT("Link ("&amp;Table1[[#This Row],[Other]]&amp;")"))))</f>
        <v/>
      </c>
      <c r="BA337" s="59"/>
      <c r="BB337" s="58" t="str">
        <f>IF(AND( Table1[[#This Row],[Auto Order]]=1,Table1[[#This Row],[Obsolete]]=""),IF(Table1[[#This Row],[In stock]]&lt;Table1[[#This Row],[Min in stock]],1,""),"")</f>
        <v/>
      </c>
      <c r="BC337" s="64"/>
      <c r="BD337" s="66" t="str">
        <f>IF(Table1[[#This Row],[Obsolete]],Table1[[#This Row],[Art. Number]],"")</f>
        <v/>
      </c>
    </row>
    <row r="338" spans="1:56" x14ac:dyDescent="0.25">
      <c r="A338" s="65" t="s">
        <v>2008</v>
      </c>
      <c r="B338" s="57" t="s">
        <v>168</v>
      </c>
      <c r="C338" s="57" t="s">
        <v>97</v>
      </c>
      <c r="D338" s="57" t="s">
        <v>2009</v>
      </c>
      <c r="E338" s="57" t="s">
        <v>151</v>
      </c>
      <c r="F338" s="58">
        <v>0</v>
      </c>
      <c r="G338" s="58"/>
      <c r="H338" s="58"/>
      <c r="I33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RHM7.5DCT-ND</v>
      </c>
      <c r="J33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(RHM7.5DCT-ND)</v>
      </c>
      <c r="M338" s="57" t="s">
        <v>2010</v>
      </c>
      <c r="N338" s="59">
        <v>0.1</v>
      </c>
      <c r="O338" s="61" t="str">
        <f>IF(Table1[[#This Row],[Digikey]]="","", HYPERLINK(Table1[[#This Row],[Destination - Digikey]],_xlfn.CONCAT("Link (",Table1[[#This Row],[Digikey]],")")))</f>
        <v>Link (RHM7.5DCT-ND)</v>
      </c>
      <c r="P338" s="62" t="str">
        <f>_xlfn.CONCAT("https://www.digikey.ch/products/en?keywords=",Table1[[#This Row],[Digikey]])</f>
        <v>https://www.digikey.ch/products/en?keywords=RHM7.5DCT-ND</v>
      </c>
      <c r="Q338" s="57"/>
      <c r="R338" s="59"/>
      <c r="S338" s="61" t="str">
        <f>IF(Table1[[#This Row],[Farnell]]="","", HYPERLINK(Table1[[#This Row],[Destination - Farnell]],_xlfn.CONCAT("Link (",Table1[[#This Row],[Farnell]],")")))</f>
        <v/>
      </c>
      <c r="T338" s="62" t="str">
        <f>_xlfn.CONCAT("https://ch.farnell.com/fr-CH/",Table1[[#This Row],[Farnell]])</f>
        <v>https://ch.farnell.com/fr-CH/</v>
      </c>
      <c r="U338" s="57"/>
      <c r="V338" s="59"/>
      <c r="W338" s="61" t="str">
        <f>IF(Table1[[#This Row],[Distrelec]]="","", HYPERLINK(Table1[[#This Row],[Destination - Distrelec]],_xlfn.CONCAT("Link (",Table1[[#This Row],[Distrelec]],")")))</f>
        <v/>
      </c>
      <c r="X338" s="62" t="str">
        <f>_xlfn.CONCAT("https://www.distrelec.ch/search?q=",Table1[[#This Row],[Distrelec]])</f>
        <v>https://www.distrelec.ch/search?q=</v>
      </c>
      <c r="Y338" s="57"/>
      <c r="Z338" s="59"/>
      <c r="AA338" s="61" t="str">
        <f>IF(Table1[[#This Row],[Conrad]]="","", HYPERLINK(Table1[[#This Row],[Destination - Conrad]],_xlfn.CONCAT("Link (",Table1[[#This Row],[Conrad]],")")))</f>
        <v/>
      </c>
      <c r="AB338" s="62"/>
      <c r="AC338" s="57"/>
      <c r="AD338" s="59"/>
      <c r="AE338" s="61" t="str">
        <f>IF(Table1[[#This Row],[Mouser]]="","", HYPERLINK(Table1[[#This Row],[Destination - Mouser]],_xlfn.CONCAT("Link (",Table1[[#This Row],[Mouser]],")")))</f>
        <v/>
      </c>
      <c r="AF338" s="62" t="str">
        <f>_xlfn.CONCAT("https://www.mouser.ch/ProductDetail/",Table1[[#This Row],[Mouser]])</f>
        <v>https://www.mouser.ch/ProductDetail/</v>
      </c>
      <c r="AG338" s="57"/>
      <c r="AH338" s="59"/>
      <c r="AI338" s="61" t="str">
        <f>IF(Table1[[#This Row],[Bauhaus]]="","", HYPERLINK(Table1[[#This Row],[Destination - Bauhaus]],_xlfn.CONCAT("Link (",Table1[[#This Row],[Bauhaus]],")")))</f>
        <v/>
      </c>
      <c r="AJ338" s="62" t="str">
        <f>_xlfn.CONCAT("https://www.bauhaus.ch/fr/search?query=",Table1[[#This Row],[Bauhaus]])</f>
        <v>https://www.bauhaus.ch/fr/search?query=</v>
      </c>
      <c r="AK338" s="59"/>
      <c r="AL338" s="59"/>
      <c r="AM338" s="61" t="str">
        <f>IF(Table1[[#This Row],[BricoEtLoisirs]]="","", HYPERLINK(Table1[[#This Row],[Destination - BricoEtLoisirs]],_xlfn.CONCAT("Link (",Table1[[#This Row],[BricoEtLoisirs]],")")))</f>
        <v/>
      </c>
      <c r="AN338" s="62" t="str">
        <f>_xlfn.CONCAT("https://bricoetloisirs.ch/p/",Table1[[#This Row],[BricoEtLoisirs]])</f>
        <v>https://bricoetloisirs.ch/p/</v>
      </c>
      <c r="AO338" s="57"/>
      <c r="AP338" s="59"/>
      <c r="AQ338" s="61" t="str">
        <f>IF(Table1[[#This Row],[Aliexpress]]="","", HYPERLINK(Table1[[#This Row],[Destination - Aliexpress]],_xlfn.CONCAT("Link (",Table1[[#This Row],[Aliexpress]],")")))</f>
        <v/>
      </c>
      <c r="AR338" s="62" t="str">
        <f>_xlfn.CONCAT("https://www.aliexpress.com/item/",Table1[[#This Row],[Aliexpress]],".html")</f>
        <v>https://www.aliexpress.com/item/.html</v>
      </c>
      <c r="AS338" s="57"/>
      <c r="AT338" s="59"/>
      <c r="AU338" s="61" t="str">
        <f>IF(Table1[[#This Row],[Banggood]]="","", HYPERLINK(Table1[[#This Row],[Destination - Banggood]],_xlfn.CONCAT("Link (",Table1[[#This Row],[Banggood]],")")))</f>
        <v/>
      </c>
      <c r="AV338" s="62" t="str">
        <f>_xlfn.CONCAT("https://www.banggood.com/search/",Table1[[#This Row],[Banggood]],".html")</f>
        <v>https://www.banggood.com/search/.html</v>
      </c>
      <c r="AW338" s="59" t="str">
        <f>IF(Table1[[#This Row],[Other]]&lt;&gt;"","Other","")</f>
        <v/>
      </c>
      <c r="AX338" s="57"/>
      <c r="AY338" s="59"/>
      <c r="AZ338" s="61" t="str">
        <f>IF(Table1[[#This Row],[Other]]="","",IF(Table1[[#This Row],[Destination - Other]]="","",HYPERLINK(Table1[[#This Row],[Destination - Other]],_xlfn.CONCAT("Link ("&amp;Table1[[#This Row],[Other]]&amp;")"))))</f>
        <v/>
      </c>
      <c r="BA338" s="59"/>
      <c r="BB338" s="58" t="str">
        <f>IF(AND( Table1[[#This Row],[Auto Order]]=1,Table1[[#This Row],[Obsolete]]=""),IF(Table1[[#This Row],[In stock]]&lt;Table1[[#This Row],[Min in stock]],1,""),"")</f>
        <v/>
      </c>
      <c r="BC338" s="64"/>
      <c r="BD338" s="66" t="str">
        <f>IF(Table1[[#This Row],[Obsolete]],Table1[[#This Row],[Art. Number]],"")</f>
        <v/>
      </c>
    </row>
    <row r="339" spans="1:56" x14ac:dyDescent="0.25">
      <c r="A339" s="65" t="s">
        <v>2014</v>
      </c>
      <c r="B339" s="57" t="s">
        <v>168</v>
      </c>
      <c r="C339" s="57" t="s">
        <v>97</v>
      </c>
      <c r="D339" s="57" t="s">
        <v>2015</v>
      </c>
      <c r="E339" s="57" t="s">
        <v>151</v>
      </c>
      <c r="F339" s="58">
        <v>0</v>
      </c>
      <c r="G339" s="58"/>
      <c r="H339" s="58"/>
      <c r="I33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RHM82DCT-ND</v>
      </c>
      <c r="J33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3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3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(RHM82DCT-ND)</v>
      </c>
      <c r="M339" s="57" t="s">
        <v>2016</v>
      </c>
      <c r="N339" s="59">
        <v>0.1</v>
      </c>
      <c r="O339" s="61" t="str">
        <f>IF(Table1[[#This Row],[Digikey]]="","", HYPERLINK(Table1[[#This Row],[Destination - Digikey]],_xlfn.CONCAT("Link (",Table1[[#This Row],[Digikey]],")")))</f>
        <v>Link (RHM82DCT-ND)</v>
      </c>
      <c r="P339" s="62" t="str">
        <f>_xlfn.CONCAT("https://www.digikey.ch/products/en?keywords=",Table1[[#This Row],[Digikey]])</f>
        <v>https://www.digikey.ch/products/en?keywords=RHM82DCT-ND</v>
      </c>
      <c r="Q339" s="57"/>
      <c r="R339" s="59"/>
      <c r="S339" s="61" t="str">
        <f>IF(Table1[[#This Row],[Farnell]]="","", HYPERLINK(Table1[[#This Row],[Destination - Farnell]],_xlfn.CONCAT("Link (",Table1[[#This Row],[Farnell]],")")))</f>
        <v/>
      </c>
      <c r="T339" s="62" t="str">
        <f>_xlfn.CONCAT("https://ch.farnell.com/fr-CH/",Table1[[#This Row],[Farnell]])</f>
        <v>https://ch.farnell.com/fr-CH/</v>
      </c>
      <c r="U339" s="57"/>
      <c r="V339" s="59"/>
      <c r="W339" s="61" t="str">
        <f>IF(Table1[[#This Row],[Distrelec]]="","", HYPERLINK(Table1[[#This Row],[Destination - Distrelec]],_xlfn.CONCAT("Link (",Table1[[#This Row],[Distrelec]],")")))</f>
        <v/>
      </c>
      <c r="X339" s="62" t="str">
        <f>_xlfn.CONCAT("https://www.distrelec.ch/search?q=",Table1[[#This Row],[Distrelec]])</f>
        <v>https://www.distrelec.ch/search?q=</v>
      </c>
      <c r="Y339" s="57"/>
      <c r="Z339" s="59"/>
      <c r="AA339" s="61" t="str">
        <f>IF(Table1[[#This Row],[Conrad]]="","", HYPERLINK(Table1[[#This Row],[Destination - Conrad]],_xlfn.CONCAT("Link (",Table1[[#This Row],[Conrad]],")")))</f>
        <v/>
      </c>
      <c r="AB339" s="62"/>
      <c r="AC339" s="57"/>
      <c r="AD339" s="59"/>
      <c r="AE339" s="61" t="str">
        <f>IF(Table1[[#This Row],[Mouser]]="","", HYPERLINK(Table1[[#This Row],[Destination - Mouser]],_xlfn.CONCAT("Link (",Table1[[#This Row],[Mouser]],")")))</f>
        <v/>
      </c>
      <c r="AF339" s="62" t="str">
        <f>_xlfn.CONCAT("https://www.mouser.ch/ProductDetail/",Table1[[#This Row],[Mouser]])</f>
        <v>https://www.mouser.ch/ProductDetail/</v>
      </c>
      <c r="AG339" s="57"/>
      <c r="AH339" s="59"/>
      <c r="AI339" s="61" t="str">
        <f>IF(Table1[[#This Row],[Bauhaus]]="","", HYPERLINK(Table1[[#This Row],[Destination - Bauhaus]],_xlfn.CONCAT("Link (",Table1[[#This Row],[Bauhaus]],")")))</f>
        <v/>
      </c>
      <c r="AJ339" s="62" t="str">
        <f>_xlfn.CONCAT("https://www.bauhaus.ch/fr/search?query=",Table1[[#This Row],[Bauhaus]])</f>
        <v>https://www.bauhaus.ch/fr/search?query=</v>
      </c>
      <c r="AK339" s="59"/>
      <c r="AL339" s="59"/>
      <c r="AM339" s="61" t="str">
        <f>IF(Table1[[#This Row],[BricoEtLoisirs]]="","", HYPERLINK(Table1[[#This Row],[Destination - BricoEtLoisirs]],_xlfn.CONCAT("Link (",Table1[[#This Row],[BricoEtLoisirs]],")")))</f>
        <v/>
      </c>
      <c r="AN339" s="62" t="str">
        <f>_xlfn.CONCAT("https://bricoetloisirs.ch/p/",Table1[[#This Row],[BricoEtLoisirs]])</f>
        <v>https://bricoetloisirs.ch/p/</v>
      </c>
      <c r="AO339" s="57"/>
      <c r="AP339" s="59"/>
      <c r="AQ339" s="61" t="str">
        <f>IF(Table1[[#This Row],[Aliexpress]]="","", HYPERLINK(Table1[[#This Row],[Destination - Aliexpress]],_xlfn.CONCAT("Link (",Table1[[#This Row],[Aliexpress]],")")))</f>
        <v/>
      </c>
      <c r="AR339" s="62" t="str">
        <f>_xlfn.CONCAT("https://www.aliexpress.com/item/",Table1[[#This Row],[Aliexpress]],".html")</f>
        <v>https://www.aliexpress.com/item/.html</v>
      </c>
      <c r="AS339" s="57"/>
      <c r="AT339" s="59"/>
      <c r="AU339" s="61" t="str">
        <f>IF(Table1[[#This Row],[Banggood]]="","", HYPERLINK(Table1[[#This Row],[Destination - Banggood]],_xlfn.CONCAT("Link (",Table1[[#This Row],[Banggood]],")")))</f>
        <v/>
      </c>
      <c r="AV339" s="62" t="str">
        <f>_xlfn.CONCAT("https://www.banggood.com/search/",Table1[[#This Row],[Banggood]],".html")</f>
        <v>https://www.banggood.com/search/.html</v>
      </c>
      <c r="AW339" s="59" t="str">
        <f>IF(Table1[[#This Row],[Other]]&lt;&gt;"","Other","")</f>
        <v/>
      </c>
      <c r="AX339" s="57"/>
      <c r="AY339" s="59"/>
      <c r="AZ339" s="61" t="str">
        <f>IF(Table1[[#This Row],[Other]]="","",IF(Table1[[#This Row],[Destination - Other]]="","",HYPERLINK(Table1[[#This Row],[Destination - Other]],_xlfn.CONCAT("Link ("&amp;Table1[[#This Row],[Other]]&amp;")"))))</f>
        <v/>
      </c>
      <c r="BA339" s="59"/>
      <c r="BB339" s="58" t="str">
        <f>IF(AND( Table1[[#This Row],[Auto Order]]=1,Table1[[#This Row],[Obsolete]]=""),IF(Table1[[#This Row],[In stock]]&lt;Table1[[#This Row],[Min in stock]],1,""),"")</f>
        <v/>
      </c>
      <c r="BC339" s="64"/>
      <c r="BD339" s="66" t="str">
        <f>IF(Table1[[#This Row],[Obsolete]],Table1[[#This Row],[Art. Number]],"")</f>
        <v/>
      </c>
    </row>
    <row r="340" spans="1:56" x14ac:dyDescent="0.25">
      <c r="A340" s="65" t="s">
        <v>2020</v>
      </c>
      <c r="B340" s="57" t="s">
        <v>168</v>
      </c>
      <c r="C340" s="57" t="s">
        <v>97</v>
      </c>
      <c r="D340" s="57" t="s">
        <v>2021</v>
      </c>
      <c r="E340" s="57" t="s">
        <v>151</v>
      </c>
      <c r="F340" s="58">
        <v>0</v>
      </c>
      <c r="G340" s="58"/>
      <c r="H340" s="58"/>
      <c r="I34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RHM820DCT-ND</v>
      </c>
      <c r="J34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(RHM820DCT-ND)</v>
      </c>
      <c r="M340" s="57" t="s">
        <v>2022</v>
      </c>
      <c r="N340" s="59">
        <v>0.1</v>
      </c>
      <c r="O340" s="61" t="str">
        <f>IF(Table1[[#This Row],[Digikey]]="","", HYPERLINK(Table1[[#This Row],[Destination - Digikey]],_xlfn.CONCAT("Link (",Table1[[#This Row],[Digikey]],")")))</f>
        <v>Link (RHM820DCT-ND)</v>
      </c>
      <c r="P340" s="62" t="str">
        <f>_xlfn.CONCAT("https://www.digikey.ch/products/en?keywords=",Table1[[#This Row],[Digikey]])</f>
        <v>https://www.digikey.ch/products/en?keywords=RHM820DCT-ND</v>
      </c>
      <c r="Q340" s="57"/>
      <c r="R340" s="59"/>
      <c r="S340" s="61" t="str">
        <f>IF(Table1[[#This Row],[Farnell]]="","", HYPERLINK(Table1[[#This Row],[Destination - Farnell]],_xlfn.CONCAT("Link (",Table1[[#This Row],[Farnell]],")")))</f>
        <v/>
      </c>
      <c r="T340" s="62" t="str">
        <f>_xlfn.CONCAT("https://ch.farnell.com/fr-CH/",Table1[[#This Row],[Farnell]])</f>
        <v>https://ch.farnell.com/fr-CH/</v>
      </c>
      <c r="U340" s="57"/>
      <c r="V340" s="59"/>
      <c r="W340" s="61" t="str">
        <f>IF(Table1[[#This Row],[Distrelec]]="","", HYPERLINK(Table1[[#This Row],[Destination - Distrelec]],_xlfn.CONCAT("Link (",Table1[[#This Row],[Distrelec]],")")))</f>
        <v/>
      </c>
      <c r="X340" s="62" t="str">
        <f>_xlfn.CONCAT("https://www.distrelec.ch/search?q=",Table1[[#This Row],[Distrelec]])</f>
        <v>https://www.distrelec.ch/search?q=</v>
      </c>
      <c r="Y340" s="57"/>
      <c r="Z340" s="59"/>
      <c r="AA340" s="61" t="str">
        <f>IF(Table1[[#This Row],[Conrad]]="","", HYPERLINK(Table1[[#This Row],[Destination - Conrad]],_xlfn.CONCAT("Link (",Table1[[#This Row],[Conrad]],")")))</f>
        <v/>
      </c>
      <c r="AB340" s="62"/>
      <c r="AC340" s="57"/>
      <c r="AD340" s="59"/>
      <c r="AE340" s="61" t="str">
        <f>IF(Table1[[#This Row],[Mouser]]="","", HYPERLINK(Table1[[#This Row],[Destination - Mouser]],_xlfn.CONCAT("Link (",Table1[[#This Row],[Mouser]],")")))</f>
        <v/>
      </c>
      <c r="AF340" s="62" t="str">
        <f>_xlfn.CONCAT("https://www.mouser.ch/ProductDetail/",Table1[[#This Row],[Mouser]])</f>
        <v>https://www.mouser.ch/ProductDetail/</v>
      </c>
      <c r="AG340" s="57"/>
      <c r="AH340" s="59"/>
      <c r="AI340" s="61" t="str">
        <f>IF(Table1[[#This Row],[Bauhaus]]="","", HYPERLINK(Table1[[#This Row],[Destination - Bauhaus]],_xlfn.CONCAT("Link (",Table1[[#This Row],[Bauhaus]],")")))</f>
        <v/>
      </c>
      <c r="AJ340" s="62" t="str">
        <f>_xlfn.CONCAT("https://www.bauhaus.ch/fr/search?query=",Table1[[#This Row],[Bauhaus]])</f>
        <v>https://www.bauhaus.ch/fr/search?query=</v>
      </c>
      <c r="AK340" s="59"/>
      <c r="AL340" s="59"/>
      <c r="AM340" s="61" t="str">
        <f>IF(Table1[[#This Row],[BricoEtLoisirs]]="","", HYPERLINK(Table1[[#This Row],[Destination - BricoEtLoisirs]],_xlfn.CONCAT("Link (",Table1[[#This Row],[BricoEtLoisirs]],")")))</f>
        <v/>
      </c>
      <c r="AN340" s="62" t="str">
        <f>_xlfn.CONCAT("https://bricoetloisirs.ch/p/",Table1[[#This Row],[BricoEtLoisirs]])</f>
        <v>https://bricoetloisirs.ch/p/</v>
      </c>
      <c r="AO340" s="57"/>
      <c r="AP340" s="59"/>
      <c r="AQ340" s="61" t="str">
        <f>IF(Table1[[#This Row],[Aliexpress]]="","", HYPERLINK(Table1[[#This Row],[Destination - Aliexpress]],_xlfn.CONCAT("Link (",Table1[[#This Row],[Aliexpress]],")")))</f>
        <v/>
      </c>
      <c r="AR340" s="62" t="str">
        <f>_xlfn.CONCAT("https://www.aliexpress.com/item/",Table1[[#This Row],[Aliexpress]],".html")</f>
        <v>https://www.aliexpress.com/item/.html</v>
      </c>
      <c r="AS340" s="57"/>
      <c r="AT340" s="59"/>
      <c r="AU340" s="61" t="str">
        <f>IF(Table1[[#This Row],[Banggood]]="","", HYPERLINK(Table1[[#This Row],[Destination - Banggood]],_xlfn.CONCAT("Link (",Table1[[#This Row],[Banggood]],")")))</f>
        <v/>
      </c>
      <c r="AV340" s="62" t="str">
        <f>_xlfn.CONCAT("https://www.banggood.com/search/",Table1[[#This Row],[Banggood]],".html")</f>
        <v>https://www.banggood.com/search/.html</v>
      </c>
      <c r="AW340" s="59" t="str">
        <f>IF(Table1[[#This Row],[Other]]&lt;&gt;"","Other","")</f>
        <v/>
      </c>
      <c r="AX340" s="57"/>
      <c r="AY340" s="59"/>
      <c r="AZ340" s="61" t="str">
        <f>IF(Table1[[#This Row],[Other]]="","",IF(Table1[[#This Row],[Destination - Other]]="","",HYPERLINK(Table1[[#This Row],[Destination - Other]],_xlfn.CONCAT("Link ("&amp;Table1[[#This Row],[Other]]&amp;")"))))</f>
        <v/>
      </c>
      <c r="BA340" s="59"/>
      <c r="BB340" s="58" t="str">
        <f>IF(AND( Table1[[#This Row],[Auto Order]]=1,Table1[[#This Row],[Obsolete]]=""),IF(Table1[[#This Row],[In stock]]&lt;Table1[[#This Row],[Min in stock]],1,""),"")</f>
        <v/>
      </c>
      <c r="BC340" s="64"/>
      <c r="BD340" s="66" t="str">
        <f>IF(Table1[[#This Row],[Obsolete]],Table1[[#This Row],[Art. Number]],"")</f>
        <v/>
      </c>
    </row>
    <row r="341" spans="1:56" x14ac:dyDescent="0.25">
      <c r="A341" s="65" t="s">
        <v>2026</v>
      </c>
      <c r="B341" s="57" t="s">
        <v>168</v>
      </c>
      <c r="C341" s="57" t="s">
        <v>2027</v>
      </c>
      <c r="D341" s="57" t="s">
        <v>2028</v>
      </c>
      <c r="E341" s="57" t="s">
        <v>151</v>
      </c>
      <c r="F341" s="58">
        <v>10</v>
      </c>
      <c r="G341" s="58">
        <v>10</v>
      </c>
      <c r="H341" s="58">
        <v>1</v>
      </c>
      <c r="I34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RHM8.2KDCT-ND</v>
      </c>
      <c r="J34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(RHM8.2KDCT-ND)</v>
      </c>
      <c r="M341" s="57" t="s">
        <v>2029</v>
      </c>
      <c r="N341" s="59">
        <v>0.1</v>
      </c>
      <c r="O341" s="61" t="str">
        <f>IF(Table1[[#This Row],[Digikey]]="","", HYPERLINK(Table1[[#This Row],[Destination - Digikey]],_xlfn.CONCAT("Link (",Table1[[#This Row],[Digikey]],")")))</f>
        <v>Link (RHM8.2KDCT-ND)</v>
      </c>
      <c r="P341" s="62" t="str">
        <f>_xlfn.CONCAT("https://www.digikey.ch/products/en?keywords=",Table1[[#This Row],[Digikey]])</f>
        <v>https://www.digikey.ch/products/en?keywords=RHM8.2KDCT-ND</v>
      </c>
      <c r="Q341" s="57"/>
      <c r="R341" s="59"/>
      <c r="S341" s="61" t="str">
        <f>IF(Table1[[#This Row],[Farnell]]="","", HYPERLINK(Table1[[#This Row],[Destination - Farnell]],_xlfn.CONCAT("Link (",Table1[[#This Row],[Farnell]],")")))</f>
        <v/>
      </c>
      <c r="T341" s="62" t="str">
        <f>_xlfn.CONCAT("https://ch.farnell.com/fr-CH/",Table1[[#This Row],[Farnell]])</f>
        <v>https://ch.farnell.com/fr-CH/</v>
      </c>
      <c r="U341" s="57"/>
      <c r="V341" s="59"/>
      <c r="W341" s="61" t="str">
        <f>IF(Table1[[#This Row],[Distrelec]]="","", HYPERLINK(Table1[[#This Row],[Destination - Distrelec]],_xlfn.CONCAT("Link (",Table1[[#This Row],[Distrelec]],")")))</f>
        <v/>
      </c>
      <c r="X341" s="62" t="str">
        <f>_xlfn.CONCAT("https://www.distrelec.ch/search?q=",Table1[[#This Row],[Distrelec]])</f>
        <v>https://www.distrelec.ch/search?q=</v>
      </c>
      <c r="Y341" s="57"/>
      <c r="Z341" s="59"/>
      <c r="AA341" s="61" t="str">
        <f>IF(Table1[[#This Row],[Conrad]]="","", HYPERLINK(Table1[[#This Row],[Destination - Conrad]],_xlfn.CONCAT("Link (",Table1[[#This Row],[Conrad]],")")))</f>
        <v/>
      </c>
      <c r="AB341" s="62"/>
      <c r="AC341" s="57"/>
      <c r="AD341" s="59"/>
      <c r="AE341" s="61" t="str">
        <f>IF(Table1[[#This Row],[Mouser]]="","", HYPERLINK(Table1[[#This Row],[Destination - Mouser]],_xlfn.CONCAT("Link (",Table1[[#This Row],[Mouser]],")")))</f>
        <v/>
      </c>
      <c r="AF341" s="62" t="str">
        <f>_xlfn.CONCAT("https://www.mouser.ch/ProductDetail/",Table1[[#This Row],[Mouser]])</f>
        <v>https://www.mouser.ch/ProductDetail/</v>
      </c>
      <c r="AG341" s="57"/>
      <c r="AH341" s="59"/>
      <c r="AI341" s="61" t="str">
        <f>IF(Table1[[#This Row],[Bauhaus]]="","", HYPERLINK(Table1[[#This Row],[Destination - Bauhaus]],_xlfn.CONCAT("Link (",Table1[[#This Row],[Bauhaus]],")")))</f>
        <v/>
      </c>
      <c r="AJ341" s="62" t="str">
        <f>_xlfn.CONCAT("https://www.bauhaus.ch/fr/search?query=",Table1[[#This Row],[Bauhaus]])</f>
        <v>https://www.bauhaus.ch/fr/search?query=</v>
      </c>
      <c r="AK341" s="59"/>
      <c r="AL341" s="59"/>
      <c r="AM341" s="61" t="str">
        <f>IF(Table1[[#This Row],[BricoEtLoisirs]]="","", HYPERLINK(Table1[[#This Row],[Destination - BricoEtLoisirs]],_xlfn.CONCAT("Link (",Table1[[#This Row],[BricoEtLoisirs]],")")))</f>
        <v/>
      </c>
      <c r="AN341" s="62" t="str">
        <f>_xlfn.CONCAT("https://bricoetloisirs.ch/p/",Table1[[#This Row],[BricoEtLoisirs]])</f>
        <v>https://bricoetloisirs.ch/p/</v>
      </c>
      <c r="AO341" s="57"/>
      <c r="AP341" s="59"/>
      <c r="AQ341" s="61" t="str">
        <f>IF(Table1[[#This Row],[Aliexpress]]="","", HYPERLINK(Table1[[#This Row],[Destination - Aliexpress]],_xlfn.CONCAT("Link (",Table1[[#This Row],[Aliexpress]],")")))</f>
        <v/>
      </c>
      <c r="AR341" s="62" t="str">
        <f>_xlfn.CONCAT("https://www.aliexpress.com/item/",Table1[[#This Row],[Aliexpress]],".html")</f>
        <v>https://www.aliexpress.com/item/.html</v>
      </c>
      <c r="AS341" s="57"/>
      <c r="AT341" s="59"/>
      <c r="AU341" s="61" t="str">
        <f>IF(Table1[[#This Row],[Banggood]]="","", HYPERLINK(Table1[[#This Row],[Destination - Banggood]],_xlfn.CONCAT("Link (",Table1[[#This Row],[Banggood]],")")))</f>
        <v/>
      </c>
      <c r="AV341" s="62" t="str">
        <f>_xlfn.CONCAT("https://www.banggood.com/search/",Table1[[#This Row],[Banggood]],".html")</f>
        <v>https://www.banggood.com/search/.html</v>
      </c>
      <c r="AW341" s="59" t="str">
        <f>IF(Table1[[#This Row],[Other]]&lt;&gt;"","Other","")</f>
        <v/>
      </c>
      <c r="AX341" s="57"/>
      <c r="AY341" s="59"/>
      <c r="AZ341" s="61" t="str">
        <f>IF(Table1[[#This Row],[Other]]="","",IF(Table1[[#This Row],[Destination - Other]]="","",HYPERLINK(Table1[[#This Row],[Destination - Other]],_xlfn.CONCAT("Link ("&amp;Table1[[#This Row],[Other]]&amp;")"))))</f>
        <v/>
      </c>
      <c r="BA341" s="59"/>
      <c r="BB341" s="58" t="str">
        <f>IF(AND( Table1[[#This Row],[Auto Order]]=1,Table1[[#This Row],[Obsolete]]=""),IF(Table1[[#This Row],[In stock]]&lt;Table1[[#This Row],[Min in stock]],1,""),"")</f>
        <v/>
      </c>
      <c r="BC341" s="64"/>
      <c r="BD341" s="66" t="str">
        <f>IF(Table1[[#This Row],[Obsolete]],Table1[[#This Row],[Art. Number]],"")</f>
        <v/>
      </c>
    </row>
    <row r="342" spans="1:56" x14ac:dyDescent="0.25">
      <c r="A342" s="65" t="s">
        <v>2033</v>
      </c>
      <c r="B342" s="57" t="s">
        <v>168</v>
      </c>
      <c r="C342" s="57" t="s">
        <v>97</v>
      </c>
      <c r="D342" s="57" t="s">
        <v>2034</v>
      </c>
      <c r="E342" s="57" t="s">
        <v>151</v>
      </c>
      <c r="F342" s="58">
        <v>0</v>
      </c>
      <c r="G342" s="58"/>
      <c r="H342" s="58"/>
      <c r="I34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RHM82KDCT-ND</v>
      </c>
      <c r="J34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(RHM82KDCT-ND)</v>
      </c>
      <c r="M342" s="57" t="s">
        <v>2035</v>
      </c>
      <c r="N342" s="59">
        <v>0.1</v>
      </c>
      <c r="O342" s="61" t="str">
        <f>IF(Table1[[#This Row],[Digikey]]="","", HYPERLINK(Table1[[#This Row],[Destination - Digikey]],_xlfn.CONCAT("Link (",Table1[[#This Row],[Digikey]],")")))</f>
        <v>Link (RHM82KDCT-ND)</v>
      </c>
      <c r="P342" s="62" t="str">
        <f>_xlfn.CONCAT("https://www.digikey.ch/products/en?keywords=",Table1[[#This Row],[Digikey]])</f>
        <v>https://www.digikey.ch/products/en?keywords=RHM82KDCT-ND</v>
      </c>
      <c r="Q342" s="57"/>
      <c r="R342" s="59"/>
      <c r="S342" s="61" t="str">
        <f>IF(Table1[[#This Row],[Farnell]]="","", HYPERLINK(Table1[[#This Row],[Destination - Farnell]],_xlfn.CONCAT("Link (",Table1[[#This Row],[Farnell]],")")))</f>
        <v/>
      </c>
      <c r="T342" s="62" t="str">
        <f>_xlfn.CONCAT("https://ch.farnell.com/fr-CH/",Table1[[#This Row],[Farnell]])</f>
        <v>https://ch.farnell.com/fr-CH/</v>
      </c>
      <c r="U342" s="57"/>
      <c r="V342" s="59"/>
      <c r="W342" s="61" t="str">
        <f>IF(Table1[[#This Row],[Distrelec]]="","", HYPERLINK(Table1[[#This Row],[Destination - Distrelec]],_xlfn.CONCAT("Link (",Table1[[#This Row],[Distrelec]],")")))</f>
        <v/>
      </c>
      <c r="X342" s="62" t="str">
        <f>_xlfn.CONCAT("https://www.distrelec.ch/search?q=",Table1[[#This Row],[Distrelec]])</f>
        <v>https://www.distrelec.ch/search?q=</v>
      </c>
      <c r="Y342" s="57"/>
      <c r="Z342" s="59"/>
      <c r="AA342" s="61" t="str">
        <f>IF(Table1[[#This Row],[Conrad]]="","", HYPERLINK(Table1[[#This Row],[Destination - Conrad]],_xlfn.CONCAT("Link (",Table1[[#This Row],[Conrad]],")")))</f>
        <v/>
      </c>
      <c r="AB342" s="62"/>
      <c r="AC342" s="57"/>
      <c r="AD342" s="59"/>
      <c r="AE342" s="61" t="str">
        <f>IF(Table1[[#This Row],[Mouser]]="","", HYPERLINK(Table1[[#This Row],[Destination - Mouser]],_xlfn.CONCAT("Link (",Table1[[#This Row],[Mouser]],")")))</f>
        <v/>
      </c>
      <c r="AF342" s="62" t="str">
        <f>_xlfn.CONCAT("https://www.mouser.ch/ProductDetail/",Table1[[#This Row],[Mouser]])</f>
        <v>https://www.mouser.ch/ProductDetail/</v>
      </c>
      <c r="AG342" s="57"/>
      <c r="AH342" s="59"/>
      <c r="AI342" s="61" t="str">
        <f>IF(Table1[[#This Row],[Bauhaus]]="","", HYPERLINK(Table1[[#This Row],[Destination - Bauhaus]],_xlfn.CONCAT("Link (",Table1[[#This Row],[Bauhaus]],")")))</f>
        <v/>
      </c>
      <c r="AJ342" s="62" t="str">
        <f>_xlfn.CONCAT("https://www.bauhaus.ch/fr/search?query=",Table1[[#This Row],[Bauhaus]])</f>
        <v>https://www.bauhaus.ch/fr/search?query=</v>
      </c>
      <c r="AK342" s="59"/>
      <c r="AL342" s="59"/>
      <c r="AM342" s="61" t="str">
        <f>IF(Table1[[#This Row],[BricoEtLoisirs]]="","", HYPERLINK(Table1[[#This Row],[Destination - BricoEtLoisirs]],_xlfn.CONCAT("Link (",Table1[[#This Row],[BricoEtLoisirs]],")")))</f>
        <v/>
      </c>
      <c r="AN342" s="62" t="str">
        <f>_xlfn.CONCAT("https://bricoetloisirs.ch/p/",Table1[[#This Row],[BricoEtLoisirs]])</f>
        <v>https://bricoetloisirs.ch/p/</v>
      </c>
      <c r="AO342" s="57"/>
      <c r="AP342" s="59"/>
      <c r="AQ342" s="61" t="str">
        <f>IF(Table1[[#This Row],[Aliexpress]]="","", HYPERLINK(Table1[[#This Row],[Destination - Aliexpress]],_xlfn.CONCAT("Link (",Table1[[#This Row],[Aliexpress]],")")))</f>
        <v/>
      </c>
      <c r="AR342" s="62" t="str">
        <f>_xlfn.CONCAT("https://www.aliexpress.com/item/",Table1[[#This Row],[Aliexpress]],".html")</f>
        <v>https://www.aliexpress.com/item/.html</v>
      </c>
      <c r="AS342" s="57"/>
      <c r="AT342" s="59"/>
      <c r="AU342" s="61" t="str">
        <f>IF(Table1[[#This Row],[Banggood]]="","", HYPERLINK(Table1[[#This Row],[Destination - Banggood]],_xlfn.CONCAT("Link (",Table1[[#This Row],[Banggood]],")")))</f>
        <v/>
      </c>
      <c r="AV342" s="62" t="str">
        <f>_xlfn.CONCAT("https://www.banggood.com/search/",Table1[[#This Row],[Banggood]],".html")</f>
        <v>https://www.banggood.com/search/.html</v>
      </c>
      <c r="AW342" s="59" t="str">
        <f>IF(Table1[[#This Row],[Other]]&lt;&gt;"","Other","")</f>
        <v/>
      </c>
      <c r="AX342" s="57"/>
      <c r="AY342" s="59"/>
      <c r="AZ342" s="61" t="str">
        <f>IF(Table1[[#This Row],[Other]]="","",IF(Table1[[#This Row],[Destination - Other]]="","",HYPERLINK(Table1[[#This Row],[Destination - Other]],_xlfn.CONCAT("Link ("&amp;Table1[[#This Row],[Other]]&amp;")"))))</f>
        <v/>
      </c>
      <c r="BA342" s="59"/>
      <c r="BB342" s="58" t="str">
        <f>IF(AND( Table1[[#This Row],[Auto Order]]=1,Table1[[#This Row],[Obsolete]]=""),IF(Table1[[#This Row],[In stock]]&lt;Table1[[#This Row],[Min in stock]],1,""),"")</f>
        <v/>
      </c>
      <c r="BC342" s="64"/>
      <c r="BD342" s="66" t="str">
        <f>IF(Table1[[#This Row],[Obsolete]],Table1[[#This Row],[Art. Number]],"")</f>
        <v/>
      </c>
    </row>
    <row r="343" spans="1:56" x14ac:dyDescent="0.25">
      <c r="A343" s="65" t="s">
        <v>2039</v>
      </c>
      <c r="B343" s="57" t="s">
        <v>168</v>
      </c>
      <c r="C343" s="57" t="s">
        <v>97</v>
      </c>
      <c r="D343" s="57" t="s">
        <v>2040</v>
      </c>
      <c r="E343" s="57" t="s">
        <v>151</v>
      </c>
      <c r="F343" s="58">
        <v>0</v>
      </c>
      <c r="G343" s="58"/>
      <c r="H343" s="58"/>
      <c r="I34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RHM820KDCT-ND</v>
      </c>
      <c r="J34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(RHM820KDCT-ND)</v>
      </c>
      <c r="M343" s="57" t="s">
        <v>2041</v>
      </c>
      <c r="N343" s="59">
        <v>0.1</v>
      </c>
      <c r="O343" s="61" t="str">
        <f>IF(Table1[[#This Row],[Digikey]]="","", HYPERLINK(Table1[[#This Row],[Destination - Digikey]],_xlfn.CONCAT("Link (",Table1[[#This Row],[Digikey]],")")))</f>
        <v>Link (RHM820KDCT-ND)</v>
      </c>
      <c r="P343" s="62" t="str">
        <f>_xlfn.CONCAT("https://www.digikey.ch/products/en?keywords=",Table1[[#This Row],[Digikey]])</f>
        <v>https://www.digikey.ch/products/en?keywords=RHM820KDCT-ND</v>
      </c>
      <c r="Q343" s="57"/>
      <c r="R343" s="59"/>
      <c r="S343" s="61" t="str">
        <f>IF(Table1[[#This Row],[Farnell]]="","", HYPERLINK(Table1[[#This Row],[Destination - Farnell]],_xlfn.CONCAT("Link (",Table1[[#This Row],[Farnell]],")")))</f>
        <v/>
      </c>
      <c r="T343" s="62" t="str">
        <f>_xlfn.CONCAT("https://ch.farnell.com/fr-CH/",Table1[[#This Row],[Farnell]])</f>
        <v>https://ch.farnell.com/fr-CH/</v>
      </c>
      <c r="U343" s="57"/>
      <c r="V343" s="59"/>
      <c r="W343" s="61" t="str">
        <f>IF(Table1[[#This Row],[Distrelec]]="","", HYPERLINK(Table1[[#This Row],[Destination - Distrelec]],_xlfn.CONCAT("Link (",Table1[[#This Row],[Distrelec]],")")))</f>
        <v/>
      </c>
      <c r="X343" s="62" t="str">
        <f>_xlfn.CONCAT("https://www.distrelec.ch/search?q=",Table1[[#This Row],[Distrelec]])</f>
        <v>https://www.distrelec.ch/search?q=</v>
      </c>
      <c r="Y343" s="57"/>
      <c r="Z343" s="59"/>
      <c r="AA343" s="61" t="str">
        <f>IF(Table1[[#This Row],[Conrad]]="","", HYPERLINK(Table1[[#This Row],[Destination - Conrad]],_xlfn.CONCAT("Link (",Table1[[#This Row],[Conrad]],")")))</f>
        <v/>
      </c>
      <c r="AB343" s="62"/>
      <c r="AC343" s="57"/>
      <c r="AD343" s="59"/>
      <c r="AE343" s="61" t="str">
        <f>IF(Table1[[#This Row],[Mouser]]="","", HYPERLINK(Table1[[#This Row],[Destination - Mouser]],_xlfn.CONCAT("Link (",Table1[[#This Row],[Mouser]],")")))</f>
        <v/>
      </c>
      <c r="AF343" s="62" t="str">
        <f>_xlfn.CONCAT("https://www.mouser.ch/ProductDetail/",Table1[[#This Row],[Mouser]])</f>
        <v>https://www.mouser.ch/ProductDetail/</v>
      </c>
      <c r="AG343" s="57"/>
      <c r="AH343" s="59"/>
      <c r="AI343" s="61" t="str">
        <f>IF(Table1[[#This Row],[Bauhaus]]="","", HYPERLINK(Table1[[#This Row],[Destination - Bauhaus]],_xlfn.CONCAT("Link (",Table1[[#This Row],[Bauhaus]],")")))</f>
        <v/>
      </c>
      <c r="AJ343" s="62" t="str">
        <f>_xlfn.CONCAT("https://www.bauhaus.ch/fr/search?query=",Table1[[#This Row],[Bauhaus]])</f>
        <v>https://www.bauhaus.ch/fr/search?query=</v>
      </c>
      <c r="AK343" s="59"/>
      <c r="AL343" s="59"/>
      <c r="AM343" s="61" t="str">
        <f>IF(Table1[[#This Row],[BricoEtLoisirs]]="","", HYPERLINK(Table1[[#This Row],[Destination - BricoEtLoisirs]],_xlfn.CONCAT("Link (",Table1[[#This Row],[BricoEtLoisirs]],")")))</f>
        <v/>
      </c>
      <c r="AN343" s="62" t="str">
        <f>_xlfn.CONCAT("https://bricoetloisirs.ch/p/",Table1[[#This Row],[BricoEtLoisirs]])</f>
        <v>https://bricoetloisirs.ch/p/</v>
      </c>
      <c r="AO343" s="57"/>
      <c r="AP343" s="59"/>
      <c r="AQ343" s="61" t="str">
        <f>IF(Table1[[#This Row],[Aliexpress]]="","", HYPERLINK(Table1[[#This Row],[Destination - Aliexpress]],_xlfn.CONCAT("Link (",Table1[[#This Row],[Aliexpress]],")")))</f>
        <v/>
      </c>
      <c r="AR343" s="62" t="str">
        <f>_xlfn.CONCAT("https://www.aliexpress.com/item/",Table1[[#This Row],[Aliexpress]],".html")</f>
        <v>https://www.aliexpress.com/item/.html</v>
      </c>
      <c r="AS343" s="57"/>
      <c r="AT343" s="59"/>
      <c r="AU343" s="61" t="str">
        <f>IF(Table1[[#This Row],[Banggood]]="","", HYPERLINK(Table1[[#This Row],[Destination - Banggood]],_xlfn.CONCAT("Link (",Table1[[#This Row],[Banggood]],")")))</f>
        <v/>
      </c>
      <c r="AV343" s="62" t="str">
        <f>_xlfn.CONCAT("https://www.banggood.com/search/",Table1[[#This Row],[Banggood]],".html")</f>
        <v>https://www.banggood.com/search/.html</v>
      </c>
      <c r="AW343" s="59" t="str">
        <f>IF(Table1[[#This Row],[Other]]&lt;&gt;"","Other","")</f>
        <v/>
      </c>
      <c r="AX343" s="57"/>
      <c r="AY343" s="59"/>
      <c r="AZ343" s="61" t="str">
        <f>IF(Table1[[#This Row],[Other]]="","",IF(Table1[[#This Row],[Destination - Other]]="","",HYPERLINK(Table1[[#This Row],[Destination - Other]],_xlfn.CONCAT("Link ("&amp;Table1[[#This Row],[Other]]&amp;")"))))</f>
        <v/>
      </c>
      <c r="BA343" s="59"/>
      <c r="BB343" s="58" t="str">
        <f>IF(AND( Table1[[#This Row],[Auto Order]]=1,Table1[[#This Row],[Obsolete]]=""),IF(Table1[[#This Row],[In stock]]&lt;Table1[[#This Row],[Min in stock]],1,""),"")</f>
        <v/>
      </c>
      <c r="BC343" s="64"/>
      <c r="BD343" s="66" t="str">
        <f>IF(Table1[[#This Row],[Obsolete]],Table1[[#This Row],[Art. Number]],"")</f>
        <v/>
      </c>
    </row>
    <row r="344" spans="1:56" x14ac:dyDescent="0.25">
      <c r="A344" s="65" t="s">
        <v>2045</v>
      </c>
      <c r="B344" s="57" t="s">
        <v>168</v>
      </c>
      <c r="C344" s="57" t="s">
        <v>97</v>
      </c>
      <c r="D344" s="57" t="s">
        <v>2046</v>
      </c>
      <c r="E344" s="57" t="s">
        <v>151</v>
      </c>
      <c r="F344" s="58">
        <v>0</v>
      </c>
      <c r="G344" s="58"/>
      <c r="H344" s="58"/>
      <c r="I34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RHM8.2MDCT-ND</v>
      </c>
      <c r="J34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(RHM8.2MDCT-ND)</v>
      </c>
      <c r="M344" s="57" t="s">
        <v>2047</v>
      </c>
      <c r="N344" s="59">
        <v>0.1</v>
      </c>
      <c r="O344" s="61" t="str">
        <f>IF(Table1[[#This Row],[Digikey]]="","", HYPERLINK(Table1[[#This Row],[Destination - Digikey]],_xlfn.CONCAT("Link (",Table1[[#This Row],[Digikey]],")")))</f>
        <v>Link (RHM8.2MDCT-ND)</v>
      </c>
      <c r="P344" s="62" t="str">
        <f>_xlfn.CONCAT("https://www.digikey.ch/products/en?keywords=",Table1[[#This Row],[Digikey]])</f>
        <v>https://www.digikey.ch/products/en?keywords=RHM8.2MDCT-ND</v>
      </c>
      <c r="Q344" s="57"/>
      <c r="R344" s="59"/>
      <c r="S344" s="61" t="str">
        <f>IF(Table1[[#This Row],[Farnell]]="","", HYPERLINK(Table1[[#This Row],[Destination - Farnell]],_xlfn.CONCAT("Link (",Table1[[#This Row],[Farnell]],")")))</f>
        <v/>
      </c>
      <c r="T344" s="62" t="str">
        <f>_xlfn.CONCAT("https://ch.farnell.com/fr-CH/",Table1[[#This Row],[Farnell]])</f>
        <v>https://ch.farnell.com/fr-CH/</v>
      </c>
      <c r="U344" s="57"/>
      <c r="V344" s="59"/>
      <c r="W344" s="61" t="str">
        <f>IF(Table1[[#This Row],[Distrelec]]="","", HYPERLINK(Table1[[#This Row],[Destination - Distrelec]],_xlfn.CONCAT("Link (",Table1[[#This Row],[Distrelec]],")")))</f>
        <v/>
      </c>
      <c r="X344" s="62" t="str">
        <f>_xlfn.CONCAT("https://www.distrelec.ch/search?q=",Table1[[#This Row],[Distrelec]])</f>
        <v>https://www.distrelec.ch/search?q=</v>
      </c>
      <c r="Y344" s="57"/>
      <c r="Z344" s="59"/>
      <c r="AA344" s="61" t="str">
        <f>IF(Table1[[#This Row],[Conrad]]="","", HYPERLINK(Table1[[#This Row],[Destination - Conrad]],_xlfn.CONCAT("Link (",Table1[[#This Row],[Conrad]],")")))</f>
        <v/>
      </c>
      <c r="AB344" s="62"/>
      <c r="AC344" s="57"/>
      <c r="AD344" s="59"/>
      <c r="AE344" s="61" t="str">
        <f>IF(Table1[[#This Row],[Mouser]]="","", HYPERLINK(Table1[[#This Row],[Destination - Mouser]],_xlfn.CONCAT("Link (",Table1[[#This Row],[Mouser]],")")))</f>
        <v/>
      </c>
      <c r="AF344" s="62" t="str">
        <f>_xlfn.CONCAT("https://www.mouser.ch/ProductDetail/",Table1[[#This Row],[Mouser]])</f>
        <v>https://www.mouser.ch/ProductDetail/</v>
      </c>
      <c r="AG344" s="57"/>
      <c r="AH344" s="59"/>
      <c r="AI344" s="61" t="str">
        <f>IF(Table1[[#This Row],[Bauhaus]]="","", HYPERLINK(Table1[[#This Row],[Destination - Bauhaus]],_xlfn.CONCAT("Link (",Table1[[#This Row],[Bauhaus]],")")))</f>
        <v/>
      </c>
      <c r="AJ344" s="62" t="str">
        <f>_xlfn.CONCAT("https://www.bauhaus.ch/fr/search?query=",Table1[[#This Row],[Bauhaus]])</f>
        <v>https://www.bauhaus.ch/fr/search?query=</v>
      </c>
      <c r="AK344" s="59"/>
      <c r="AL344" s="59"/>
      <c r="AM344" s="61" t="str">
        <f>IF(Table1[[#This Row],[BricoEtLoisirs]]="","", HYPERLINK(Table1[[#This Row],[Destination - BricoEtLoisirs]],_xlfn.CONCAT("Link (",Table1[[#This Row],[BricoEtLoisirs]],")")))</f>
        <v/>
      </c>
      <c r="AN344" s="62" t="str">
        <f>_xlfn.CONCAT("https://bricoetloisirs.ch/p/",Table1[[#This Row],[BricoEtLoisirs]])</f>
        <v>https://bricoetloisirs.ch/p/</v>
      </c>
      <c r="AO344" s="57"/>
      <c r="AP344" s="59"/>
      <c r="AQ344" s="61" t="str">
        <f>IF(Table1[[#This Row],[Aliexpress]]="","", HYPERLINK(Table1[[#This Row],[Destination - Aliexpress]],_xlfn.CONCAT("Link (",Table1[[#This Row],[Aliexpress]],")")))</f>
        <v/>
      </c>
      <c r="AR344" s="62" t="str">
        <f>_xlfn.CONCAT("https://www.aliexpress.com/item/",Table1[[#This Row],[Aliexpress]],".html")</f>
        <v>https://www.aliexpress.com/item/.html</v>
      </c>
      <c r="AS344" s="57"/>
      <c r="AT344" s="59"/>
      <c r="AU344" s="61" t="str">
        <f>IF(Table1[[#This Row],[Banggood]]="","", HYPERLINK(Table1[[#This Row],[Destination - Banggood]],_xlfn.CONCAT("Link (",Table1[[#This Row],[Banggood]],")")))</f>
        <v/>
      </c>
      <c r="AV344" s="62" t="str">
        <f>_xlfn.CONCAT("https://www.banggood.com/search/",Table1[[#This Row],[Banggood]],".html")</f>
        <v>https://www.banggood.com/search/.html</v>
      </c>
      <c r="AW344" s="59" t="str">
        <f>IF(Table1[[#This Row],[Other]]&lt;&gt;"","Other","")</f>
        <v/>
      </c>
      <c r="AX344" s="57"/>
      <c r="AY344" s="59"/>
      <c r="AZ344" s="61" t="str">
        <f>IF(Table1[[#This Row],[Other]]="","",IF(Table1[[#This Row],[Destination - Other]]="","",HYPERLINK(Table1[[#This Row],[Destination - Other]],_xlfn.CONCAT("Link ("&amp;Table1[[#This Row],[Other]]&amp;")"))))</f>
        <v/>
      </c>
      <c r="BA344" s="59"/>
      <c r="BB344" s="58" t="str">
        <f>IF(AND( Table1[[#This Row],[Auto Order]]=1,Table1[[#This Row],[Obsolete]]=""),IF(Table1[[#This Row],[In stock]]&lt;Table1[[#This Row],[Min in stock]],1,""),"")</f>
        <v/>
      </c>
      <c r="BC344" s="64"/>
      <c r="BD344" s="66" t="str">
        <f>IF(Table1[[#This Row],[Obsolete]],Table1[[#This Row],[Art. Number]],"")</f>
        <v/>
      </c>
    </row>
    <row r="345" spans="1:56" x14ac:dyDescent="0.25">
      <c r="A345" s="65" t="s">
        <v>2051</v>
      </c>
      <c r="B345" s="57" t="s">
        <v>168</v>
      </c>
      <c r="C345" s="57" t="s">
        <v>97</v>
      </c>
      <c r="D345" s="57" t="s">
        <v>2052</v>
      </c>
      <c r="E345" s="57" t="s">
        <v>151</v>
      </c>
      <c r="F345" s="58">
        <v>0</v>
      </c>
      <c r="G345" s="58"/>
      <c r="H345" s="58"/>
      <c r="I34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RHM8.2DCT-ND</v>
      </c>
      <c r="J34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(RHM8.2DCT-ND)</v>
      </c>
      <c r="M345" s="57" t="s">
        <v>2053</v>
      </c>
      <c r="N345" s="59">
        <v>0.1</v>
      </c>
      <c r="O345" s="61" t="str">
        <f>IF(Table1[[#This Row],[Digikey]]="","", HYPERLINK(Table1[[#This Row],[Destination - Digikey]],_xlfn.CONCAT("Link (",Table1[[#This Row],[Digikey]],")")))</f>
        <v>Link (RHM8.2DCT-ND)</v>
      </c>
      <c r="P345" s="62" t="str">
        <f>_xlfn.CONCAT("https://www.digikey.ch/products/en?keywords=",Table1[[#This Row],[Digikey]])</f>
        <v>https://www.digikey.ch/products/en?keywords=RHM8.2DCT-ND</v>
      </c>
      <c r="Q345" s="57"/>
      <c r="R345" s="59"/>
      <c r="S345" s="61" t="str">
        <f>IF(Table1[[#This Row],[Farnell]]="","", HYPERLINK(Table1[[#This Row],[Destination - Farnell]],_xlfn.CONCAT("Link (",Table1[[#This Row],[Farnell]],")")))</f>
        <v/>
      </c>
      <c r="T345" s="62" t="str">
        <f>_xlfn.CONCAT("https://ch.farnell.com/fr-CH/",Table1[[#This Row],[Farnell]])</f>
        <v>https://ch.farnell.com/fr-CH/</v>
      </c>
      <c r="U345" s="57"/>
      <c r="V345" s="59"/>
      <c r="W345" s="61" t="str">
        <f>IF(Table1[[#This Row],[Distrelec]]="","", HYPERLINK(Table1[[#This Row],[Destination - Distrelec]],_xlfn.CONCAT("Link (",Table1[[#This Row],[Distrelec]],")")))</f>
        <v/>
      </c>
      <c r="X345" s="62" t="str">
        <f>_xlfn.CONCAT("https://www.distrelec.ch/search?q=",Table1[[#This Row],[Distrelec]])</f>
        <v>https://www.distrelec.ch/search?q=</v>
      </c>
      <c r="Y345" s="57"/>
      <c r="Z345" s="59"/>
      <c r="AA345" s="61" t="str">
        <f>IF(Table1[[#This Row],[Conrad]]="","", HYPERLINK(Table1[[#This Row],[Destination - Conrad]],_xlfn.CONCAT("Link (",Table1[[#This Row],[Conrad]],")")))</f>
        <v/>
      </c>
      <c r="AB345" s="62"/>
      <c r="AC345" s="57"/>
      <c r="AD345" s="59"/>
      <c r="AE345" s="61" t="str">
        <f>IF(Table1[[#This Row],[Mouser]]="","", HYPERLINK(Table1[[#This Row],[Destination - Mouser]],_xlfn.CONCAT("Link (",Table1[[#This Row],[Mouser]],")")))</f>
        <v/>
      </c>
      <c r="AF345" s="62" t="str">
        <f>_xlfn.CONCAT("https://www.mouser.ch/ProductDetail/",Table1[[#This Row],[Mouser]])</f>
        <v>https://www.mouser.ch/ProductDetail/</v>
      </c>
      <c r="AG345" s="57"/>
      <c r="AH345" s="59"/>
      <c r="AI345" s="61" t="str">
        <f>IF(Table1[[#This Row],[Bauhaus]]="","", HYPERLINK(Table1[[#This Row],[Destination - Bauhaus]],_xlfn.CONCAT("Link (",Table1[[#This Row],[Bauhaus]],")")))</f>
        <v/>
      </c>
      <c r="AJ345" s="62" t="str">
        <f>_xlfn.CONCAT("https://www.bauhaus.ch/fr/search?query=",Table1[[#This Row],[Bauhaus]])</f>
        <v>https://www.bauhaus.ch/fr/search?query=</v>
      </c>
      <c r="AK345" s="59"/>
      <c r="AL345" s="59"/>
      <c r="AM345" s="61" t="str">
        <f>IF(Table1[[#This Row],[BricoEtLoisirs]]="","", HYPERLINK(Table1[[#This Row],[Destination - BricoEtLoisirs]],_xlfn.CONCAT("Link (",Table1[[#This Row],[BricoEtLoisirs]],")")))</f>
        <v/>
      </c>
      <c r="AN345" s="62" t="str">
        <f>_xlfn.CONCAT("https://bricoetloisirs.ch/p/",Table1[[#This Row],[BricoEtLoisirs]])</f>
        <v>https://bricoetloisirs.ch/p/</v>
      </c>
      <c r="AO345" s="57"/>
      <c r="AP345" s="59"/>
      <c r="AQ345" s="61" t="str">
        <f>IF(Table1[[#This Row],[Aliexpress]]="","", HYPERLINK(Table1[[#This Row],[Destination - Aliexpress]],_xlfn.CONCAT("Link (",Table1[[#This Row],[Aliexpress]],")")))</f>
        <v/>
      </c>
      <c r="AR345" s="62" t="str">
        <f>_xlfn.CONCAT("https://www.aliexpress.com/item/",Table1[[#This Row],[Aliexpress]],".html")</f>
        <v>https://www.aliexpress.com/item/.html</v>
      </c>
      <c r="AS345" s="57"/>
      <c r="AT345" s="59"/>
      <c r="AU345" s="61" t="str">
        <f>IF(Table1[[#This Row],[Banggood]]="","", HYPERLINK(Table1[[#This Row],[Destination - Banggood]],_xlfn.CONCAT("Link (",Table1[[#This Row],[Banggood]],")")))</f>
        <v/>
      </c>
      <c r="AV345" s="62" t="str">
        <f>_xlfn.CONCAT("https://www.banggood.com/search/",Table1[[#This Row],[Banggood]],".html")</f>
        <v>https://www.banggood.com/search/.html</v>
      </c>
      <c r="AW345" s="59" t="str">
        <f>IF(Table1[[#This Row],[Other]]&lt;&gt;"","Other","")</f>
        <v/>
      </c>
      <c r="AX345" s="57"/>
      <c r="AY345" s="59"/>
      <c r="AZ345" s="61" t="str">
        <f>IF(Table1[[#This Row],[Other]]="","",IF(Table1[[#This Row],[Destination - Other]]="","",HYPERLINK(Table1[[#This Row],[Destination - Other]],_xlfn.CONCAT("Link ("&amp;Table1[[#This Row],[Other]]&amp;")"))))</f>
        <v/>
      </c>
      <c r="BA345" s="59"/>
      <c r="BB345" s="58" t="str">
        <f>IF(AND( Table1[[#This Row],[Auto Order]]=1,Table1[[#This Row],[Obsolete]]=""),IF(Table1[[#This Row],[In stock]]&lt;Table1[[#This Row],[Min in stock]],1,""),"")</f>
        <v/>
      </c>
      <c r="BC345" s="64"/>
      <c r="BD345" s="66" t="str">
        <f>IF(Table1[[#This Row],[Obsolete]],Table1[[#This Row],[Art. Number]],"")</f>
        <v/>
      </c>
    </row>
    <row r="346" spans="1:56" x14ac:dyDescent="0.25">
      <c r="A346" s="65" t="s">
        <v>2057</v>
      </c>
      <c r="B346" s="57" t="s">
        <v>168</v>
      </c>
      <c r="C346" s="57" t="s">
        <v>97</v>
      </c>
      <c r="D346" s="57" t="s">
        <v>2058</v>
      </c>
      <c r="E346" s="57" t="s">
        <v>151</v>
      </c>
      <c r="F346" s="58">
        <v>0</v>
      </c>
      <c r="G346" s="58"/>
      <c r="H346" s="58"/>
      <c r="I34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RHM91DCT-ND</v>
      </c>
      <c r="J34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(RHM91DCT-ND)</v>
      </c>
      <c r="M346" s="57" t="s">
        <v>2059</v>
      </c>
      <c r="N346" s="59">
        <v>0.1</v>
      </c>
      <c r="O346" s="61" t="str">
        <f>IF(Table1[[#This Row],[Digikey]]="","", HYPERLINK(Table1[[#This Row],[Destination - Digikey]],_xlfn.CONCAT("Link (",Table1[[#This Row],[Digikey]],")")))</f>
        <v>Link (RHM91DCT-ND)</v>
      </c>
      <c r="P346" s="62" t="str">
        <f>_xlfn.CONCAT("https://www.digikey.ch/products/en?keywords=",Table1[[#This Row],[Digikey]])</f>
        <v>https://www.digikey.ch/products/en?keywords=RHM91DCT-ND</v>
      </c>
      <c r="Q346" s="57"/>
      <c r="R346" s="59"/>
      <c r="S346" s="61" t="str">
        <f>IF(Table1[[#This Row],[Farnell]]="","", HYPERLINK(Table1[[#This Row],[Destination - Farnell]],_xlfn.CONCAT("Link (",Table1[[#This Row],[Farnell]],")")))</f>
        <v/>
      </c>
      <c r="T346" s="62" t="str">
        <f>_xlfn.CONCAT("https://ch.farnell.com/fr-CH/",Table1[[#This Row],[Farnell]])</f>
        <v>https://ch.farnell.com/fr-CH/</v>
      </c>
      <c r="U346" s="57"/>
      <c r="V346" s="59"/>
      <c r="W346" s="61" t="str">
        <f>IF(Table1[[#This Row],[Distrelec]]="","", HYPERLINK(Table1[[#This Row],[Destination - Distrelec]],_xlfn.CONCAT("Link (",Table1[[#This Row],[Distrelec]],")")))</f>
        <v/>
      </c>
      <c r="X346" s="62" t="str">
        <f>_xlfn.CONCAT("https://www.distrelec.ch/search?q=",Table1[[#This Row],[Distrelec]])</f>
        <v>https://www.distrelec.ch/search?q=</v>
      </c>
      <c r="Y346" s="57"/>
      <c r="Z346" s="59"/>
      <c r="AA346" s="61" t="str">
        <f>IF(Table1[[#This Row],[Conrad]]="","", HYPERLINK(Table1[[#This Row],[Destination - Conrad]],_xlfn.CONCAT("Link (",Table1[[#This Row],[Conrad]],")")))</f>
        <v/>
      </c>
      <c r="AB346" s="62"/>
      <c r="AC346" s="57"/>
      <c r="AD346" s="59"/>
      <c r="AE346" s="61" t="str">
        <f>IF(Table1[[#This Row],[Mouser]]="","", HYPERLINK(Table1[[#This Row],[Destination - Mouser]],_xlfn.CONCAT("Link (",Table1[[#This Row],[Mouser]],")")))</f>
        <v/>
      </c>
      <c r="AF346" s="62" t="str">
        <f>_xlfn.CONCAT("https://www.mouser.ch/ProductDetail/",Table1[[#This Row],[Mouser]])</f>
        <v>https://www.mouser.ch/ProductDetail/</v>
      </c>
      <c r="AG346" s="57"/>
      <c r="AH346" s="59"/>
      <c r="AI346" s="61" t="str">
        <f>IF(Table1[[#This Row],[Bauhaus]]="","", HYPERLINK(Table1[[#This Row],[Destination - Bauhaus]],_xlfn.CONCAT("Link (",Table1[[#This Row],[Bauhaus]],")")))</f>
        <v/>
      </c>
      <c r="AJ346" s="62" t="str">
        <f>_xlfn.CONCAT("https://www.bauhaus.ch/fr/search?query=",Table1[[#This Row],[Bauhaus]])</f>
        <v>https://www.bauhaus.ch/fr/search?query=</v>
      </c>
      <c r="AK346" s="59"/>
      <c r="AL346" s="59"/>
      <c r="AM346" s="61" t="str">
        <f>IF(Table1[[#This Row],[BricoEtLoisirs]]="","", HYPERLINK(Table1[[#This Row],[Destination - BricoEtLoisirs]],_xlfn.CONCAT("Link (",Table1[[#This Row],[BricoEtLoisirs]],")")))</f>
        <v/>
      </c>
      <c r="AN346" s="62" t="str">
        <f>_xlfn.CONCAT("https://bricoetloisirs.ch/p/",Table1[[#This Row],[BricoEtLoisirs]])</f>
        <v>https://bricoetloisirs.ch/p/</v>
      </c>
      <c r="AO346" s="57"/>
      <c r="AP346" s="59"/>
      <c r="AQ346" s="61" t="str">
        <f>IF(Table1[[#This Row],[Aliexpress]]="","", HYPERLINK(Table1[[#This Row],[Destination - Aliexpress]],_xlfn.CONCAT("Link (",Table1[[#This Row],[Aliexpress]],")")))</f>
        <v/>
      </c>
      <c r="AR346" s="62" t="str">
        <f>_xlfn.CONCAT("https://www.aliexpress.com/item/",Table1[[#This Row],[Aliexpress]],".html")</f>
        <v>https://www.aliexpress.com/item/.html</v>
      </c>
      <c r="AS346" s="57"/>
      <c r="AT346" s="59"/>
      <c r="AU346" s="61" t="str">
        <f>IF(Table1[[#This Row],[Banggood]]="","", HYPERLINK(Table1[[#This Row],[Destination - Banggood]],_xlfn.CONCAT("Link (",Table1[[#This Row],[Banggood]],")")))</f>
        <v/>
      </c>
      <c r="AV346" s="62" t="str">
        <f>_xlfn.CONCAT("https://www.banggood.com/search/",Table1[[#This Row],[Banggood]],".html")</f>
        <v>https://www.banggood.com/search/.html</v>
      </c>
      <c r="AW346" s="59" t="str">
        <f>IF(Table1[[#This Row],[Other]]&lt;&gt;"","Other","")</f>
        <v/>
      </c>
      <c r="AX346" s="57"/>
      <c r="AY346" s="59"/>
      <c r="AZ346" s="61" t="str">
        <f>IF(Table1[[#This Row],[Other]]="","",IF(Table1[[#This Row],[Destination - Other]]="","",HYPERLINK(Table1[[#This Row],[Destination - Other]],_xlfn.CONCAT("Link ("&amp;Table1[[#This Row],[Other]]&amp;")"))))</f>
        <v/>
      </c>
      <c r="BA346" s="59"/>
      <c r="BB346" s="58" t="str">
        <f>IF(AND( Table1[[#This Row],[Auto Order]]=1,Table1[[#This Row],[Obsolete]]=""),IF(Table1[[#This Row],[In stock]]&lt;Table1[[#This Row],[Min in stock]],1,""),"")</f>
        <v/>
      </c>
      <c r="BC346" s="64"/>
      <c r="BD346" s="66" t="str">
        <f>IF(Table1[[#This Row],[Obsolete]],Table1[[#This Row],[Art. Number]],"")</f>
        <v/>
      </c>
    </row>
    <row r="347" spans="1:56" x14ac:dyDescent="0.25">
      <c r="A347" s="65" t="s">
        <v>2063</v>
      </c>
      <c r="B347" s="57" t="s">
        <v>168</v>
      </c>
      <c r="C347" s="57" t="s">
        <v>97</v>
      </c>
      <c r="D347" s="57" t="s">
        <v>2064</v>
      </c>
      <c r="E347" s="57" t="s">
        <v>151</v>
      </c>
      <c r="F347" s="58">
        <v>0</v>
      </c>
      <c r="G347" s="58"/>
      <c r="H347" s="58"/>
      <c r="I34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RHM910DCT-ND</v>
      </c>
      <c r="J34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(RHM910DCT-ND)</v>
      </c>
      <c r="M347" s="57" t="s">
        <v>2065</v>
      </c>
      <c r="N347" s="59">
        <v>0.1</v>
      </c>
      <c r="O347" s="61" t="str">
        <f>IF(Table1[[#This Row],[Digikey]]="","", HYPERLINK(Table1[[#This Row],[Destination - Digikey]],_xlfn.CONCAT("Link (",Table1[[#This Row],[Digikey]],")")))</f>
        <v>Link (RHM910DCT-ND)</v>
      </c>
      <c r="P347" s="62" t="str">
        <f>_xlfn.CONCAT("https://www.digikey.ch/products/en?keywords=",Table1[[#This Row],[Digikey]])</f>
        <v>https://www.digikey.ch/products/en?keywords=RHM910DCT-ND</v>
      </c>
      <c r="Q347" s="57"/>
      <c r="R347" s="59"/>
      <c r="S347" s="61" t="str">
        <f>IF(Table1[[#This Row],[Farnell]]="","", HYPERLINK(Table1[[#This Row],[Destination - Farnell]],_xlfn.CONCAT("Link (",Table1[[#This Row],[Farnell]],")")))</f>
        <v/>
      </c>
      <c r="T347" s="62" t="str">
        <f>_xlfn.CONCAT("https://ch.farnell.com/fr-CH/",Table1[[#This Row],[Farnell]])</f>
        <v>https://ch.farnell.com/fr-CH/</v>
      </c>
      <c r="U347" s="57"/>
      <c r="V347" s="59"/>
      <c r="W347" s="61" t="str">
        <f>IF(Table1[[#This Row],[Distrelec]]="","", HYPERLINK(Table1[[#This Row],[Destination - Distrelec]],_xlfn.CONCAT("Link (",Table1[[#This Row],[Distrelec]],")")))</f>
        <v/>
      </c>
      <c r="X347" s="62" t="str">
        <f>_xlfn.CONCAT("https://www.distrelec.ch/search?q=",Table1[[#This Row],[Distrelec]])</f>
        <v>https://www.distrelec.ch/search?q=</v>
      </c>
      <c r="Y347" s="57"/>
      <c r="Z347" s="59"/>
      <c r="AA347" s="61" t="str">
        <f>IF(Table1[[#This Row],[Conrad]]="","", HYPERLINK(Table1[[#This Row],[Destination - Conrad]],_xlfn.CONCAT("Link (",Table1[[#This Row],[Conrad]],")")))</f>
        <v/>
      </c>
      <c r="AB347" s="62"/>
      <c r="AC347" s="57"/>
      <c r="AD347" s="59"/>
      <c r="AE347" s="61" t="str">
        <f>IF(Table1[[#This Row],[Mouser]]="","", HYPERLINK(Table1[[#This Row],[Destination - Mouser]],_xlfn.CONCAT("Link (",Table1[[#This Row],[Mouser]],")")))</f>
        <v/>
      </c>
      <c r="AF347" s="62" t="str">
        <f>_xlfn.CONCAT("https://www.mouser.ch/ProductDetail/",Table1[[#This Row],[Mouser]])</f>
        <v>https://www.mouser.ch/ProductDetail/</v>
      </c>
      <c r="AG347" s="57"/>
      <c r="AH347" s="59"/>
      <c r="AI347" s="61" t="str">
        <f>IF(Table1[[#This Row],[Bauhaus]]="","", HYPERLINK(Table1[[#This Row],[Destination - Bauhaus]],_xlfn.CONCAT("Link (",Table1[[#This Row],[Bauhaus]],")")))</f>
        <v/>
      </c>
      <c r="AJ347" s="62" t="str">
        <f>_xlfn.CONCAT("https://www.bauhaus.ch/fr/search?query=",Table1[[#This Row],[Bauhaus]])</f>
        <v>https://www.bauhaus.ch/fr/search?query=</v>
      </c>
      <c r="AK347" s="59"/>
      <c r="AL347" s="59"/>
      <c r="AM347" s="61" t="str">
        <f>IF(Table1[[#This Row],[BricoEtLoisirs]]="","", HYPERLINK(Table1[[#This Row],[Destination - BricoEtLoisirs]],_xlfn.CONCAT("Link (",Table1[[#This Row],[BricoEtLoisirs]],")")))</f>
        <v/>
      </c>
      <c r="AN347" s="62" t="str">
        <f>_xlfn.CONCAT("https://bricoetloisirs.ch/p/",Table1[[#This Row],[BricoEtLoisirs]])</f>
        <v>https://bricoetloisirs.ch/p/</v>
      </c>
      <c r="AO347" s="57"/>
      <c r="AP347" s="59"/>
      <c r="AQ347" s="61" t="str">
        <f>IF(Table1[[#This Row],[Aliexpress]]="","", HYPERLINK(Table1[[#This Row],[Destination - Aliexpress]],_xlfn.CONCAT("Link (",Table1[[#This Row],[Aliexpress]],")")))</f>
        <v/>
      </c>
      <c r="AR347" s="62" t="str">
        <f>_xlfn.CONCAT("https://www.aliexpress.com/item/",Table1[[#This Row],[Aliexpress]],".html")</f>
        <v>https://www.aliexpress.com/item/.html</v>
      </c>
      <c r="AS347" s="57"/>
      <c r="AT347" s="59"/>
      <c r="AU347" s="61" t="str">
        <f>IF(Table1[[#This Row],[Banggood]]="","", HYPERLINK(Table1[[#This Row],[Destination - Banggood]],_xlfn.CONCAT("Link (",Table1[[#This Row],[Banggood]],")")))</f>
        <v/>
      </c>
      <c r="AV347" s="62" t="str">
        <f>_xlfn.CONCAT("https://www.banggood.com/search/",Table1[[#This Row],[Banggood]],".html")</f>
        <v>https://www.banggood.com/search/.html</v>
      </c>
      <c r="AW347" s="59" t="str">
        <f>IF(Table1[[#This Row],[Other]]&lt;&gt;"","Other","")</f>
        <v/>
      </c>
      <c r="AX347" s="57"/>
      <c r="AY347" s="59"/>
      <c r="AZ347" s="61" t="str">
        <f>IF(Table1[[#This Row],[Other]]="","",IF(Table1[[#This Row],[Destination - Other]]="","",HYPERLINK(Table1[[#This Row],[Destination - Other]],_xlfn.CONCAT("Link ("&amp;Table1[[#This Row],[Other]]&amp;")"))))</f>
        <v/>
      </c>
      <c r="BA347" s="59"/>
      <c r="BB347" s="58" t="str">
        <f>IF(AND( Table1[[#This Row],[Auto Order]]=1,Table1[[#This Row],[Obsolete]]=""),IF(Table1[[#This Row],[In stock]]&lt;Table1[[#This Row],[Min in stock]],1,""),"")</f>
        <v/>
      </c>
      <c r="BC347" s="64"/>
      <c r="BD347" s="66" t="str">
        <f>IF(Table1[[#This Row],[Obsolete]],Table1[[#This Row],[Art. Number]],"")</f>
        <v/>
      </c>
    </row>
    <row r="348" spans="1:56" x14ac:dyDescent="0.25">
      <c r="A348" s="65" t="s">
        <v>2069</v>
      </c>
      <c r="B348" s="57" t="s">
        <v>168</v>
      </c>
      <c r="C348" s="57" t="s">
        <v>97</v>
      </c>
      <c r="D348" s="57" t="s">
        <v>2070</v>
      </c>
      <c r="E348" s="57" t="s">
        <v>151</v>
      </c>
      <c r="F348" s="58">
        <v>0</v>
      </c>
      <c r="G348" s="58"/>
      <c r="H348" s="58"/>
      <c r="I34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RHM9.1KDCT-ND</v>
      </c>
      <c r="J34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(RHM9.1KDCT-ND)</v>
      </c>
      <c r="M348" s="57" t="s">
        <v>2071</v>
      </c>
      <c r="N348" s="59">
        <v>0.1</v>
      </c>
      <c r="O348" s="61" t="str">
        <f>IF(Table1[[#This Row],[Digikey]]="","", HYPERLINK(Table1[[#This Row],[Destination - Digikey]],_xlfn.CONCAT("Link (",Table1[[#This Row],[Digikey]],")")))</f>
        <v>Link (RHM9.1KDCT-ND)</v>
      </c>
      <c r="P348" s="62" t="str">
        <f>_xlfn.CONCAT("https://www.digikey.ch/products/en?keywords=",Table1[[#This Row],[Digikey]])</f>
        <v>https://www.digikey.ch/products/en?keywords=RHM9.1KDCT-ND</v>
      </c>
      <c r="Q348" s="57"/>
      <c r="R348" s="59"/>
      <c r="S348" s="61" t="str">
        <f>IF(Table1[[#This Row],[Farnell]]="","", HYPERLINK(Table1[[#This Row],[Destination - Farnell]],_xlfn.CONCAT("Link (",Table1[[#This Row],[Farnell]],")")))</f>
        <v/>
      </c>
      <c r="T348" s="62" t="str">
        <f>_xlfn.CONCAT("https://ch.farnell.com/fr-CH/",Table1[[#This Row],[Farnell]])</f>
        <v>https://ch.farnell.com/fr-CH/</v>
      </c>
      <c r="U348" s="57"/>
      <c r="V348" s="59"/>
      <c r="W348" s="61" t="str">
        <f>IF(Table1[[#This Row],[Distrelec]]="","", HYPERLINK(Table1[[#This Row],[Destination - Distrelec]],_xlfn.CONCAT("Link (",Table1[[#This Row],[Distrelec]],")")))</f>
        <v/>
      </c>
      <c r="X348" s="62" t="str">
        <f>_xlfn.CONCAT("https://www.distrelec.ch/search?q=",Table1[[#This Row],[Distrelec]])</f>
        <v>https://www.distrelec.ch/search?q=</v>
      </c>
      <c r="Y348" s="57"/>
      <c r="Z348" s="59"/>
      <c r="AA348" s="61" t="str">
        <f>IF(Table1[[#This Row],[Conrad]]="","", HYPERLINK(Table1[[#This Row],[Destination - Conrad]],_xlfn.CONCAT("Link (",Table1[[#This Row],[Conrad]],")")))</f>
        <v/>
      </c>
      <c r="AB348" s="62"/>
      <c r="AC348" s="57"/>
      <c r="AD348" s="59"/>
      <c r="AE348" s="61" t="str">
        <f>IF(Table1[[#This Row],[Mouser]]="","", HYPERLINK(Table1[[#This Row],[Destination - Mouser]],_xlfn.CONCAT("Link (",Table1[[#This Row],[Mouser]],")")))</f>
        <v/>
      </c>
      <c r="AF348" s="62" t="str">
        <f>_xlfn.CONCAT("https://www.mouser.ch/ProductDetail/",Table1[[#This Row],[Mouser]])</f>
        <v>https://www.mouser.ch/ProductDetail/</v>
      </c>
      <c r="AG348" s="57"/>
      <c r="AH348" s="59"/>
      <c r="AI348" s="61" t="str">
        <f>IF(Table1[[#This Row],[Bauhaus]]="","", HYPERLINK(Table1[[#This Row],[Destination - Bauhaus]],_xlfn.CONCAT("Link (",Table1[[#This Row],[Bauhaus]],")")))</f>
        <v/>
      </c>
      <c r="AJ348" s="62" t="str">
        <f>_xlfn.CONCAT("https://www.bauhaus.ch/fr/search?query=",Table1[[#This Row],[Bauhaus]])</f>
        <v>https://www.bauhaus.ch/fr/search?query=</v>
      </c>
      <c r="AK348" s="59"/>
      <c r="AL348" s="59"/>
      <c r="AM348" s="61" t="str">
        <f>IF(Table1[[#This Row],[BricoEtLoisirs]]="","", HYPERLINK(Table1[[#This Row],[Destination - BricoEtLoisirs]],_xlfn.CONCAT("Link (",Table1[[#This Row],[BricoEtLoisirs]],")")))</f>
        <v/>
      </c>
      <c r="AN348" s="62" t="str">
        <f>_xlfn.CONCAT("https://bricoetloisirs.ch/p/",Table1[[#This Row],[BricoEtLoisirs]])</f>
        <v>https://bricoetloisirs.ch/p/</v>
      </c>
      <c r="AO348" s="57"/>
      <c r="AP348" s="59"/>
      <c r="AQ348" s="61" t="str">
        <f>IF(Table1[[#This Row],[Aliexpress]]="","", HYPERLINK(Table1[[#This Row],[Destination - Aliexpress]],_xlfn.CONCAT("Link (",Table1[[#This Row],[Aliexpress]],")")))</f>
        <v/>
      </c>
      <c r="AR348" s="62" t="str">
        <f>_xlfn.CONCAT("https://www.aliexpress.com/item/",Table1[[#This Row],[Aliexpress]],".html")</f>
        <v>https://www.aliexpress.com/item/.html</v>
      </c>
      <c r="AS348" s="57"/>
      <c r="AT348" s="59"/>
      <c r="AU348" s="61" t="str">
        <f>IF(Table1[[#This Row],[Banggood]]="","", HYPERLINK(Table1[[#This Row],[Destination - Banggood]],_xlfn.CONCAT("Link (",Table1[[#This Row],[Banggood]],")")))</f>
        <v/>
      </c>
      <c r="AV348" s="62" t="str">
        <f>_xlfn.CONCAT("https://www.banggood.com/search/",Table1[[#This Row],[Banggood]],".html")</f>
        <v>https://www.banggood.com/search/.html</v>
      </c>
      <c r="AW348" s="59" t="str">
        <f>IF(Table1[[#This Row],[Other]]&lt;&gt;"","Other","")</f>
        <v/>
      </c>
      <c r="AX348" s="57"/>
      <c r="AY348" s="59"/>
      <c r="AZ348" s="61" t="str">
        <f>IF(Table1[[#This Row],[Other]]="","",IF(Table1[[#This Row],[Destination - Other]]="","",HYPERLINK(Table1[[#This Row],[Destination - Other]],_xlfn.CONCAT("Link ("&amp;Table1[[#This Row],[Other]]&amp;")"))))</f>
        <v/>
      </c>
      <c r="BA348" s="59"/>
      <c r="BB348" s="58" t="str">
        <f>IF(AND( Table1[[#This Row],[Auto Order]]=1,Table1[[#This Row],[Obsolete]]=""),IF(Table1[[#This Row],[In stock]]&lt;Table1[[#This Row],[Min in stock]],1,""),"")</f>
        <v/>
      </c>
      <c r="BC348" s="64"/>
      <c r="BD348" s="66" t="str">
        <f>IF(Table1[[#This Row],[Obsolete]],Table1[[#This Row],[Art. Number]],"")</f>
        <v/>
      </c>
    </row>
    <row r="349" spans="1:56" x14ac:dyDescent="0.25">
      <c r="A349" s="65" t="s">
        <v>2075</v>
      </c>
      <c r="B349" s="57" t="s">
        <v>168</v>
      </c>
      <c r="C349" s="57" t="s">
        <v>97</v>
      </c>
      <c r="D349" s="57" t="s">
        <v>2076</v>
      </c>
      <c r="E349" s="57" t="s">
        <v>151</v>
      </c>
      <c r="F349" s="58">
        <v>0</v>
      </c>
      <c r="G349" s="58"/>
      <c r="H349" s="58"/>
      <c r="I34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RHM91KDCT-ND</v>
      </c>
      <c r="J34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4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4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(RHM91KDCT-ND)</v>
      </c>
      <c r="M349" s="57" t="s">
        <v>2077</v>
      </c>
      <c r="N349" s="59">
        <v>0.1</v>
      </c>
      <c r="O349" s="61" t="str">
        <f>IF(Table1[[#This Row],[Digikey]]="","", HYPERLINK(Table1[[#This Row],[Destination - Digikey]],_xlfn.CONCAT("Link (",Table1[[#This Row],[Digikey]],")")))</f>
        <v>Link (RHM91KDCT-ND)</v>
      </c>
      <c r="P349" s="62" t="str">
        <f>_xlfn.CONCAT("https://www.digikey.ch/products/en?keywords=",Table1[[#This Row],[Digikey]])</f>
        <v>https://www.digikey.ch/products/en?keywords=RHM91KDCT-ND</v>
      </c>
      <c r="Q349" s="57"/>
      <c r="R349" s="59"/>
      <c r="S349" s="61" t="str">
        <f>IF(Table1[[#This Row],[Farnell]]="","", HYPERLINK(Table1[[#This Row],[Destination - Farnell]],_xlfn.CONCAT("Link (",Table1[[#This Row],[Farnell]],")")))</f>
        <v/>
      </c>
      <c r="T349" s="62" t="str">
        <f>_xlfn.CONCAT("https://ch.farnell.com/fr-CH/",Table1[[#This Row],[Farnell]])</f>
        <v>https://ch.farnell.com/fr-CH/</v>
      </c>
      <c r="U349" s="57"/>
      <c r="V349" s="59"/>
      <c r="W349" s="61" t="str">
        <f>IF(Table1[[#This Row],[Distrelec]]="","", HYPERLINK(Table1[[#This Row],[Destination - Distrelec]],_xlfn.CONCAT("Link (",Table1[[#This Row],[Distrelec]],")")))</f>
        <v/>
      </c>
      <c r="X349" s="62" t="str">
        <f>_xlfn.CONCAT("https://www.distrelec.ch/search?q=",Table1[[#This Row],[Distrelec]])</f>
        <v>https://www.distrelec.ch/search?q=</v>
      </c>
      <c r="Y349" s="57"/>
      <c r="Z349" s="59"/>
      <c r="AA349" s="61" t="str">
        <f>IF(Table1[[#This Row],[Conrad]]="","", HYPERLINK(Table1[[#This Row],[Destination - Conrad]],_xlfn.CONCAT("Link (",Table1[[#This Row],[Conrad]],")")))</f>
        <v/>
      </c>
      <c r="AB349" s="62"/>
      <c r="AC349" s="57"/>
      <c r="AD349" s="59"/>
      <c r="AE349" s="61" t="str">
        <f>IF(Table1[[#This Row],[Mouser]]="","", HYPERLINK(Table1[[#This Row],[Destination - Mouser]],_xlfn.CONCAT("Link (",Table1[[#This Row],[Mouser]],")")))</f>
        <v/>
      </c>
      <c r="AF349" s="62" t="str">
        <f>_xlfn.CONCAT("https://www.mouser.ch/ProductDetail/",Table1[[#This Row],[Mouser]])</f>
        <v>https://www.mouser.ch/ProductDetail/</v>
      </c>
      <c r="AG349" s="57"/>
      <c r="AH349" s="59"/>
      <c r="AI349" s="61" t="str">
        <f>IF(Table1[[#This Row],[Bauhaus]]="","", HYPERLINK(Table1[[#This Row],[Destination - Bauhaus]],_xlfn.CONCAT("Link (",Table1[[#This Row],[Bauhaus]],")")))</f>
        <v/>
      </c>
      <c r="AJ349" s="62" t="str">
        <f>_xlfn.CONCAT("https://www.bauhaus.ch/fr/search?query=",Table1[[#This Row],[Bauhaus]])</f>
        <v>https://www.bauhaus.ch/fr/search?query=</v>
      </c>
      <c r="AK349" s="59"/>
      <c r="AL349" s="59"/>
      <c r="AM349" s="61" t="str">
        <f>IF(Table1[[#This Row],[BricoEtLoisirs]]="","", HYPERLINK(Table1[[#This Row],[Destination - BricoEtLoisirs]],_xlfn.CONCAT("Link (",Table1[[#This Row],[BricoEtLoisirs]],")")))</f>
        <v/>
      </c>
      <c r="AN349" s="62" t="str">
        <f>_xlfn.CONCAT("https://bricoetloisirs.ch/p/",Table1[[#This Row],[BricoEtLoisirs]])</f>
        <v>https://bricoetloisirs.ch/p/</v>
      </c>
      <c r="AO349" s="57"/>
      <c r="AP349" s="59"/>
      <c r="AQ349" s="61" t="str">
        <f>IF(Table1[[#This Row],[Aliexpress]]="","", HYPERLINK(Table1[[#This Row],[Destination - Aliexpress]],_xlfn.CONCAT("Link (",Table1[[#This Row],[Aliexpress]],")")))</f>
        <v/>
      </c>
      <c r="AR349" s="62" t="str">
        <f>_xlfn.CONCAT("https://www.aliexpress.com/item/",Table1[[#This Row],[Aliexpress]],".html")</f>
        <v>https://www.aliexpress.com/item/.html</v>
      </c>
      <c r="AS349" s="57"/>
      <c r="AT349" s="59"/>
      <c r="AU349" s="61" t="str">
        <f>IF(Table1[[#This Row],[Banggood]]="","", HYPERLINK(Table1[[#This Row],[Destination - Banggood]],_xlfn.CONCAT("Link (",Table1[[#This Row],[Banggood]],")")))</f>
        <v/>
      </c>
      <c r="AV349" s="62" t="str">
        <f>_xlfn.CONCAT("https://www.banggood.com/search/",Table1[[#This Row],[Banggood]],".html")</f>
        <v>https://www.banggood.com/search/.html</v>
      </c>
      <c r="AW349" s="59" t="str">
        <f>IF(Table1[[#This Row],[Other]]&lt;&gt;"","Other","")</f>
        <v/>
      </c>
      <c r="AX349" s="57"/>
      <c r="AY349" s="59"/>
      <c r="AZ349" s="61" t="str">
        <f>IF(Table1[[#This Row],[Other]]="","",IF(Table1[[#This Row],[Destination - Other]]="","",HYPERLINK(Table1[[#This Row],[Destination - Other]],_xlfn.CONCAT("Link ("&amp;Table1[[#This Row],[Other]]&amp;")"))))</f>
        <v/>
      </c>
      <c r="BA349" s="59"/>
      <c r="BB349" s="58" t="str">
        <f>IF(AND( Table1[[#This Row],[Auto Order]]=1,Table1[[#This Row],[Obsolete]]=""),IF(Table1[[#This Row],[In stock]]&lt;Table1[[#This Row],[Min in stock]],1,""),"")</f>
        <v/>
      </c>
      <c r="BC349" s="64"/>
      <c r="BD349" s="66" t="str">
        <f>IF(Table1[[#This Row],[Obsolete]],Table1[[#This Row],[Art. Number]],"")</f>
        <v/>
      </c>
    </row>
    <row r="350" spans="1:56" x14ac:dyDescent="0.25">
      <c r="A350" s="65" t="s">
        <v>2081</v>
      </c>
      <c r="B350" s="57" t="s">
        <v>168</v>
      </c>
      <c r="C350" s="57" t="s">
        <v>97</v>
      </c>
      <c r="D350" s="57" t="s">
        <v>2082</v>
      </c>
      <c r="E350" s="57" t="s">
        <v>151</v>
      </c>
      <c r="F350" s="58">
        <v>0</v>
      </c>
      <c r="G350" s="58"/>
      <c r="H350" s="58"/>
      <c r="I35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RHM910KDCT-ND</v>
      </c>
      <c r="J35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(RHM910KDCT-ND)</v>
      </c>
      <c r="M350" s="57" t="s">
        <v>2083</v>
      </c>
      <c r="N350" s="59">
        <v>0.1</v>
      </c>
      <c r="O350" s="61" t="str">
        <f>IF(Table1[[#This Row],[Digikey]]="","", HYPERLINK(Table1[[#This Row],[Destination - Digikey]],_xlfn.CONCAT("Link (",Table1[[#This Row],[Digikey]],")")))</f>
        <v>Link (RHM910KDCT-ND)</v>
      </c>
      <c r="P350" s="62" t="str">
        <f>_xlfn.CONCAT("https://www.digikey.ch/products/en?keywords=",Table1[[#This Row],[Digikey]])</f>
        <v>https://www.digikey.ch/products/en?keywords=RHM910KDCT-ND</v>
      </c>
      <c r="Q350" s="57"/>
      <c r="R350" s="59"/>
      <c r="S350" s="61" t="str">
        <f>IF(Table1[[#This Row],[Farnell]]="","", HYPERLINK(Table1[[#This Row],[Destination - Farnell]],_xlfn.CONCAT("Link (",Table1[[#This Row],[Farnell]],")")))</f>
        <v/>
      </c>
      <c r="T350" s="62" t="str">
        <f>_xlfn.CONCAT("https://ch.farnell.com/fr-CH/",Table1[[#This Row],[Farnell]])</f>
        <v>https://ch.farnell.com/fr-CH/</v>
      </c>
      <c r="U350" s="57"/>
      <c r="V350" s="59"/>
      <c r="W350" s="61" t="str">
        <f>IF(Table1[[#This Row],[Distrelec]]="","", HYPERLINK(Table1[[#This Row],[Destination - Distrelec]],_xlfn.CONCAT("Link (",Table1[[#This Row],[Distrelec]],")")))</f>
        <v/>
      </c>
      <c r="X350" s="62" t="str">
        <f>_xlfn.CONCAT("https://www.distrelec.ch/search?q=",Table1[[#This Row],[Distrelec]])</f>
        <v>https://www.distrelec.ch/search?q=</v>
      </c>
      <c r="Y350" s="57"/>
      <c r="Z350" s="59"/>
      <c r="AA350" s="61" t="str">
        <f>IF(Table1[[#This Row],[Conrad]]="","", HYPERLINK(Table1[[#This Row],[Destination - Conrad]],_xlfn.CONCAT("Link (",Table1[[#This Row],[Conrad]],")")))</f>
        <v/>
      </c>
      <c r="AB350" s="62"/>
      <c r="AC350" s="57"/>
      <c r="AD350" s="59"/>
      <c r="AE350" s="61" t="str">
        <f>IF(Table1[[#This Row],[Mouser]]="","", HYPERLINK(Table1[[#This Row],[Destination - Mouser]],_xlfn.CONCAT("Link (",Table1[[#This Row],[Mouser]],")")))</f>
        <v/>
      </c>
      <c r="AF350" s="62" t="str">
        <f>_xlfn.CONCAT("https://www.mouser.ch/ProductDetail/",Table1[[#This Row],[Mouser]])</f>
        <v>https://www.mouser.ch/ProductDetail/</v>
      </c>
      <c r="AG350" s="57"/>
      <c r="AH350" s="59"/>
      <c r="AI350" s="61" t="str">
        <f>IF(Table1[[#This Row],[Bauhaus]]="","", HYPERLINK(Table1[[#This Row],[Destination - Bauhaus]],_xlfn.CONCAT("Link (",Table1[[#This Row],[Bauhaus]],")")))</f>
        <v/>
      </c>
      <c r="AJ350" s="62" t="str">
        <f>_xlfn.CONCAT("https://www.bauhaus.ch/fr/search?query=",Table1[[#This Row],[Bauhaus]])</f>
        <v>https://www.bauhaus.ch/fr/search?query=</v>
      </c>
      <c r="AK350" s="59"/>
      <c r="AL350" s="59"/>
      <c r="AM350" s="61" t="str">
        <f>IF(Table1[[#This Row],[BricoEtLoisirs]]="","", HYPERLINK(Table1[[#This Row],[Destination - BricoEtLoisirs]],_xlfn.CONCAT("Link (",Table1[[#This Row],[BricoEtLoisirs]],")")))</f>
        <v/>
      </c>
      <c r="AN350" s="62" t="str">
        <f>_xlfn.CONCAT("https://bricoetloisirs.ch/p/",Table1[[#This Row],[BricoEtLoisirs]])</f>
        <v>https://bricoetloisirs.ch/p/</v>
      </c>
      <c r="AO350" s="57"/>
      <c r="AP350" s="59"/>
      <c r="AQ350" s="61" t="str">
        <f>IF(Table1[[#This Row],[Aliexpress]]="","", HYPERLINK(Table1[[#This Row],[Destination - Aliexpress]],_xlfn.CONCAT("Link (",Table1[[#This Row],[Aliexpress]],")")))</f>
        <v/>
      </c>
      <c r="AR350" s="62" t="str">
        <f>_xlfn.CONCAT("https://www.aliexpress.com/item/",Table1[[#This Row],[Aliexpress]],".html")</f>
        <v>https://www.aliexpress.com/item/.html</v>
      </c>
      <c r="AS350" s="57"/>
      <c r="AT350" s="59"/>
      <c r="AU350" s="61" t="str">
        <f>IF(Table1[[#This Row],[Banggood]]="","", HYPERLINK(Table1[[#This Row],[Destination - Banggood]],_xlfn.CONCAT("Link (",Table1[[#This Row],[Banggood]],")")))</f>
        <v/>
      </c>
      <c r="AV350" s="62" t="str">
        <f>_xlfn.CONCAT("https://www.banggood.com/search/",Table1[[#This Row],[Banggood]],".html")</f>
        <v>https://www.banggood.com/search/.html</v>
      </c>
      <c r="AW350" s="59" t="str">
        <f>IF(Table1[[#This Row],[Other]]&lt;&gt;"","Other","")</f>
        <v/>
      </c>
      <c r="AX350" s="57"/>
      <c r="AY350" s="59"/>
      <c r="AZ350" s="61" t="str">
        <f>IF(Table1[[#This Row],[Other]]="","",IF(Table1[[#This Row],[Destination - Other]]="","",HYPERLINK(Table1[[#This Row],[Destination - Other]],_xlfn.CONCAT("Link ("&amp;Table1[[#This Row],[Other]]&amp;")"))))</f>
        <v/>
      </c>
      <c r="BA350" s="59"/>
      <c r="BB350" s="58" t="str">
        <f>IF(AND( Table1[[#This Row],[Auto Order]]=1,Table1[[#This Row],[Obsolete]]=""),IF(Table1[[#This Row],[In stock]]&lt;Table1[[#This Row],[Min in stock]],1,""),"")</f>
        <v/>
      </c>
      <c r="BC350" s="64"/>
      <c r="BD350" s="66" t="str">
        <f>IF(Table1[[#This Row],[Obsolete]],Table1[[#This Row],[Art. Number]],"")</f>
        <v/>
      </c>
    </row>
    <row r="351" spans="1:56" x14ac:dyDescent="0.25">
      <c r="A351" s="65" t="s">
        <v>2087</v>
      </c>
      <c r="B351" s="57" t="s">
        <v>168</v>
      </c>
      <c r="C351" s="57" t="s">
        <v>97</v>
      </c>
      <c r="D351" s="57" t="s">
        <v>2088</v>
      </c>
      <c r="E351" s="57" t="s">
        <v>151</v>
      </c>
      <c r="F351" s="58">
        <v>0</v>
      </c>
      <c r="G351" s="58"/>
      <c r="H351" s="58"/>
      <c r="I35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RHM9.1MDCT-ND</v>
      </c>
      <c r="J35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(RHM9.1MDCT-ND)</v>
      </c>
      <c r="M351" s="57" t="s">
        <v>2089</v>
      </c>
      <c r="N351" s="59">
        <v>0.1</v>
      </c>
      <c r="O351" s="61" t="str">
        <f>IF(Table1[[#This Row],[Digikey]]="","", HYPERLINK(Table1[[#This Row],[Destination - Digikey]],_xlfn.CONCAT("Link (",Table1[[#This Row],[Digikey]],")")))</f>
        <v>Link (RHM9.1MDCT-ND)</v>
      </c>
      <c r="P351" s="62" t="str">
        <f>_xlfn.CONCAT("https://www.digikey.ch/products/en?keywords=",Table1[[#This Row],[Digikey]])</f>
        <v>https://www.digikey.ch/products/en?keywords=RHM9.1MDCT-ND</v>
      </c>
      <c r="Q351" s="57"/>
      <c r="R351" s="59"/>
      <c r="S351" s="61" t="str">
        <f>IF(Table1[[#This Row],[Farnell]]="","", HYPERLINK(Table1[[#This Row],[Destination - Farnell]],_xlfn.CONCAT("Link (",Table1[[#This Row],[Farnell]],")")))</f>
        <v/>
      </c>
      <c r="T351" s="62" t="str">
        <f>_xlfn.CONCAT("https://ch.farnell.com/fr-CH/",Table1[[#This Row],[Farnell]])</f>
        <v>https://ch.farnell.com/fr-CH/</v>
      </c>
      <c r="U351" s="57"/>
      <c r="V351" s="59"/>
      <c r="W351" s="61" t="str">
        <f>IF(Table1[[#This Row],[Distrelec]]="","", HYPERLINK(Table1[[#This Row],[Destination - Distrelec]],_xlfn.CONCAT("Link (",Table1[[#This Row],[Distrelec]],")")))</f>
        <v/>
      </c>
      <c r="X351" s="62" t="str">
        <f>_xlfn.CONCAT("https://www.distrelec.ch/search?q=",Table1[[#This Row],[Distrelec]])</f>
        <v>https://www.distrelec.ch/search?q=</v>
      </c>
      <c r="Y351" s="57"/>
      <c r="Z351" s="59"/>
      <c r="AA351" s="61" t="str">
        <f>IF(Table1[[#This Row],[Conrad]]="","", HYPERLINK(Table1[[#This Row],[Destination - Conrad]],_xlfn.CONCAT("Link (",Table1[[#This Row],[Conrad]],")")))</f>
        <v/>
      </c>
      <c r="AB351" s="62"/>
      <c r="AC351" s="57"/>
      <c r="AD351" s="59"/>
      <c r="AE351" s="61" t="str">
        <f>IF(Table1[[#This Row],[Mouser]]="","", HYPERLINK(Table1[[#This Row],[Destination - Mouser]],_xlfn.CONCAT("Link (",Table1[[#This Row],[Mouser]],")")))</f>
        <v/>
      </c>
      <c r="AF351" s="62" t="str">
        <f>_xlfn.CONCAT("https://www.mouser.ch/ProductDetail/",Table1[[#This Row],[Mouser]])</f>
        <v>https://www.mouser.ch/ProductDetail/</v>
      </c>
      <c r="AG351" s="57"/>
      <c r="AH351" s="59"/>
      <c r="AI351" s="61" t="str">
        <f>IF(Table1[[#This Row],[Bauhaus]]="","", HYPERLINK(Table1[[#This Row],[Destination - Bauhaus]],_xlfn.CONCAT("Link (",Table1[[#This Row],[Bauhaus]],")")))</f>
        <v/>
      </c>
      <c r="AJ351" s="62" t="str">
        <f>_xlfn.CONCAT("https://www.bauhaus.ch/fr/search?query=",Table1[[#This Row],[Bauhaus]])</f>
        <v>https://www.bauhaus.ch/fr/search?query=</v>
      </c>
      <c r="AK351" s="59"/>
      <c r="AL351" s="59"/>
      <c r="AM351" s="61" t="str">
        <f>IF(Table1[[#This Row],[BricoEtLoisirs]]="","", HYPERLINK(Table1[[#This Row],[Destination - BricoEtLoisirs]],_xlfn.CONCAT("Link (",Table1[[#This Row],[BricoEtLoisirs]],")")))</f>
        <v/>
      </c>
      <c r="AN351" s="62" t="str">
        <f>_xlfn.CONCAT("https://bricoetloisirs.ch/p/",Table1[[#This Row],[BricoEtLoisirs]])</f>
        <v>https://bricoetloisirs.ch/p/</v>
      </c>
      <c r="AO351" s="57"/>
      <c r="AP351" s="59"/>
      <c r="AQ351" s="61" t="str">
        <f>IF(Table1[[#This Row],[Aliexpress]]="","", HYPERLINK(Table1[[#This Row],[Destination - Aliexpress]],_xlfn.CONCAT("Link (",Table1[[#This Row],[Aliexpress]],")")))</f>
        <v/>
      </c>
      <c r="AR351" s="62" t="str">
        <f>_xlfn.CONCAT("https://www.aliexpress.com/item/",Table1[[#This Row],[Aliexpress]],".html")</f>
        <v>https://www.aliexpress.com/item/.html</v>
      </c>
      <c r="AS351" s="57"/>
      <c r="AT351" s="59"/>
      <c r="AU351" s="61" t="str">
        <f>IF(Table1[[#This Row],[Banggood]]="","", HYPERLINK(Table1[[#This Row],[Destination - Banggood]],_xlfn.CONCAT("Link (",Table1[[#This Row],[Banggood]],")")))</f>
        <v/>
      </c>
      <c r="AV351" s="62" t="str">
        <f>_xlfn.CONCAT("https://www.banggood.com/search/",Table1[[#This Row],[Banggood]],".html")</f>
        <v>https://www.banggood.com/search/.html</v>
      </c>
      <c r="AW351" s="59" t="str">
        <f>IF(Table1[[#This Row],[Other]]&lt;&gt;"","Other","")</f>
        <v/>
      </c>
      <c r="AX351" s="57"/>
      <c r="AY351" s="59"/>
      <c r="AZ351" s="61" t="str">
        <f>IF(Table1[[#This Row],[Other]]="","",IF(Table1[[#This Row],[Destination - Other]]="","",HYPERLINK(Table1[[#This Row],[Destination - Other]],_xlfn.CONCAT("Link ("&amp;Table1[[#This Row],[Other]]&amp;")"))))</f>
        <v/>
      </c>
      <c r="BA351" s="59"/>
      <c r="BB351" s="58" t="str">
        <f>IF(AND( Table1[[#This Row],[Auto Order]]=1,Table1[[#This Row],[Obsolete]]=""),IF(Table1[[#This Row],[In stock]]&lt;Table1[[#This Row],[Min in stock]],1,""),"")</f>
        <v/>
      </c>
      <c r="BC351" s="64"/>
      <c r="BD351" s="66" t="str">
        <f>IF(Table1[[#This Row],[Obsolete]],Table1[[#This Row],[Art. Number]],"")</f>
        <v/>
      </c>
    </row>
    <row r="352" spans="1:56" x14ac:dyDescent="0.25">
      <c r="A352" s="65" t="s">
        <v>2093</v>
      </c>
      <c r="B352" s="57" t="s">
        <v>168</v>
      </c>
      <c r="C352" s="57" t="s">
        <v>97</v>
      </c>
      <c r="D352" s="57" t="s">
        <v>2094</v>
      </c>
      <c r="E352" s="57" t="s">
        <v>151</v>
      </c>
      <c r="F352" s="58">
        <v>0</v>
      </c>
      <c r="G352" s="58"/>
      <c r="H352" s="58"/>
      <c r="I35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RHM9.1DCT-ND</v>
      </c>
      <c r="J35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(RHM9.1DCT-ND)</v>
      </c>
      <c r="M352" s="57" t="s">
        <v>2095</v>
      </c>
      <c r="N352" s="59">
        <v>0.1</v>
      </c>
      <c r="O352" s="61" t="str">
        <f>IF(Table1[[#This Row],[Digikey]]="","", HYPERLINK(Table1[[#This Row],[Destination - Digikey]],_xlfn.CONCAT("Link (",Table1[[#This Row],[Digikey]],")")))</f>
        <v>Link (RHM9.1DCT-ND)</v>
      </c>
      <c r="P352" s="62" t="str">
        <f>_xlfn.CONCAT("https://www.digikey.ch/products/en?keywords=",Table1[[#This Row],[Digikey]])</f>
        <v>https://www.digikey.ch/products/en?keywords=RHM9.1DCT-ND</v>
      </c>
      <c r="Q352" s="57"/>
      <c r="R352" s="59"/>
      <c r="S352" s="61" t="str">
        <f>IF(Table1[[#This Row],[Farnell]]="","", HYPERLINK(Table1[[#This Row],[Destination - Farnell]],_xlfn.CONCAT("Link (",Table1[[#This Row],[Farnell]],")")))</f>
        <v/>
      </c>
      <c r="T352" s="62" t="str">
        <f>_xlfn.CONCAT("https://ch.farnell.com/fr-CH/",Table1[[#This Row],[Farnell]])</f>
        <v>https://ch.farnell.com/fr-CH/</v>
      </c>
      <c r="U352" s="57"/>
      <c r="V352" s="59"/>
      <c r="W352" s="61" t="str">
        <f>IF(Table1[[#This Row],[Distrelec]]="","", HYPERLINK(Table1[[#This Row],[Destination - Distrelec]],_xlfn.CONCAT("Link (",Table1[[#This Row],[Distrelec]],")")))</f>
        <v/>
      </c>
      <c r="X352" s="62" t="str">
        <f>_xlfn.CONCAT("https://www.distrelec.ch/search?q=",Table1[[#This Row],[Distrelec]])</f>
        <v>https://www.distrelec.ch/search?q=</v>
      </c>
      <c r="Y352" s="57"/>
      <c r="Z352" s="59"/>
      <c r="AA352" s="61" t="str">
        <f>IF(Table1[[#This Row],[Conrad]]="","", HYPERLINK(Table1[[#This Row],[Destination - Conrad]],_xlfn.CONCAT("Link (",Table1[[#This Row],[Conrad]],")")))</f>
        <v/>
      </c>
      <c r="AB352" s="62"/>
      <c r="AC352" s="57"/>
      <c r="AD352" s="59"/>
      <c r="AE352" s="61" t="str">
        <f>IF(Table1[[#This Row],[Mouser]]="","", HYPERLINK(Table1[[#This Row],[Destination - Mouser]],_xlfn.CONCAT("Link (",Table1[[#This Row],[Mouser]],")")))</f>
        <v/>
      </c>
      <c r="AF352" s="62" t="str">
        <f>_xlfn.CONCAT("https://www.mouser.ch/ProductDetail/",Table1[[#This Row],[Mouser]])</f>
        <v>https://www.mouser.ch/ProductDetail/</v>
      </c>
      <c r="AG352" s="57"/>
      <c r="AH352" s="59"/>
      <c r="AI352" s="61" t="str">
        <f>IF(Table1[[#This Row],[Bauhaus]]="","", HYPERLINK(Table1[[#This Row],[Destination - Bauhaus]],_xlfn.CONCAT("Link (",Table1[[#This Row],[Bauhaus]],")")))</f>
        <v/>
      </c>
      <c r="AJ352" s="62" t="str">
        <f>_xlfn.CONCAT("https://www.bauhaus.ch/fr/search?query=",Table1[[#This Row],[Bauhaus]])</f>
        <v>https://www.bauhaus.ch/fr/search?query=</v>
      </c>
      <c r="AK352" s="59"/>
      <c r="AL352" s="59"/>
      <c r="AM352" s="61" t="str">
        <f>IF(Table1[[#This Row],[BricoEtLoisirs]]="","", HYPERLINK(Table1[[#This Row],[Destination - BricoEtLoisirs]],_xlfn.CONCAT("Link (",Table1[[#This Row],[BricoEtLoisirs]],")")))</f>
        <v/>
      </c>
      <c r="AN352" s="62" t="str">
        <f>_xlfn.CONCAT("https://bricoetloisirs.ch/p/",Table1[[#This Row],[BricoEtLoisirs]])</f>
        <v>https://bricoetloisirs.ch/p/</v>
      </c>
      <c r="AO352" s="57"/>
      <c r="AP352" s="59"/>
      <c r="AQ352" s="61" t="str">
        <f>IF(Table1[[#This Row],[Aliexpress]]="","", HYPERLINK(Table1[[#This Row],[Destination - Aliexpress]],_xlfn.CONCAT("Link (",Table1[[#This Row],[Aliexpress]],")")))</f>
        <v/>
      </c>
      <c r="AR352" s="62" t="str">
        <f>_xlfn.CONCAT("https://www.aliexpress.com/item/",Table1[[#This Row],[Aliexpress]],".html")</f>
        <v>https://www.aliexpress.com/item/.html</v>
      </c>
      <c r="AS352" s="57"/>
      <c r="AT352" s="59"/>
      <c r="AU352" s="61" t="str">
        <f>IF(Table1[[#This Row],[Banggood]]="","", HYPERLINK(Table1[[#This Row],[Destination - Banggood]],_xlfn.CONCAT("Link (",Table1[[#This Row],[Banggood]],")")))</f>
        <v/>
      </c>
      <c r="AV352" s="62" t="str">
        <f>_xlfn.CONCAT("https://www.banggood.com/search/",Table1[[#This Row],[Banggood]],".html")</f>
        <v>https://www.banggood.com/search/.html</v>
      </c>
      <c r="AW352" s="59" t="str">
        <f>IF(Table1[[#This Row],[Other]]&lt;&gt;"","Other","")</f>
        <v/>
      </c>
      <c r="AX352" s="57"/>
      <c r="AY352" s="59"/>
      <c r="AZ352" s="61" t="str">
        <f>IF(Table1[[#This Row],[Other]]="","",IF(Table1[[#This Row],[Destination - Other]]="","",HYPERLINK(Table1[[#This Row],[Destination - Other]],_xlfn.CONCAT("Link ("&amp;Table1[[#This Row],[Other]]&amp;")"))))</f>
        <v/>
      </c>
      <c r="BA352" s="59"/>
      <c r="BB352" s="58" t="str">
        <f>IF(AND( Table1[[#This Row],[Auto Order]]=1,Table1[[#This Row],[Obsolete]]=""),IF(Table1[[#This Row],[In stock]]&lt;Table1[[#This Row],[Min in stock]],1,""),"")</f>
        <v/>
      </c>
      <c r="BC352" s="64"/>
      <c r="BD352" s="66" t="str">
        <f>IF(Table1[[#This Row],[Obsolete]],Table1[[#This Row],[Art. Number]],"")</f>
        <v/>
      </c>
    </row>
    <row r="353" spans="1:56" x14ac:dyDescent="0.25">
      <c r="A353" s="65" t="s">
        <v>2099</v>
      </c>
      <c r="B353" s="57" t="s">
        <v>168</v>
      </c>
      <c r="C353" s="57" t="s">
        <v>2100</v>
      </c>
      <c r="D353" s="57" t="s">
        <v>2101</v>
      </c>
      <c r="E353" s="57" t="s">
        <v>151</v>
      </c>
      <c r="F353" s="58">
        <v>6</v>
      </c>
      <c r="G353" s="58"/>
      <c r="H353" s="58"/>
      <c r="I35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RHM10KKCT-ND</v>
      </c>
      <c r="J35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(RHM10KKCT-ND)</v>
      </c>
      <c r="M353" s="57" t="s">
        <v>2102</v>
      </c>
      <c r="N353" s="59">
        <v>0.1</v>
      </c>
      <c r="O353" s="61" t="str">
        <f>IF(Table1[[#This Row],[Digikey]]="","", HYPERLINK(Table1[[#This Row],[Destination - Digikey]],_xlfn.CONCAT("Link (",Table1[[#This Row],[Digikey]],")")))</f>
        <v>Link (RHM10KKCT-ND)</v>
      </c>
      <c r="P353" s="62" t="str">
        <f>_xlfn.CONCAT("https://www.digikey.ch/products/en?keywords=",Table1[[#This Row],[Digikey]])</f>
        <v>https://www.digikey.ch/products/en?keywords=RHM10KKCT-ND</v>
      </c>
      <c r="Q353" s="57"/>
      <c r="R353" s="59"/>
      <c r="S353" s="61" t="str">
        <f>IF(Table1[[#This Row],[Farnell]]="","", HYPERLINK(Table1[[#This Row],[Destination - Farnell]],_xlfn.CONCAT("Link (",Table1[[#This Row],[Farnell]],")")))</f>
        <v/>
      </c>
      <c r="T353" s="62" t="str">
        <f>_xlfn.CONCAT("https://ch.farnell.com/fr-CH/",Table1[[#This Row],[Farnell]])</f>
        <v>https://ch.farnell.com/fr-CH/</v>
      </c>
      <c r="U353" s="57"/>
      <c r="V353" s="59"/>
      <c r="W353" s="61" t="str">
        <f>IF(Table1[[#This Row],[Distrelec]]="","", HYPERLINK(Table1[[#This Row],[Destination - Distrelec]],_xlfn.CONCAT("Link (",Table1[[#This Row],[Distrelec]],")")))</f>
        <v/>
      </c>
      <c r="X353" s="62" t="str">
        <f>_xlfn.CONCAT("https://www.distrelec.ch/search?q=",Table1[[#This Row],[Distrelec]])</f>
        <v>https://www.distrelec.ch/search?q=</v>
      </c>
      <c r="Y353" s="57"/>
      <c r="Z353" s="59"/>
      <c r="AA353" s="61" t="str">
        <f>IF(Table1[[#This Row],[Conrad]]="","", HYPERLINK(Table1[[#This Row],[Destination - Conrad]],_xlfn.CONCAT("Link (",Table1[[#This Row],[Conrad]],")")))</f>
        <v/>
      </c>
      <c r="AB353" s="62"/>
      <c r="AC353" s="57"/>
      <c r="AD353" s="59"/>
      <c r="AE353" s="61" t="str">
        <f>IF(Table1[[#This Row],[Mouser]]="","", HYPERLINK(Table1[[#This Row],[Destination - Mouser]],_xlfn.CONCAT("Link (",Table1[[#This Row],[Mouser]],")")))</f>
        <v/>
      </c>
      <c r="AF353" s="62" t="str">
        <f>_xlfn.CONCAT("https://www.mouser.ch/ProductDetail/",Table1[[#This Row],[Mouser]])</f>
        <v>https://www.mouser.ch/ProductDetail/</v>
      </c>
      <c r="AG353" s="57"/>
      <c r="AH353" s="59"/>
      <c r="AI353" s="61" t="str">
        <f>IF(Table1[[#This Row],[Bauhaus]]="","", HYPERLINK(Table1[[#This Row],[Destination - Bauhaus]],_xlfn.CONCAT("Link (",Table1[[#This Row],[Bauhaus]],")")))</f>
        <v/>
      </c>
      <c r="AJ353" s="62" t="str">
        <f>_xlfn.CONCAT("https://www.bauhaus.ch/fr/search?query=",Table1[[#This Row],[Bauhaus]])</f>
        <v>https://www.bauhaus.ch/fr/search?query=</v>
      </c>
      <c r="AK353" s="59"/>
      <c r="AL353" s="59"/>
      <c r="AM353" s="61" t="str">
        <f>IF(Table1[[#This Row],[BricoEtLoisirs]]="","", HYPERLINK(Table1[[#This Row],[Destination - BricoEtLoisirs]],_xlfn.CONCAT("Link (",Table1[[#This Row],[BricoEtLoisirs]],")")))</f>
        <v/>
      </c>
      <c r="AN353" s="62" t="str">
        <f>_xlfn.CONCAT("https://bricoetloisirs.ch/p/",Table1[[#This Row],[BricoEtLoisirs]])</f>
        <v>https://bricoetloisirs.ch/p/</v>
      </c>
      <c r="AO353" s="57"/>
      <c r="AP353" s="59"/>
      <c r="AQ353" s="61" t="str">
        <f>IF(Table1[[#This Row],[Aliexpress]]="","", HYPERLINK(Table1[[#This Row],[Destination - Aliexpress]],_xlfn.CONCAT("Link (",Table1[[#This Row],[Aliexpress]],")")))</f>
        <v/>
      </c>
      <c r="AR353" s="62" t="str">
        <f>_xlfn.CONCAT("https://www.aliexpress.com/item/",Table1[[#This Row],[Aliexpress]],".html")</f>
        <v>https://www.aliexpress.com/item/.html</v>
      </c>
      <c r="AS353" s="57"/>
      <c r="AT353" s="59"/>
      <c r="AU353" s="61" t="str">
        <f>IF(Table1[[#This Row],[Banggood]]="","", HYPERLINK(Table1[[#This Row],[Destination - Banggood]],_xlfn.CONCAT("Link (",Table1[[#This Row],[Banggood]],")")))</f>
        <v/>
      </c>
      <c r="AV353" s="62" t="str">
        <f>_xlfn.CONCAT("https://www.banggood.com/search/",Table1[[#This Row],[Banggood]],".html")</f>
        <v>https://www.banggood.com/search/.html</v>
      </c>
      <c r="AW353" s="59" t="str">
        <f>IF(Table1[[#This Row],[Other]]&lt;&gt;"","Other","")</f>
        <v/>
      </c>
      <c r="AX353" s="57"/>
      <c r="AY353" s="59"/>
      <c r="AZ353" s="61" t="str">
        <f>IF(Table1[[#This Row],[Other]]="","",IF(Table1[[#This Row],[Destination - Other]]="","",HYPERLINK(Table1[[#This Row],[Destination - Other]],_xlfn.CONCAT("Link ("&amp;Table1[[#This Row],[Other]]&amp;")"))))</f>
        <v/>
      </c>
      <c r="BA353" s="59"/>
      <c r="BB353" s="58" t="str">
        <f>IF(AND( Table1[[#This Row],[Auto Order]]=1,Table1[[#This Row],[Obsolete]]=""),IF(Table1[[#This Row],[In stock]]&lt;Table1[[#This Row],[Min in stock]],1,""),"")</f>
        <v/>
      </c>
      <c r="BC353" s="64"/>
      <c r="BD353" s="66" t="str">
        <f>IF(Table1[[#This Row],[Obsolete]],Table1[[#This Row],[Art. Number]],"")</f>
        <v/>
      </c>
    </row>
    <row r="354" spans="1:56" x14ac:dyDescent="0.25">
      <c r="A354" s="65" t="s">
        <v>193</v>
      </c>
      <c r="B354" s="57" t="s">
        <v>168</v>
      </c>
      <c r="C354" s="57" t="s">
        <v>2104</v>
      </c>
      <c r="D354" s="57" t="s">
        <v>2105</v>
      </c>
      <c r="E354" s="57" t="s">
        <v>151</v>
      </c>
      <c r="F354" s="58">
        <v>6</v>
      </c>
      <c r="G354" s="58"/>
      <c r="H354" s="58"/>
      <c r="I35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RHM100KKCT-ND</v>
      </c>
      <c r="J35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(RHM100KKCT-ND)</v>
      </c>
      <c r="M354" s="57" t="s">
        <v>2106</v>
      </c>
      <c r="N354" s="59">
        <v>0.1</v>
      </c>
      <c r="O354" s="61" t="str">
        <f>IF(Table1[[#This Row],[Digikey]]="","", HYPERLINK(Table1[[#This Row],[Destination - Digikey]],_xlfn.CONCAT("Link (",Table1[[#This Row],[Digikey]],")")))</f>
        <v>Link (RHM100KKCT-ND)</v>
      </c>
      <c r="P354" s="62" t="str">
        <f>_xlfn.CONCAT("https://www.digikey.ch/products/en?keywords=",Table1[[#This Row],[Digikey]])</f>
        <v>https://www.digikey.ch/products/en?keywords=RHM100KKCT-ND</v>
      </c>
      <c r="Q354" s="57"/>
      <c r="R354" s="59"/>
      <c r="S354" s="61" t="str">
        <f>IF(Table1[[#This Row],[Farnell]]="","", HYPERLINK(Table1[[#This Row],[Destination - Farnell]],_xlfn.CONCAT("Link (",Table1[[#This Row],[Farnell]],")")))</f>
        <v/>
      </c>
      <c r="T354" s="62" t="str">
        <f>_xlfn.CONCAT("https://ch.farnell.com/fr-CH/",Table1[[#This Row],[Farnell]])</f>
        <v>https://ch.farnell.com/fr-CH/</v>
      </c>
      <c r="U354" s="57"/>
      <c r="V354" s="59"/>
      <c r="W354" s="61" t="str">
        <f>IF(Table1[[#This Row],[Distrelec]]="","", HYPERLINK(Table1[[#This Row],[Destination - Distrelec]],_xlfn.CONCAT("Link (",Table1[[#This Row],[Distrelec]],")")))</f>
        <v/>
      </c>
      <c r="X354" s="62" t="str">
        <f>_xlfn.CONCAT("https://www.distrelec.ch/search?q=",Table1[[#This Row],[Distrelec]])</f>
        <v>https://www.distrelec.ch/search?q=</v>
      </c>
      <c r="Y354" s="57"/>
      <c r="Z354" s="59"/>
      <c r="AA354" s="61" t="str">
        <f>IF(Table1[[#This Row],[Conrad]]="","", HYPERLINK(Table1[[#This Row],[Destination - Conrad]],_xlfn.CONCAT("Link (",Table1[[#This Row],[Conrad]],")")))</f>
        <v/>
      </c>
      <c r="AB354" s="62"/>
      <c r="AC354" s="57"/>
      <c r="AD354" s="59"/>
      <c r="AE354" s="61" t="str">
        <f>IF(Table1[[#This Row],[Mouser]]="","", HYPERLINK(Table1[[#This Row],[Destination - Mouser]],_xlfn.CONCAT("Link (",Table1[[#This Row],[Mouser]],")")))</f>
        <v/>
      </c>
      <c r="AF354" s="62" t="str">
        <f>_xlfn.CONCAT("https://www.mouser.ch/ProductDetail/",Table1[[#This Row],[Mouser]])</f>
        <v>https://www.mouser.ch/ProductDetail/</v>
      </c>
      <c r="AG354" s="57"/>
      <c r="AH354" s="59"/>
      <c r="AI354" s="61" t="str">
        <f>IF(Table1[[#This Row],[Bauhaus]]="","", HYPERLINK(Table1[[#This Row],[Destination - Bauhaus]],_xlfn.CONCAT("Link (",Table1[[#This Row],[Bauhaus]],")")))</f>
        <v/>
      </c>
      <c r="AJ354" s="62" t="str">
        <f>_xlfn.CONCAT("https://www.bauhaus.ch/fr/search?query=",Table1[[#This Row],[Bauhaus]])</f>
        <v>https://www.bauhaus.ch/fr/search?query=</v>
      </c>
      <c r="AK354" s="59"/>
      <c r="AL354" s="59"/>
      <c r="AM354" s="61" t="str">
        <f>IF(Table1[[#This Row],[BricoEtLoisirs]]="","", HYPERLINK(Table1[[#This Row],[Destination - BricoEtLoisirs]],_xlfn.CONCAT("Link (",Table1[[#This Row],[BricoEtLoisirs]],")")))</f>
        <v/>
      </c>
      <c r="AN354" s="62" t="str">
        <f>_xlfn.CONCAT("https://bricoetloisirs.ch/p/",Table1[[#This Row],[BricoEtLoisirs]])</f>
        <v>https://bricoetloisirs.ch/p/</v>
      </c>
      <c r="AO354" s="57"/>
      <c r="AP354" s="59"/>
      <c r="AQ354" s="61" t="str">
        <f>IF(Table1[[#This Row],[Aliexpress]]="","", HYPERLINK(Table1[[#This Row],[Destination - Aliexpress]],_xlfn.CONCAT("Link (",Table1[[#This Row],[Aliexpress]],")")))</f>
        <v/>
      </c>
      <c r="AR354" s="62" t="str">
        <f>_xlfn.CONCAT("https://www.aliexpress.com/item/",Table1[[#This Row],[Aliexpress]],".html")</f>
        <v>https://www.aliexpress.com/item/.html</v>
      </c>
      <c r="AS354" s="57"/>
      <c r="AT354" s="59"/>
      <c r="AU354" s="61" t="str">
        <f>IF(Table1[[#This Row],[Banggood]]="","", HYPERLINK(Table1[[#This Row],[Destination - Banggood]],_xlfn.CONCAT("Link (",Table1[[#This Row],[Banggood]],")")))</f>
        <v/>
      </c>
      <c r="AV354" s="62" t="str">
        <f>_xlfn.CONCAT("https://www.banggood.com/search/",Table1[[#This Row],[Banggood]],".html")</f>
        <v>https://www.banggood.com/search/.html</v>
      </c>
      <c r="AW354" s="59" t="str">
        <f>IF(Table1[[#This Row],[Other]]&lt;&gt;"","Other","")</f>
        <v/>
      </c>
      <c r="AX354" s="57"/>
      <c r="AY354" s="59"/>
      <c r="AZ354" s="61" t="str">
        <f>IF(Table1[[#This Row],[Other]]="","",IF(Table1[[#This Row],[Destination - Other]]="","",HYPERLINK(Table1[[#This Row],[Destination - Other]],_xlfn.CONCAT("Link ("&amp;Table1[[#This Row],[Other]]&amp;")"))))</f>
        <v/>
      </c>
      <c r="BA354" s="59"/>
      <c r="BB354" s="58" t="str">
        <f>IF(AND( Table1[[#This Row],[Auto Order]]=1,Table1[[#This Row],[Obsolete]]=""),IF(Table1[[#This Row],[In stock]]&lt;Table1[[#This Row],[Min in stock]],1,""),"")</f>
        <v/>
      </c>
      <c r="BC354" s="64"/>
      <c r="BD354" s="66" t="str">
        <f>IF(Table1[[#This Row],[Obsolete]],Table1[[#This Row],[Art. Number]],"")</f>
        <v/>
      </c>
    </row>
    <row r="355" spans="1:56" x14ac:dyDescent="0.25">
      <c r="A355" s="65" t="s">
        <v>2110</v>
      </c>
      <c r="B355" s="57" t="s">
        <v>168</v>
      </c>
      <c r="C355" s="57" t="s">
        <v>2111</v>
      </c>
      <c r="D355" s="57" t="s">
        <v>2112</v>
      </c>
      <c r="E355" s="57" t="s">
        <v>151</v>
      </c>
      <c r="F355" s="58">
        <v>8</v>
      </c>
      <c r="G355" s="58"/>
      <c r="H355" s="58"/>
      <c r="I35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RHM1.5KKCT-ND</v>
      </c>
      <c r="J35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(RHM1.5KKCT-ND)</v>
      </c>
      <c r="M355" s="57" t="s">
        <v>2113</v>
      </c>
      <c r="N355" s="59">
        <v>0.1</v>
      </c>
      <c r="O355" s="61" t="str">
        <f>IF(Table1[[#This Row],[Digikey]]="","", HYPERLINK(Table1[[#This Row],[Destination - Digikey]],_xlfn.CONCAT("Link (",Table1[[#This Row],[Digikey]],")")))</f>
        <v>Link (RHM1.5KKCT-ND)</v>
      </c>
      <c r="P355" s="62" t="str">
        <f>_xlfn.CONCAT("https://www.digikey.ch/products/en?keywords=",Table1[[#This Row],[Digikey]])</f>
        <v>https://www.digikey.ch/products/en?keywords=RHM1.5KKCT-ND</v>
      </c>
      <c r="Q355" s="57"/>
      <c r="R355" s="59"/>
      <c r="S355" s="61" t="str">
        <f>IF(Table1[[#This Row],[Farnell]]="","", HYPERLINK(Table1[[#This Row],[Destination - Farnell]],_xlfn.CONCAT("Link (",Table1[[#This Row],[Farnell]],")")))</f>
        <v/>
      </c>
      <c r="T355" s="62" t="str">
        <f>_xlfn.CONCAT("https://ch.farnell.com/fr-CH/",Table1[[#This Row],[Farnell]])</f>
        <v>https://ch.farnell.com/fr-CH/</v>
      </c>
      <c r="U355" s="57"/>
      <c r="V355" s="59"/>
      <c r="W355" s="61" t="str">
        <f>IF(Table1[[#This Row],[Distrelec]]="","", HYPERLINK(Table1[[#This Row],[Destination - Distrelec]],_xlfn.CONCAT("Link (",Table1[[#This Row],[Distrelec]],")")))</f>
        <v/>
      </c>
      <c r="X355" s="62" t="str">
        <f>_xlfn.CONCAT("https://www.distrelec.ch/search?q=",Table1[[#This Row],[Distrelec]])</f>
        <v>https://www.distrelec.ch/search?q=</v>
      </c>
      <c r="Y355" s="57"/>
      <c r="Z355" s="59"/>
      <c r="AA355" s="61" t="str">
        <f>IF(Table1[[#This Row],[Conrad]]="","", HYPERLINK(Table1[[#This Row],[Destination - Conrad]],_xlfn.CONCAT("Link (",Table1[[#This Row],[Conrad]],")")))</f>
        <v/>
      </c>
      <c r="AB355" s="62"/>
      <c r="AC355" s="57"/>
      <c r="AD355" s="59"/>
      <c r="AE355" s="61" t="str">
        <f>IF(Table1[[#This Row],[Mouser]]="","", HYPERLINK(Table1[[#This Row],[Destination - Mouser]],_xlfn.CONCAT("Link (",Table1[[#This Row],[Mouser]],")")))</f>
        <v/>
      </c>
      <c r="AF355" s="62" t="str">
        <f>_xlfn.CONCAT("https://www.mouser.ch/ProductDetail/",Table1[[#This Row],[Mouser]])</f>
        <v>https://www.mouser.ch/ProductDetail/</v>
      </c>
      <c r="AG355" s="57"/>
      <c r="AH355" s="59"/>
      <c r="AI355" s="61" t="str">
        <f>IF(Table1[[#This Row],[Bauhaus]]="","", HYPERLINK(Table1[[#This Row],[Destination - Bauhaus]],_xlfn.CONCAT("Link (",Table1[[#This Row],[Bauhaus]],")")))</f>
        <v/>
      </c>
      <c r="AJ355" s="62" t="str">
        <f>_xlfn.CONCAT("https://www.bauhaus.ch/fr/search?query=",Table1[[#This Row],[Bauhaus]])</f>
        <v>https://www.bauhaus.ch/fr/search?query=</v>
      </c>
      <c r="AK355" s="59"/>
      <c r="AL355" s="59"/>
      <c r="AM355" s="61" t="str">
        <f>IF(Table1[[#This Row],[BricoEtLoisirs]]="","", HYPERLINK(Table1[[#This Row],[Destination - BricoEtLoisirs]],_xlfn.CONCAT("Link (",Table1[[#This Row],[BricoEtLoisirs]],")")))</f>
        <v/>
      </c>
      <c r="AN355" s="62" t="str">
        <f>_xlfn.CONCAT("https://bricoetloisirs.ch/p/",Table1[[#This Row],[BricoEtLoisirs]])</f>
        <v>https://bricoetloisirs.ch/p/</v>
      </c>
      <c r="AO355" s="57"/>
      <c r="AP355" s="59"/>
      <c r="AQ355" s="61" t="str">
        <f>IF(Table1[[#This Row],[Aliexpress]]="","", HYPERLINK(Table1[[#This Row],[Destination - Aliexpress]],_xlfn.CONCAT("Link (",Table1[[#This Row],[Aliexpress]],")")))</f>
        <v/>
      </c>
      <c r="AR355" s="62" t="str">
        <f>_xlfn.CONCAT("https://www.aliexpress.com/item/",Table1[[#This Row],[Aliexpress]],".html")</f>
        <v>https://www.aliexpress.com/item/.html</v>
      </c>
      <c r="AS355" s="57"/>
      <c r="AT355" s="59"/>
      <c r="AU355" s="61" t="str">
        <f>IF(Table1[[#This Row],[Banggood]]="","", HYPERLINK(Table1[[#This Row],[Destination - Banggood]],_xlfn.CONCAT("Link (",Table1[[#This Row],[Banggood]],")")))</f>
        <v/>
      </c>
      <c r="AV355" s="62" t="str">
        <f>_xlfn.CONCAT("https://www.banggood.com/search/",Table1[[#This Row],[Banggood]],".html")</f>
        <v>https://www.banggood.com/search/.html</v>
      </c>
      <c r="AW355" s="59" t="str">
        <f>IF(Table1[[#This Row],[Other]]&lt;&gt;"","Other","")</f>
        <v/>
      </c>
      <c r="AX355" s="57"/>
      <c r="AY355" s="59"/>
      <c r="AZ355" s="61" t="str">
        <f>IF(Table1[[#This Row],[Other]]="","",IF(Table1[[#This Row],[Destination - Other]]="","",HYPERLINK(Table1[[#This Row],[Destination - Other]],_xlfn.CONCAT("Link ("&amp;Table1[[#This Row],[Other]]&amp;")"))))</f>
        <v/>
      </c>
      <c r="BA355" s="59"/>
      <c r="BB355" s="58" t="str">
        <f>IF(AND( Table1[[#This Row],[Auto Order]]=1,Table1[[#This Row],[Obsolete]]=""),IF(Table1[[#This Row],[In stock]]&lt;Table1[[#This Row],[Min in stock]],1,""),"")</f>
        <v/>
      </c>
      <c r="BC355" s="64"/>
      <c r="BD355" s="66" t="str">
        <f>IF(Table1[[#This Row],[Obsolete]],Table1[[#This Row],[Art. Number]],"")</f>
        <v/>
      </c>
    </row>
    <row r="356" spans="1:56" x14ac:dyDescent="0.25">
      <c r="A356" s="65" t="s">
        <v>185</v>
      </c>
      <c r="B356" s="57" t="s">
        <v>168</v>
      </c>
      <c r="C356" s="57" t="s">
        <v>2115</v>
      </c>
      <c r="D356" s="57" t="s">
        <v>2116</v>
      </c>
      <c r="E356" s="57" t="s">
        <v>151</v>
      </c>
      <c r="F356" s="58">
        <v>10</v>
      </c>
      <c r="G356" s="58"/>
      <c r="H356" s="58"/>
      <c r="I35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RHM22KCT-ND</v>
      </c>
      <c r="J35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(RHM22KCT-ND)</v>
      </c>
      <c r="M356" s="57" t="s">
        <v>2117</v>
      </c>
      <c r="N356" s="59">
        <v>0.1</v>
      </c>
      <c r="O356" s="61" t="str">
        <f>IF(Table1[[#This Row],[Digikey]]="","", HYPERLINK(Table1[[#This Row],[Destination - Digikey]],_xlfn.CONCAT("Link (",Table1[[#This Row],[Digikey]],")")))</f>
        <v>Link (RHM22KCT-ND)</v>
      </c>
      <c r="P356" s="62" t="str">
        <f>_xlfn.CONCAT("https://www.digikey.ch/products/en?keywords=",Table1[[#This Row],[Digikey]])</f>
        <v>https://www.digikey.ch/products/en?keywords=RHM22KCT-ND</v>
      </c>
      <c r="Q356" s="57"/>
      <c r="R356" s="59"/>
      <c r="S356" s="61" t="str">
        <f>IF(Table1[[#This Row],[Farnell]]="","", HYPERLINK(Table1[[#This Row],[Destination - Farnell]],_xlfn.CONCAT("Link (",Table1[[#This Row],[Farnell]],")")))</f>
        <v/>
      </c>
      <c r="T356" s="62" t="str">
        <f>_xlfn.CONCAT("https://ch.farnell.com/fr-CH/",Table1[[#This Row],[Farnell]])</f>
        <v>https://ch.farnell.com/fr-CH/</v>
      </c>
      <c r="U356" s="57"/>
      <c r="V356" s="59"/>
      <c r="W356" s="61" t="str">
        <f>IF(Table1[[#This Row],[Distrelec]]="","", HYPERLINK(Table1[[#This Row],[Destination - Distrelec]],_xlfn.CONCAT("Link (",Table1[[#This Row],[Distrelec]],")")))</f>
        <v/>
      </c>
      <c r="X356" s="62" t="str">
        <f>_xlfn.CONCAT("https://www.distrelec.ch/search?q=",Table1[[#This Row],[Distrelec]])</f>
        <v>https://www.distrelec.ch/search?q=</v>
      </c>
      <c r="Y356" s="57"/>
      <c r="Z356" s="59"/>
      <c r="AA356" s="61" t="str">
        <f>IF(Table1[[#This Row],[Conrad]]="","", HYPERLINK(Table1[[#This Row],[Destination - Conrad]],_xlfn.CONCAT("Link (",Table1[[#This Row],[Conrad]],")")))</f>
        <v/>
      </c>
      <c r="AB356" s="62"/>
      <c r="AC356" s="57"/>
      <c r="AD356" s="59"/>
      <c r="AE356" s="61" t="str">
        <f>IF(Table1[[#This Row],[Mouser]]="","", HYPERLINK(Table1[[#This Row],[Destination - Mouser]],_xlfn.CONCAT("Link (",Table1[[#This Row],[Mouser]],")")))</f>
        <v/>
      </c>
      <c r="AF356" s="62" t="str">
        <f>_xlfn.CONCAT("https://www.mouser.ch/ProductDetail/",Table1[[#This Row],[Mouser]])</f>
        <v>https://www.mouser.ch/ProductDetail/</v>
      </c>
      <c r="AG356" s="57"/>
      <c r="AH356" s="59"/>
      <c r="AI356" s="61" t="str">
        <f>IF(Table1[[#This Row],[Bauhaus]]="","", HYPERLINK(Table1[[#This Row],[Destination - Bauhaus]],_xlfn.CONCAT("Link (",Table1[[#This Row],[Bauhaus]],")")))</f>
        <v/>
      </c>
      <c r="AJ356" s="62" t="str">
        <f>_xlfn.CONCAT("https://www.bauhaus.ch/fr/search?query=",Table1[[#This Row],[Bauhaus]])</f>
        <v>https://www.bauhaus.ch/fr/search?query=</v>
      </c>
      <c r="AK356" s="59"/>
      <c r="AL356" s="59"/>
      <c r="AM356" s="61" t="str">
        <f>IF(Table1[[#This Row],[BricoEtLoisirs]]="","", HYPERLINK(Table1[[#This Row],[Destination - BricoEtLoisirs]],_xlfn.CONCAT("Link (",Table1[[#This Row],[BricoEtLoisirs]],")")))</f>
        <v/>
      </c>
      <c r="AN356" s="62" t="str">
        <f>_xlfn.CONCAT("https://bricoetloisirs.ch/p/",Table1[[#This Row],[BricoEtLoisirs]])</f>
        <v>https://bricoetloisirs.ch/p/</v>
      </c>
      <c r="AO356" s="57"/>
      <c r="AP356" s="59"/>
      <c r="AQ356" s="61" t="str">
        <f>IF(Table1[[#This Row],[Aliexpress]]="","", HYPERLINK(Table1[[#This Row],[Destination - Aliexpress]],_xlfn.CONCAT("Link (",Table1[[#This Row],[Aliexpress]],")")))</f>
        <v/>
      </c>
      <c r="AR356" s="62" t="str">
        <f>_xlfn.CONCAT("https://www.aliexpress.com/item/",Table1[[#This Row],[Aliexpress]],".html")</f>
        <v>https://www.aliexpress.com/item/.html</v>
      </c>
      <c r="AS356" s="57"/>
      <c r="AT356" s="59"/>
      <c r="AU356" s="61" t="str">
        <f>IF(Table1[[#This Row],[Banggood]]="","", HYPERLINK(Table1[[#This Row],[Destination - Banggood]],_xlfn.CONCAT("Link (",Table1[[#This Row],[Banggood]],")")))</f>
        <v/>
      </c>
      <c r="AV356" s="62" t="str">
        <f>_xlfn.CONCAT("https://www.banggood.com/search/",Table1[[#This Row],[Banggood]],".html")</f>
        <v>https://www.banggood.com/search/.html</v>
      </c>
      <c r="AW356" s="59" t="str">
        <f>IF(Table1[[#This Row],[Other]]&lt;&gt;"","Other","")</f>
        <v/>
      </c>
      <c r="AX356" s="57"/>
      <c r="AY356" s="59"/>
      <c r="AZ356" s="61" t="str">
        <f>IF(Table1[[#This Row],[Other]]="","",IF(Table1[[#This Row],[Destination - Other]]="","",HYPERLINK(Table1[[#This Row],[Destination - Other]],_xlfn.CONCAT("Link ("&amp;Table1[[#This Row],[Other]]&amp;")"))))</f>
        <v/>
      </c>
      <c r="BA356" s="59"/>
      <c r="BB356" s="58" t="str">
        <f>IF(AND( Table1[[#This Row],[Auto Order]]=1,Table1[[#This Row],[Obsolete]]=""),IF(Table1[[#This Row],[In stock]]&lt;Table1[[#This Row],[Min in stock]],1,""),"")</f>
        <v/>
      </c>
      <c r="BC356" s="64"/>
      <c r="BD356" s="66" t="str">
        <f>IF(Table1[[#This Row],[Obsolete]],Table1[[#This Row],[Art. Number]],"")</f>
        <v/>
      </c>
    </row>
    <row r="357" spans="1:56" x14ac:dyDescent="0.25">
      <c r="A357" s="65" t="s">
        <v>2121</v>
      </c>
      <c r="B357" s="57" t="s">
        <v>168</v>
      </c>
      <c r="C357" s="57" t="s">
        <v>2122</v>
      </c>
      <c r="D357" s="57" t="s">
        <v>2123</v>
      </c>
      <c r="E357" s="57" t="s">
        <v>151</v>
      </c>
      <c r="F357" s="58">
        <v>7</v>
      </c>
      <c r="G357" s="58"/>
      <c r="H357" s="58"/>
      <c r="I35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RHM270KCT-ND</v>
      </c>
      <c r="J35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(RHM270KCT-ND)</v>
      </c>
      <c r="M357" s="57" t="s">
        <v>2124</v>
      </c>
      <c r="N357" s="59">
        <v>0.1</v>
      </c>
      <c r="O357" s="61" t="str">
        <f>IF(Table1[[#This Row],[Digikey]]="","", HYPERLINK(Table1[[#This Row],[Destination - Digikey]],_xlfn.CONCAT("Link (",Table1[[#This Row],[Digikey]],")")))</f>
        <v>Link (RHM270KCT-ND)</v>
      </c>
      <c r="P357" s="62" t="str">
        <f>_xlfn.CONCAT("https://www.digikey.ch/products/en?keywords=",Table1[[#This Row],[Digikey]])</f>
        <v>https://www.digikey.ch/products/en?keywords=RHM270KCT-ND</v>
      </c>
      <c r="Q357" s="57"/>
      <c r="R357" s="59"/>
      <c r="S357" s="61" t="str">
        <f>IF(Table1[[#This Row],[Farnell]]="","", HYPERLINK(Table1[[#This Row],[Destination - Farnell]],_xlfn.CONCAT("Link (",Table1[[#This Row],[Farnell]],")")))</f>
        <v/>
      </c>
      <c r="T357" s="62" t="str">
        <f>_xlfn.CONCAT("https://ch.farnell.com/fr-CH/",Table1[[#This Row],[Farnell]])</f>
        <v>https://ch.farnell.com/fr-CH/</v>
      </c>
      <c r="U357" s="57"/>
      <c r="V357" s="59"/>
      <c r="W357" s="61" t="str">
        <f>IF(Table1[[#This Row],[Distrelec]]="","", HYPERLINK(Table1[[#This Row],[Destination - Distrelec]],_xlfn.CONCAT("Link (",Table1[[#This Row],[Distrelec]],")")))</f>
        <v/>
      </c>
      <c r="X357" s="62" t="str">
        <f>_xlfn.CONCAT("https://www.distrelec.ch/search?q=",Table1[[#This Row],[Distrelec]])</f>
        <v>https://www.distrelec.ch/search?q=</v>
      </c>
      <c r="Y357" s="57"/>
      <c r="Z357" s="59"/>
      <c r="AA357" s="61" t="str">
        <f>IF(Table1[[#This Row],[Conrad]]="","", HYPERLINK(Table1[[#This Row],[Destination - Conrad]],_xlfn.CONCAT("Link (",Table1[[#This Row],[Conrad]],")")))</f>
        <v/>
      </c>
      <c r="AB357" s="62"/>
      <c r="AC357" s="57"/>
      <c r="AD357" s="59"/>
      <c r="AE357" s="61" t="str">
        <f>IF(Table1[[#This Row],[Mouser]]="","", HYPERLINK(Table1[[#This Row],[Destination - Mouser]],_xlfn.CONCAT("Link (",Table1[[#This Row],[Mouser]],")")))</f>
        <v/>
      </c>
      <c r="AF357" s="62" t="str">
        <f>_xlfn.CONCAT("https://www.mouser.ch/ProductDetail/",Table1[[#This Row],[Mouser]])</f>
        <v>https://www.mouser.ch/ProductDetail/</v>
      </c>
      <c r="AG357" s="57"/>
      <c r="AH357" s="59"/>
      <c r="AI357" s="61" t="str">
        <f>IF(Table1[[#This Row],[Bauhaus]]="","", HYPERLINK(Table1[[#This Row],[Destination - Bauhaus]],_xlfn.CONCAT("Link (",Table1[[#This Row],[Bauhaus]],")")))</f>
        <v/>
      </c>
      <c r="AJ357" s="62" t="str">
        <f>_xlfn.CONCAT("https://www.bauhaus.ch/fr/search?query=",Table1[[#This Row],[Bauhaus]])</f>
        <v>https://www.bauhaus.ch/fr/search?query=</v>
      </c>
      <c r="AK357" s="59"/>
      <c r="AL357" s="59"/>
      <c r="AM357" s="61" t="str">
        <f>IF(Table1[[#This Row],[BricoEtLoisirs]]="","", HYPERLINK(Table1[[#This Row],[Destination - BricoEtLoisirs]],_xlfn.CONCAT("Link (",Table1[[#This Row],[BricoEtLoisirs]],")")))</f>
        <v/>
      </c>
      <c r="AN357" s="62" t="str">
        <f>_xlfn.CONCAT("https://bricoetloisirs.ch/p/",Table1[[#This Row],[BricoEtLoisirs]])</f>
        <v>https://bricoetloisirs.ch/p/</v>
      </c>
      <c r="AO357" s="57"/>
      <c r="AP357" s="59"/>
      <c r="AQ357" s="61" t="str">
        <f>IF(Table1[[#This Row],[Aliexpress]]="","", HYPERLINK(Table1[[#This Row],[Destination - Aliexpress]],_xlfn.CONCAT("Link (",Table1[[#This Row],[Aliexpress]],")")))</f>
        <v/>
      </c>
      <c r="AR357" s="62" t="str">
        <f>_xlfn.CONCAT("https://www.aliexpress.com/item/",Table1[[#This Row],[Aliexpress]],".html")</f>
        <v>https://www.aliexpress.com/item/.html</v>
      </c>
      <c r="AS357" s="57"/>
      <c r="AT357" s="59"/>
      <c r="AU357" s="61" t="str">
        <f>IF(Table1[[#This Row],[Banggood]]="","", HYPERLINK(Table1[[#This Row],[Destination - Banggood]],_xlfn.CONCAT("Link (",Table1[[#This Row],[Banggood]],")")))</f>
        <v/>
      </c>
      <c r="AV357" s="62" t="str">
        <f>_xlfn.CONCAT("https://www.banggood.com/search/",Table1[[#This Row],[Banggood]],".html")</f>
        <v>https://www.banggood.com/search/.html</v>
      </c>
      <c r="AW357" s="59" t="str">
        <f>IF(Table1[[#This Row],[Other]]&lt;&gt;"","Other","")</f>
        <v/>
      </c>
      <c r="AX357" s="57"/>
      <c r="AY357" s="59"/>
      <c r="AZ357" s="61" t="str">
        <f>IF(Table1[[#This Row],[Other]]="","",IF(Table1[[#This Row],[Destination - Other]]="","",HYPERLINK(Table1[[#This Row],[Destination - Other]],_xlfn.CONCAT("Link ("&amp;Table1[[#This Row],[Other]]&amp;")"))))</f>
        <v/>
      </c>
      <c r="BA357" s="59"/>
      <c r="BB357" s="58" t="str">
        <f>IF(AND( Table1[[#This Row],[Auto Order]]=1,Table1[[#This Row],[Obsolete]]=""),IF(Table1[[#This Row],[In stock]]&lt;Table1[[#This Row],[Min in stock]],1,""),"")</f>
        <v/>
      </c>
      <c r="BC357" s="64"/>
      <c r="BD357" s="66" t="str">
        <f>IF(Table1[[#This Row],[Obsolete]],Table1[[#This Row],[Art. Number]],"")</f>
        <v/>
      </c>
    </row>
    <row r="358" spans="1:56" x14ac:dyDescent="0.25">
      <c r="A358" s="65" t="s">
        <v>163</v>
      </c>
      <c r="B358" s="57" t="s">
        <v>168</v>
      </c>
      <c r="C358" s="57" t="s">
        <v>2126</v>
      </c>
      <c r="D358" s="57" t="s">
        <v>2127</v>
      </c>
      <c r="E358" s="57" t="s">
        <v>151</v>
      </c>
      <c r="F358" s="58">
        <v>7</v>
      </c>
      <c r="G358" s="58"/>
      <c r="H358" s="58"/>
      <c r="I35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RHM27KKCT-ND</v>
      </c>
      <c r="J35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(RHM27KKCT-ND)</v>
      </c>
      <c r="M358" s="57" t="s">
        <v>2128</v>
      </c>
      <c r="N358" s="59">
        <v>0.1</v>
      </c>
      <c r="O358" s="61" t="str">
        <f>IF(Table1[[#This Row],[Digikey]]="","", HYPERLINK(Table1[[#This Row],[Destination - Digikey]],_xlfn.CONCAT("Link (",Table1[[#This Row],[Digikey]],")")))</f>
        <v>Link (RHM27KKCT-ND)</v>
      </c>
      <c r="P358" s="62" t="str">
        <f>_xlfn.CONCAT("https://www.digikey.ch/products/en?keywords=",Table1[[#This Row],[Digikey]])</f>
        <v>https://www.digikey.ch/products/en?keywords=RHM27KKCT-ND</v>
      </c>
      <c r="Q358" s="57"/>
      <c r="R358" s="59"/>
      <c r="S358" s="61" t="str">
        <f>IF(Table1[[#This Row],[Farnell]]="","", HYPERLINK(Table1[[#This Row],[Destination - Farnell]],_xlfn.CONCAT("Link (",Table1[[#This Row],[Farnell]],")")))</f>
        <v/>
      </c>
      <c r="T358" s="62" t="str">
        <f>_xlfn.CONCAT("https://ch.farnell.com/fr-CH/",Table1[[#This Row],[Farnell]])</f>
        <v>https://ch.farnell.com/fr-CH/</v>
      </c>
      <c r="U358" s="57"/>
      <c r="V358" s="59"/>
      <c r="W358" s="61" t="str">
        <f>IF(Table1[[#This Row],[Distrelec]]="","", HYPERLINK(Table1[[#This Row],[Destination - Distrelec]],_xlfn.CONCAT("Link (",Table1[[#This Row],[Distrelec]],")")))</f>
        <v/>
      </c>
      <c r="X358" s="62" t="str">
        <f>_xlfn.CONCAT("https://www.distrelec.ch/search?q=",Table1[[#This Row],[Distrelec]])</f>
        <v>https://www.distrelec.ch/search?q=</v>
      </c>
      <c r="Y358" s="57"/>
      <c r="Z358" s="59"/>
      <c r="AA358" s="61" t="str">
        <f>IF(Table1[[#This Row],[Conrad]]="","", HYPERLINK(Table1[[#This Row],[Destination - Conrad]],_xlfn.CONCAT("Link (",Table1[[#This Row],[Conrad]],")")))</f>
        <v/>
      </c>
      <c r="AB358" s="62"/>
      <c r="AC358" s="57"/>
      <c r="AD358" s="59"/>
      <c r="AE358" s="61" t="str">
        <f>IF(Table1[[#This Row],[Mouser]]="","", HYPERLINK(Table1[[#This Row],[Destination - Mouser]],_xlfn.CONCAT("Link (",Table1[[#This Row],[Mouser]],")")))</f>
        <v/>
      </c>
      <c r="AF358" s="62" t="str">
        <f>_xlfn.CONCAT("https://www.mouser.ch/ProductDetail/",Table1[[#This Row],[Mouser]])</f>
        <v>https://www.mouser.ch/ProductDetail/</v>
      </c>
      <c r="AG358" s="57"/>
      <c r="AH358" s="59"/>
      <c r="AI358" s="61" t="str">
        <f>IF(Table1[[#This Row],[Bauhaus]]="","", HYPERLINK(Table1[[#This Row],[Destination - Bauhaus]],_xlfn.CONCAT("Link (",Table1[[#This Row],[Bauhaus]],")")))</f>
        <v/>
      </c>
      <c r="AJ358" s="62" t="str">
        <f>_xlfn.CONCAT("https://www.bauhaus.ch/fr/search?query=",Table1[[#This Row],[Bauhaus]])</f>
        <v>https://www.bauhaus.ch/fr/search?query=</v>
      </c>
      <c r="AK358" s="59"/>
      <c r="AL358" s="59"/>
      <c r="AM358" s="61" t="str">
        <f>IF(Table1[[#This Row],[BricoEtLoisirs]]="","", HYPERLINK(Table1[[#This Row],[Destination - BricoEtLoisirs]],_xlfn.CONCAT("Link (",Table1[[#This Row],[BricoEtLoisirs]],")")))</f>
        <v/>
      </c>
      <c r="AN358" s="62" t="str">
        <f>_xlfn.CONCAT("https://bricoetloisirs.ch/p/",Table1[[#This Row],[BricoEtLoisirs]])</f>
        <v>https://bricoetloisirs.ch/p/</v>
      </c>
      <c r="AO358" s="57"/>
      <c r="AP358" s="59"/>
      <c r="AQ358" s="61" t="str">
        <f>IF(Table1[[#This Row],[Aliexpress]]="","", HYPERLINK(Table1[[#This Row],[Destination - Aliexpress]],_xlfn.CONCAT("Link (",Table1[[#This Row],[Aliexpress]],")")))</f>
        <v/>
      </c>
      <c r="AR358" s="62" t="str">
        <f>_xlfn.CONCAT("https://www.aliexpress.com/item/",Table1[[#This Row],[Aliexpress]],".html")</f>
        <v>https://www.aliexpress.com/item/.html</v>
      </c>
      <c r="AS358" s="57"/>
      <c r="AT358" s="59"/>
      <c r="AU358" s="61" t="str">
        <f>IF(Table1[[#This Row],[Banggood]]="","", HYPERLINK(Table1[[#This Row],[Destination - Banggood]],_xlfn.CONCAT("Link (",Table1[[#This Row],[Banggood]],")")))</f>
        <v/>
      </c>
      <c r="AV358" s="62" t="str">
        <f>_xlfn.CONCAT("https://www.banggood.com/search/",Table1[[#This Row],[Banggood]],".html")</f>
        <v>https://www.banggood.com/search/.html</v>
      </c>
      <c r="AW358" s="59" t="str">
        <f>IF(Table1[[#This Row],[Other]]&lt;&gt;"","Other","")</f>
        <v/>
      </c>
      <c r="AX358" s="57"/>
      <c r="AY358" s="59"/>
      <c r="AZ358" s="61" t="str">
        <f>IF(Table1[[#This Row],[Other]]="","",IF(Table1[[#This Row],[Destination - Other]]="","",HYPERLINK(Table1[[#This Row],[Destination - Other]],_xlfn.CONCAT("Link ("&amp;Table1[[#This Row],[Other]]&amp;")"))))</f>
        <v/>
      </c>
      <c r="BA358" s="59"/>
      <c r="BB358" s="58" t="str">
        <f>IF(AND( Table1[[#This Row],[Auto Order]]=1,Table1[[#This Row],[Obsolete]]=""),IF(Table1[[#This Row],[In stock]]&lt;Table1[[#This Row],[Min in stock]],1,""),"")</f>
        <v/>
      </c>
      <c r="BC358" s="64"/>
      <c r="BD358" s="66" t="str">
        <f>IF(Table1[[#This Row],[Obsolete]],Table1[[#This Row],[Art. Number]],"")</f>
        <v/>
      </c>
    </row>
    <row r="359" spans="1:56" x14ac:dyDescent="0.25">
      <c r="A359" s="65" t="s">
        <v>191</v>
      </c>
      <c r="B359" s="57" t="s">
        <v>168</v>
      </c>
      <c r="C359" s="57" t="s">
        <v>2132</v>
      </c>
      <c r="D359" s="57" t="s">
        <v>2133</v>
      </c>
      <c r="E359" s="57" t="s">
        <v>151</v>
      </c>
      <c r="F359" s="58">
        <v>5</v>
      </c>
      <c r="G359" s="58"/>
      <c r="H359" s="58"/>
      <c r="I35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RHM330KCT-ND</v>
      </c>
      <c r="J35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5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5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(RHM330KCT-ND)</v>
      </c>
      <c r="M359" s="57" t="s">
        <v>2134</v>
      </c>
      <c r="N359" s="59">
        <v>0.1</v>
      </c>
      <c r="O359" s="61" t="str">
        <f>IF(Table1[[#This Row],[Digikey]]="","", HYPERLINK(Table1[[#This Row],[Destination - Digikey]],_xlfn.CONCAT("Link (",Table1[[#This Row],[Digikey]],")")))</f>
        <v>Link (RHM330KCT-ND)</v>
      </c>
      <c r="P359" s="62" t="str">
        <f>_xlfn.CONCAT("https://www.digikey.ch/products/en?keywords=",Table1[[#This Row],[Digikey]])</f>
        <v>https://www.digikey.ch/products/en?keywords=RHM330KCT-ND</v>
      </c>
      <c r="Q359" s="57"/>
      <c r="R359" s="59"/>
      <c r="S359" s="61" t="str">
        <f>IF(Table1[[#This Row],[Farnell]]="","", HYPERLINK(Table1[[#This Row],[Destination - Farnell]],_xlfn.CONCAT("Link (",Table1[[#This Row],[Farnell]],")")))</f>
        <v/>
      </c>
      <c r="T359" s="62" t="str">
        <f>_xlfn.CONCAT("https://ch.farnell.com/fr-CH/",Table1[[#This Row],[Farnell]])</f>
        <v>https://ch.farnell.com/fr-CH/</v>
      </c>
      <c r="U359" s="57"/>
      <c r="V359" s="59"/>
      <c r="W359" s="61" t="str">
        <f>IF(Table1[[#This Row],[Distrelec]]="","", HYPERLINK(Table1[[#This Row],[Destination - Distrelec]],_xlfn.CONCAT("Link (",Table1[[#This Row],[Distrelec]],")")))</f>
        <v/>
      </c>
      <c r="X359" s="62" t="str">
        <f>_xlfn.CONCAT("https://www.distrelec.ch/search?q=",Table1[[#This Row],[Distrelec]])</f>
        <v>https://www.distrelec.ch/search?q=</v>
      </c>
      <c r="Y359" s="57"/>
      <c r="Z359" s="59"/>
      <c r="AA359" s="61" t="str">
        <f>IF(Table1[[#This Row],[Conrad]]="","", HYPERLINK(Table1[[#This Row],[Destination - Conrad]],_xlfn.CONCAT("Link (",Table1[[#This Row],[Conrad]],")")))</f>
        <v/>
      </c>
      <c r="AB359" s="62"/>
      <c r="AC359" s="57"/>
      <c r="AD359" s="59"/>
      <c r="AE359" s="61" t="str">
        <f>IF(Table1[[#This Row],[Mouser]]="","", HYPERLINK(Table1[[#This Row],[Destination - Mouser]],_xlfn.CONCAT("Link (",Table1[[#This Row],[Mouser]],")")))</f>
        <v/>
      </c>
      <c r="AF359" s="62" t="str">
        <f>_xlfn.CONCAT("https://www.mouser.ch/ProductDetail/",Table1[[#This Row],[Mouser]])</f>
        <v>https://www.mouser.ch/ProductDetail/</v>
      </c>
      <c r="AG359" s="57"/>
      <c r="AH359" s="59"/>
      <c r="AI359" s="61" t="str">
        <f>IF(Table1[[#This Row],[Bauhaus]]="","", HYPERLINK(Table1[[#This Row],[Destination - Bauhaus]],_xlfn.CONCAT("Link (",Table1[[#This Row],[Bauhaus]],")")))</f>
        <v/>
      </c>
      <c r="AJ359" s="62" t="str">
        <f>_xlfn.CONCAT("https://www.bauhaus.ch/fr/search?query=",Table1[[#This Row],[Bauhaus]])</f>
        <v>https://www.bauhaus.ch/fr/search?query=</v>
      </c>
      <c r="AK359" s="59"/>
      <c r="AL359" s="59"/>
      <c r="AM359" s="61" t="str">
        <f>IF(Table1[[#This Row],[BricoEtLoisirs]]="","", HYPERLINK(Table1[[#This Row],[Destination - BricoEtLoisirs]],_xlfn.CONCAT("Link (",Table1[[#This Row],[BricoEtLoisirs]],")")))</f>
        <v/>
      </c>
      <c r="AN359" s="62" t="str">
        <f>_xlfn.CONCAT("https://bricoetloisirs.ch/p/",Table1[[#This Row],[BricoEtLoisirs]])</f>
        <v>https://bricoetloisirs.ch/p/</v>
      </c>
      <c r="AO359" s="57"/>
      <c r="AP359" s="59"/>
      <c r="AQ359" s="61" t="str">
        <f>IF(Table1[[#This Row],[Aliexpress]]="","", HYPERLINK(Table1[[#This Row],[Destination - Aliexpress]],_xlfn.CONCAT("Link (",Table1[[#This Row],[Aliexpress]],")")))</f>
        <v/>
      </c>
      <c r="AR359" s="62" t="str">
        <f>_xlfn.CONCAT("https://www.aliexpress.com/item/",Table1[[#This Row],[Aliexpress]],".html")</f>
        <v>https://www.aliexpress.com/item/.html</v>
      </c>
      <c r="AS359" s="57"/>
      <c r="AT359" s="59"/>
      <c r="AU359" s="61" t="str">
        <f>IF(Table1[[#This Row],[Banggood]]="","", HYPERLINK(Table1[[#This Row],[Destination - Banggood]],_xlfn.CONCAT("Link (",Table1[[#This Row],[Banggood]],")")))</f>
        <v/>
      </c>
      <c r="AV359" s="62" t="str">
        <f>_xlfn.CONCAT("https://www.banggood.com/search/",Table1[[#This Row],[Banggood]],".html")</f>
        <v>https://www.banggood.com/search/.html</v>
      </c>
      <c r="AW359" s="59" t="str">
        <f>IF(Table1[[#This Row],[Other]]&lt;&gt;"","Other","")</f>
        <v/>
      </c>
      <c r="AX359" s="57"/>
      <c r="AY359" s="59"/>
      <c r="AZ359" s="61" t="str">
        <f>IF(Table1[[#This Row],[Other]]="","",IF(Table1[[#This Row],[Destination - Other]]="","",HYPERLINK(Table1[[#This Row],[Destination - Other]],_xlfn.CONCAT("Link ("&amp;Table1[[#This Row],[Other]]&amp;")"))))</f>
        <v/>
      </c>
      <c r="BA359" s="59"/>
      <c r="BB359" s="58" t="str">
        <f>IF(AND( Table1[[#This Row],[Auto Order]]=1,Table1[[#This Row],[Obsolete]]=""),IF(Table1[[#This Row],[In stock]]&lt;Table1[[#This Row],[Min in stock]],1,""),"")</f>
        <v/>
      </c>
      <c r="BC359" s="64"/>
      <c r="BD359" s="66" t="str">
        <f>IF(Table1[[#This Row],[Obsolete]],Table1[[#This Row],[Art. Number]],"")</f>
        <v/>
      </c>
    </row>
    <row r="360" spans="1:56" x14ac:dyDescent="0.25">
      <c r="A360" s="65" t="s">
        <v>264</v>
      </c>
      <c r="B360" s="57" t="s">
        <v>168</v>
      </c>
      <c r="C360" s="57" t="s">
        <v>2138</v>
      </c>
      <c r="D360" s="57" t="s">
        <v>2139</v>
      </c>
      <c r="E360" s="57" t="s">
        <v>151</v>
      </c>
      <c r="F360" s="58">
        <v>8</v>
      </c>
      <c r="G360" s="58"/>
      <c r="H360" s="58"/>
      <c r="I36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RHM3.3KKCT-ND</v>
      </c>
      <c r="J36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6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(RHM3.3KKCT-ND)</v>
      </c>
      <c r="M360" s="57" t="s">
        <v>2140</v>
      </c>
      <c r="N360" s="59">
        <v>0.1</v>
      </c>
      <c r="O360" s="61" t="str">
        <f>IF(Table1[[#This Row],[Digikey]]="","", HYPERLINK(Table1[[#This Row],[Destination - Digikey]],_xlfn.CONCAT("Link (",Table1[[#This Row],[Digikey]],")")))</f>
        <v>Link (RHM3.3KKCT-ND)</v>
      </c>
      <c r="P360" s="62" t="str">
        <f>_xlfn.CONCAT("https://www.digikey.ch/products/en?keywords=",Table1[[#This Row],[Digikey]])</f>
        <v>https://www.digikey.ch/products/en?keywords=RHM3.3KKCT-ND</v>
      </c>
      <c r="Q360" s="57"/>
      <c r="R360" s="59"/>
      <c r="S360" s="61" t="str">
        <f>IF(Table1[[#This Row],[Farnell]]="","", HYPERLINK(Table1[[#This Row],[Destination - Farnell]],_xlfn.CONCAT("Link (",Table1[[#This Row],[Farnell]],")")))</f>
        <v/>
      </c>
      <c r="T360" s="62" t="str">
        <f>_xlfn.CONCAT("https://ch.farnell.com/fr-CH/",Table1[[#This Row],[Farnell]])</f>
        <v>https://ch.farnell.com/fr-CH/</v>
      </c>
      <c r="U360" s="57"/>
      <c r="V360" s="59"/>
      <c r="W360" s="61" t="str">
        <f>IF(Table1[[#This Row],[Distrelec]]="","", HYPERLINK(Table1[[#This Row],[Destination - Distrelec]],_xlfn.CONCAT("Link (",Table1[[#This Row],[Distrelec]],")")))</f>
        <v/>
      </c>
      <c r="X360" s="62" t="str">
        <f>_xlfn.CONCAT("https://www.distrelec.ch/search?q=",Table1[[#This Row],[Distrelec]])</f>
        <v>https://www.distrelec.ch/search?q=</v>
      </c>
      <c r="Y360" s="57"/>
      <c r="Z360" s="59"/>
      <c r="AA360" s="61" t="str">
        <f>IF(Table1[[#This Row],[Conrad]]="","", HYPERLINK(Table1[[#This Row],[Destination - Conrad]],_xlfn.CONCAT("Link (",Table1[[#This Row],[Conrad]],")")))</f>
        <v/>
      </c>
      <c r="AB360" s="62"/>
      <c r="AC360" s="57"/>
      <c r="AD360" s="59"/>
      <c r="AE360" s="61" t="str">
        <f>IF(Table1[[#This Row],[Mouser]]="","", HYPERLINK(Table1[[#This Row],[Destination - Mouser]],_xlfn.CONCAT("Link (",Table1[[#This Row],[Mouser]],")")))</f>
        <v/>
      </c>
      <c r="AF360" s="62" t="str">
        <f>_xlfn.CONCAT("https://www.mouser.ch/ProductDetail/",Table1[[#This Row],[Mouser]])</f>
        <v>https://www.mouser.ch/ProductDetail/</v>
      </c>
      <c r="AG360" s="57"/>
      <c r="AH360" s="59"/>
      <c r="AI360" s="61" t="str">
        <f>IF(Table1[[#This Row],[Bauhaus]]="","", HYPERLINK(Table1[[#This Row],[Destination - Bauhaus]],_xlfn.CONCAT("Link (",Table1[[#This Row],[Bauhaus]],")")))</f>
        <v/>
      </c>
      <c r="AJ360" s="62" t="str">
        <f>_xlfn.CONCAT("https://www.bauhaus.ch/fr/search?query=",Table1[[#This Row],[Bauhaus]])</f>
        <v>https://www.bauhaus.ch/fr/search?query=</v>
      </c>
      <c r="AK360" s="59"/>
      <c r="AL360" s="59"/>
      <c r="AM360" s="61" t="str">
        <f>IF(Table1[[#This Row],[BricoEtLoisirs]]="","", HYPERLINK(Table1[[#This Row],[Destination - BricoEtLoisirs]],_xlfn.CONCAT("Link (",Table1[[#This Row],[BricoEtLoisirs]],")")))</f>
        <v/>
      </c>
      <c r="AN360" s="62" t="str">
        <f>_xlfn.CONCAT("https://bricoetloisirs.ch/p/",Table1[[#This Row],[BricoEtLoisirs]])</f>
        <v>https://bricoetloisirs.ch/p/</v>
      </c>
      <c r="AO360" s="57"/>
      <c r="AP360" s="59"/>
      <c r="AQ360" s="61" t="str">
        <f>IF(Table1[[#This Row],[Aliexpress]]="","", HYPERLINK(Table1[[#This Row],[Destination - Aliexpress]],_xlfn.CONCAT("Link (",Table1[[#This Row],[Aliexpress]],")")))</f>
        <v/>
      </c>
      <c r="AR360" s="62" t="str">
        <f>_xlfn.CONCAT("https://www.aliexpress.com/item/",Table1[[#This Row],[Aliexpress]],".html")</f>
        <v>https://www.aliexpress.com/item/.html</v>
      </c>
      <c r="AS360" s="57"/>
      <c r="AT360" s="59"/>
      <c r="AU360" s="61" t="str">
        <f>IF(Table1[[#This Row],[Banggood]]="","", HYPERLINK(Table1[[#This Row],[Destination - Banggood]],_xlfn.CONCAT("Link (",Table1[[#This Row],[Banggood]],")")))</f>
        <v/>
      </c>
      <c r="AV360" s="62" t="str">
        <f>_xlfn.CONCAT("https://www.banggood.com/search/",Table1[[#This Row],[Banggood]],".html")</f>
        <v>https://www.banggood.com/search/.html</v>
      </c>
      <c r="AW360" s="59" t="str">
        <f>IF(Table1[[#This Row],[Other]]&lt;&gt;"","Other","")</f>
        <v/>
      </c>
      <c r="AX360" s="57"/>
      <c r="AY360" s="59"/>
      <c r="AZ360" s="61" t="str">
        <f>IF(Table1[[#This Row],[Other]]="","",IF(Table1[[#This Row],[Destination - Other]]="","",HYPERLINK(Table1[[#This Row],[Destination - Other]],_xlfn.CONCAT("Link ("&amp;Table1[[#This Row],[Other]]&amp;")"))))</f>
        <v/>
      </c>
      <c r="BA360" s="59"/>
      <c r="BB360" s="58" t="str">
        <f>IF(AND( Table1[[#This Row],[Auto Order]]=1,Table1[[#This Row],[Obsolete]]=""),IF(Table1[[#This Row],[In stock]]&lt;Table1[[#This Row],[Min in stock]],1,""),"")</f>
        <v/>
      </c>
      <c r="BC360" s="64"/>
      <c r="BD360" s="66" t="str">
        <f>IF(Table1[[#This Row],[Obsolete]],Table1[[#This Row],[Art. Number]],"")</f>
        <v/>
      </c>
    </row>
    <row r="361" spans="1:56" x14ac:dyDescent="0.25">
      <c r="A361" s="65" t="s">
        <v>190</v>
      </c>
      <c r="B361" s="57" t="s">
        <v>168</v>
      </c>
      <c r="C361" s="57" t="s">
        <v>2142</v>
      </c>
      <c r="D361" s="57" t="s">
        <v>2143</v>
      </c>
      <c r="E361" s="57" t="s">
        <v>151</v>
      </c>
      <c r="F361" s="58">
        <v>7</v>
      </c>
      <c r="G361" s="58"/>
      <c r="H361" s="58"/>
      <c r="I36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RHM3.9KKCT-ND</v>
      </c>
      <c r="J36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6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(RHM3.9KKCT-ND)</v>
      </c>
      <c r="M361" s="57" t="s">
        <v>2144</v>
      </c>
      <c r="N361" s="59">
        <v>0.1</v>
      </c>
      <c r="O361" s="61" t="str">
        <f>IF(Table1[[#This Row],[Digikey]]="","", HYPERLINK(Table1[[#This Row],[Destination - Digikey]],_xlfn.CONCAT("Link (",Table1[[#This Row],[Digikey]],")")))</f>
        <v>Link (RHM3.9KKCT-ND)</v>
      </c>
      <c r="P361" s="62" t="str">
        <f>_xlfn.CONCAT("https://www.digikey.ch/products/en?keywords=",Table1[[#This Row],[Digikey]])</f>
        <v>https://www.digikey.ch/products/en?keywords=RHM3.9KKCT-ND</v>
      </c>
      <c r="Q361" s="57"/>
      <c r="R361" s="59"/>
      <c r="S361" s="61" t="str">
        <f>IF(Table1[[#This Row],[Farnell]]="","", HYPERLINK(Table1[[#This Row],[Destination - Farnell]],_xlfn.CONCAT("Link (",Table1[[#This Row],[Farnell]],")")))</f>
        <v/>
      </c>
      <c r="T361" s="62" t="str">
        <f>_xlfn.CONCAT("https://ch.farnell.com/fr-CH/",Table1[[#This Row],[Farnell]])</f>
        <v>https://ch.farnell.com/fr-CH/</v>
      </c>
      <c r="U361" s="57"/>
      <c r="V361" s="59"/>
      <c r="W361" s="61" t="str">
        <f>IF(Table1[[#This Row],[Distrelec]]="","", HYPERLINK(Table1[[#This Row],[Destination - Distrelec]],_xlfn.CONCAT("Link (",Table1[[#This Row],[Distrelec]],")")))</f>
        <v/>
      </c>
      <c r="X361" s="62" t="str">
        <f>_xlfn.CONCAT("https://www.distrelec.ch/search?q=",Table1[[#This Row],[Distrelec]])</f>
        <v>https://www.distrelec.ch/search?q=</v>
      </c>
      <c r="Y361" s="57"/>
      <c r="Z361" s="59"/>
      <c r="AA361" s="61" t="str">
        <f>IF(Table1[[#This Row],[Conrad]]="","", HYPERLINK(Table1[[#This Row],[Destination - Conrad]],_xlfn.CONCAT("Link (",Table1[[#This Row],[Conrad]],")")))</f>
        <v/>
      </c>
      <c r="AB361" s="62"/>
      <c r="AC361" s="57"/>
      <c r="AD361" s="59"/>
      <c r="AE361" s="61" t="str">
        <f>IF(Table1[[#This Row],[Mouser]]="","", HYPERLINK(Table1[[#This Row],[Destination - Mouser]],_xlfn.CONCAT("Link (",Table1[[#This Row],[Mouser]],")")))</f>
        <v/>
      </c>
      <c r="AF361" s="62" t="str">
        <f>_xlfn.CONCAT("https://www.mouser.ch/ProductDetail/",Table1[[#This Row],[Mouser]])</f>
        <v>https://www.mouser.ch/ProductDetail/</v>
      </c>
      <c r="AG361" s="57"/>
      <c r="AH361" s="59"/>
      <c r="AI361" s="61" t="str">
        <f>IF(Table1[[#This Row],[Bauhaus]]="","", HYPERLINK(Table1[[#This Row],[Destination - Bauhaus]],_xlfn.CONCAT("Link (",Table1[[#This Row],[Bauhaus]],")")))</f>
        <v/>
      </c>
      <c r="AJ361" s="62" t="str">
        <f>_xlfn.CONCAT("https://www.bauhaus.ch/fr/search?query=",Table1[[#This Row],[Bauhaus]])</f>
        <v>https://www.bauhaus.ch/fr/search?query=</v>
      </c>
      <c r="AK361" s="59"/>
      <c r="AL361" s="59"/>
      <c r="AM361" s="61" t="str">
        <f>IF(Table1[[#This Row],[BricoEtLoisirs]]="","", HYPERLINK(Table1[[#This Row],[Destination - BricoEtLoisirs]],_xlfn.CONCAT("Link (",Table1[[#This Row],[BricoEtLoisirs]],")")))</f>
        <v/>
      </c>
      <c r="AN361" s="62" t="str">
        <f>_xlfn.CONCAT("https://bricoetloisirs.ch/p/",Table1[[#This Row],[BricoEtLoisirs]])</f>
        <v>https://bricoetloisirs.ch/p/</v>
      </c>
      <c r="AO361" s="57"/>
      <c r="AP361" s="59"/>
      <c r="AQ361" s="61" t="str">
        <f>IF(Table1[[#This Row],[Aliexpress]]="","", HYPERLINK(Table1[[#This Row],[Destination - Aliexpress]],_xlfn.CONCAT("Link (",Table1[[#This Row],[Aliexpress]],")")))</f>
        <v/>
      </c>
      <c r="AR361" s="62" t="str">
        <f>_xlfn.CONCAT("https://www.aliexpress.com/item/",Table1[[#This Row],[Aliexpress]],".html")</f>
        <v>https://www.aliexpress.com/item/.html</v>
      </c>
      <c r="AS361" s="57"/>
      <c r="AT361" s="59"/>
      <c r="AU361" s="61" t="str">
        <f>IF(Table1[[#This Row],[Banggood]]="","", HYPERLINK(Table1[[#This Row],[Destination - Banggood]],_xlfn.CONCAT("Link (",Table1[[#This Row],[Banggood]],")")))</f>
        <v/>
      </c>
      <c r="AV361" s="62" t="str">
        <f>_xlfn.CONCAT("https://www.banggood.com/search/",Table1[[#This Row],[Banggood]],".html")</f>
        <v>https://www.banggood.com/search/.html</v>
      </c>
      <c r="AW361" s="59" t="str">
        <f>IF(Table1[[#This Row],[Other]]&lt;&gt;"","Other","")</f>
        <v/>
      </c>
      <c r="AX361" s="57"/>
      <c r="AY361" s="59"/>
      <c r="AZ361" s="61" t="str">
        <f>IF(Table1[[#This Row],[Other]]="","",IF(Table1[[#This Row],[Destination - Other]]="","",HYPERLINK(Table1[[#This Row],[Destination - Other]],_xlfn.CONCAT("Link ("&amp;Table1[[#This Row],[Other]]&amp;")"))))</f>
        <v/>
      </c>
      <c r="BA361" s="59"/>
      <c r="BB361" s="58" t="str">
        <f>IF(AND( Table1[[#This Row],[Auto Order]]=1,Table1[[#This Row],[Obsolete]]=""),IF(Table1[[#This Row],[In stock]]&lt;Table1[[#This Row],[Min in stock]],1,""),"")</f>
        <v/>
      </c>
      <c r="BC361" s="64"/>
      <c r="BD361" s="66" t="str">
        <f>IF(Table1[[#This Row],[Obsolete]],Table1[[#This Row],[Art. Number]],"")</f>
        <v/>
      </c>
    </row>
    <row r="362" spans="1:56" x14ac:dyDescent="0.25">
      <c r="A362" s="65" t="s">
        <v>170</v>
      </c>
      <c r="B362" s="57" t="s">
        <v>168</v>
      </c>
      <c r="C362" s="57" t="s">
        <v>2148</v>
      </c>
      <c r="D362" s="57" t="s">
        <v>2149</v>
      </c>
      <c r="E362" s="57" t="s">
        <v>151</v>
      </c>
      <c r="F362" s="58">
        <v>10</v>
      </c>
      <c r="G362" s="58"/>
      <c r="H362" s="58"/>
      <c r="I36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RHM1.0KBCT-ND</v>
      </c>
      <c r="J36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0.15</v>
      </c>
      <c r="K36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(RHM1.0KBCT-ND)</v>
      </c>
      <c r="M362" s="57" t="s">
        <v>2150</v>
      </c>
      <c r="N362" s="59">
        <v>0.15</v>
      </c>
      <c r="O362" s="61" t="str">
        <f>IF(Table1[[#This Row],[Digikey]]="","", HYPERLINK(Table1[[#This Row],[Destination - Digikey]],_xlfn.CONCAT("Link (",Table1[[#This Row],[Digikey]],")")))</f>
        <v>Link (RHM1.0KBCT-ND)</v>
      </c>
      <c r="P362" s="62" t="str">
        <f>_xlfn.CONCAT("https://www.digikey.ch/products/en?keywords=",Table1[[#This Row],[Digikey]])</f>
        <v>https://www.digikey.ch/products/en?keywords=RHM1.0KBCT-ND</v>
      </c>
      <c r="Q362" s="57"/>
      <c r="R362" s="59"/>
      <c r="S362" s="61" t="str">
        <f>IF(Table1[[#This Row],[Farnell]]="","", HYPERLINK(Table1[[#This Row],[Destination - Farnell]],_xlfn.CONCAT("Link (",Table1[[#This Row],[Farnell]],")")))</f>
        <v/>
      </c>
      <c r="T362" s="62" t="str">
        <f>_xlfn.CONCAT("https://ch.farnell.com/fr-CH/",Table1[[#This Row],[Farnell]])</f>
        <v>https://ch.farnell.com/fr-CH/</v>
      </c>
      <c r="U362" s="57"/>
      <c r="V362" s="59"/>
      <c r="W362" s="61" t="str">
        <f>IF(Table1[[#This Row],[Distrelec]]="","", HYPERLINK(Table1[[#This Row],[Destination - Distrelec]],_xlfn.CONCAT("Link (",Table1[[#This Row],[Distrelec]],")")))</f>
        <v/>
      </c>
      <c r="X362" s="62" t="str">
        <f>_xlfn.CONCAT("https://www.distrelec.ch/search?q=",Table1[[#This Row],[Distrelec]])</f>
        <v>https://www.distrelec.ch/search?q=</v>
      </c>
      <c r="Y362" s="57"/>
      <c r="Z362" s="59"/>
      <c r="AA362" s="61" t="str">
        <f>IF(Table1[[#This Row],[Conrad]]="","", HYPERLINK(Table1[[#This Row],[Destination - Conrad]],_xlfn.CONCAT("Link (",Table1[[#This Row],[Conrad]],")")))</f>
        <v/>
      </c>
      <c r="AB362" s="62"/>
      <c r="AC362" s="57"/>
      <c r="AD362" s="59"/>
      <c r="AE362" s="61" t="str">
        <f>IF(Table1[[#This Row],[Mouser]]="","", HYPERLINK(Table1[[#This Row],[Destination - Mouser]],_xlfn.CONCAT("Link (",Table1[[#This Row],[Mouser]],")")))</f>
        <v/>
      </c>
      <c r="AF362" s="62" t="str">
        <f>_xlfn.CONCAT("https://www.mouser.ch/ProductDetail/",Table1[[#This Row],[Mouser]])</f>
        <v>https://www.mouser.ch/ProductDetail/</v>
      </c>
      <c r="AG362" s="57"/>
      <c r="AH362" s="59"/>
      <c r="AI362" s="61" t="str">
        <f>IF(Table1[[#This Row],[Bauhaus]]="","", HYPERLINK(Table1[[#This Row],[Destination - Bauhaus]],_xlfn.CONCAT("Link (",Table1[[#This Row],[Bauhaus]],")")))</f>
        <v/>
      </c>
      <c r="AJ362" s="62" t="str">
        <f>_xlfn.CONCAT("https://www.bauhaus.ch/fr/search?query=",Table1[[#This Row],[Bauhaus]])</f>
        <v>https://www.bauhaus.ch/fr/search?query=</v>
      </c>
      <c r="AK362" s="59"/>
      <c r="AL362" s="59"/>
      <c r="AM362" s="61" t="str">
        <f>IF(Table1[[#This Row],[BricoEtLoisirs]]="","", HYPERLINK(Table1[[#This Row],[Destination - BricoEtLoisirs]],_xlfn.CONCAT("Link (",Table1[[#This Row],[BricoEtLoisirs]],")")))</f>
        <v/>
      </c>
      <c r="AN362" s="62" t="str">
        <f>_xlfn.CONCAT("https://bricoetloisirs.ch/p/",Table1[[#This Row],[BricoEtLoisirs]])</f>
        <v>https://bricoetloisirs.ch/p/</v>
      </c>
      <c r="AO362" s="57"/>
      <c r="AP362" s="59"/>
      <c r="AQ362" s="61" t="str">
        <f>IF(Table1[[#This Row],[Aliexpress]]="","", HYPERLINK(Table1[[#This Row],[Destination - Aliexpress]],_xlfn.CONCAT("Link (",Table1[[#This Row],[Aliexpress]],")")))</f>
        <v/>
      </c>
      <c r="AR362" s="62" t="str">
        <f>_xlfn.CONCAT("https://www.aliexpress.com/item/",Table1[[#This Row],[Aliexpress]],".html")</f>
        <v>https://www.aliexpress.com/item/.html</v>
      </c>
      <c r="AS362" s="57"/>
      <c r="AT362" s="59"/>
      <c r="AU362" s="61" t="str">
        <f>IF(Table1[[#This Row],[Banggood]]="","", HYPERLINK(Table1[[#This Row],[Destination - Banggood]],_xlfn.CONCAT("Link (",Table1[[#This Row],[Banggood]],")")))</f>
        <v/>
      </c>
      <c r="AV362" s="62" t="str">
        <f>_xlfn.CONCAT("https://www.banggood.com/search/",Table1[[#This Row],[Banggood]],".html")</f>
        <v>https://www.banggood.com/search/.html</v>
      </c>
      <c r="AW362" s="59" t="str">
        <f>IF(Table1[[#This Row],[Other]]&lt;&gt;"","Other","")</f>
        <v/>
      </c>
      <c r="AX362" s="57"/>
      <c r="AY362" s="59"/>
      <c r="AZ362" s="61" t="str">
        <f>IF(Table1[[#This Row],[Other]]="","",IF(Table1[[#This Row],[Destination - Other]]="","",HYPERLINK(Table1[[#This Row],[Destination - Other]],_xlfn.CONCAT("Link ("&amp;Table1[[#This Row],[Other]]&amp;")"))))</f>
        <v/>
      </c>
      <c r="BA362" s="59"/>
      <c r="BB362" s="58" t="str">
        <f>IF(AND( Table1[[#This Row],[Auto Order]]=1,Table1[[#This Row],[Obsolete]]=""),IF(Table1[[#This Row],[In stock]]&lt;Table1[[#This Row],[Min in stock]],1,""),"")</f>
        <v/>
      </c>
      <c r="BC362" s="64"/>
      <c r="BD362" s="66" t="str">
        <f>IF(Table1[[#This Row],[Obsolete]],Table1[[#This Row],[Art. Number]],"")</f>
        <v/>
      </c>
    </row>
    <row r="363" spans="1:56" x14ac:dyDescent="0.25">
      <c r="A363" s="65" t="s">
        <v>171</v>
      </c>
      <c r="B363" s="57" t="s">
        <v>168</v>
      </c>
      <c r="C363" s="57" t="s">
        <v>2154</v>
      </c>
      <c r="D363" s="57" t="s">
        <v>2155</v>
      </c>
      <c r="E363" s="57" t="s">
        <v>151</v>
      </c>
      <c r="F363" s="58">
        <v>0</v>
      </c>
      <c r="G363" s="58"/>
      <c r="H363" s="58"/>
      <c r="I36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RHM10MBCT-ND</v>
      </c>
      <c r="J36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0.15</v>
      </c>
      <c r="K36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(RHM10MBCT-ND)</v>
      </c>
      <c r="M363" s="57" t="s">
        <v>2156</v>
      </c>
      <c r="N363" s="59">
        <v>0.15</v>
      </c>
      <c r="O363" s="61" t="str">
        <f>IF(Table1[[#This Row],[Digikey]]="","", HYPERLINK(Table1[[#This Row],[Destination - Digikey]],_xlfn.CONCAT("Link (",Table1[[#This Row],[Digikey]],")")))</f>
        <v>Link (RHM10MBCT-ND)</v>
      </c>
      <c r="P363" s="62" t="str">
        <f>_xlfn.CONCAT("https://www.digikey.ch/products/en?keywords=",Table1[[#This Row],[Digikey]])</f>
        <v>https://www.digikey.ch/products/en?keywords=RHM10MBCT-ND</v>
      </c>
      <c r="Q363" s="57"/>
      <c r="R363" s="59"/>
      <c r="S363" s="61" t="str">
        <f>IF(Table1[[#This Row],[Farnell]]="","", HYPERLINK(Table1[[#This Row],[Destination - Farnell]],_xlfn.CONCAT("Link (",Table1[[#This Row],[Farnell]],")")))</f>
        <v/>
      </c>
      <c r="T363" s="62" t="str">
        <f>_xlfn.CONCAT("https://ch.farnell.com/fr-CH/",Table1[[#This Row],[Farnell]])</f>
        <v>https://ch.farnell.com/fr-CH/</v>
      </c>
      <c r="U363" s="57"/>
      <c r="V363" s="59"/>
      <c r="W363" s="61" t="str">
        <f>IF(Table1[[#This Row],[Distrelec]]="","", HYPERLINK(Table1[[#This Row],[Destination - Distrelec]],_xlfn.CONCAT("Link (",Table1[[#This Row],[Distrelec]],")")))</f>
        <v/>
      </c>
      <c r="X363" s="62" t="str">
        <f>_xlfn.CONCAT("https://www.distrelec.ch/search?q=",Table1[[#This Row],[Distrelec]])</f>
        <v>https://www.distrelec.ch/search?q=</v>
      </c>
      <c r="Y363" s="57"/>
      <c r="Z363" s="59"/>
      <c r="AA363" s="61" t="str">
        <f>IF(Table1[[#This Row],[Conrad]]="","", HYPERLINK(Table1[[#This Row],[Destination - Conrad]],_xlfn.CONCAT("Link (",Table1[[#This Row],[Conrad]],")")))</f>
        <v/>
      </c>
      <c r="AB363" s="62"/>
      <c r="AC363" s="57"/>
      <c r="AD363" s="59"/>
      <c r="AE363" s="61" t="str">
        <f>IF(Table1[[#This Row],[Mouser]]="","", HYPERLINK(Table1[[#This Row],[Destination - Mouser]],_xlfn.CONCAT("Link (",Table1[[#This Row],[Mouser]],")")))</f>
        <v/>
      </c>
      <c r="AF363" s="62" t="str">
        <f>_xlfn.CONCAT("https://www.mouser.ch/ProductDetail/",Table1[[#This Row],[Mouser]])</f>
        <v>https://www.mouser.ch/ProductDetail/</v>
      </c>
      <c r="AG363" s="57"/>
      <c r="AH363" s="59"/>
      <c r="AI363" s="61" t="str">
        <f>IF(Table1[[#This Row],[Bauhaus]]="","", HYPERLINK(Table1[[#This Row],[Destination - Bauhaus]],_xlfn.CONCAT("Link (",Table1[[#This Row],[Bauhaus]],")")))</f>
        <v/>
      </c>
      <c r="AJ363" s="62" t="str">
        <f>_xlfn.CONCAT("https://www.bauhaus.ch/fr/search?query=",Table1[[#This Row],[Bauhaus]])</f>
        <v>https://www.bauhaus.ch/fr/search?query=</v>
      </c>
      <c r="AK363" s="59"/>
      <c r="AL363" s="59"/>
      <c r="AM363" s="61" t="str">
        <f>IF(Table1[[#This Row],[BricoEtLoisirs]]="","", HYPERLINK(Table1[[#This Row],[Destination - BricoEtLoisirs]],_xlfn.CONCAT("Link (",Table1[[#This Row],[BricoEtLoisirs]],")")))</f>
        <v/>
      </c>
      <c r="AN363" s="62" t="str">
        <f>_xlfn.CONCAT("https://bricoetloisirs.ch/p/",Table1[[#This Row],[BricoEtLoisirs]])</f>
        <v>https://bricoetloisirs.ch/p/</v>
      </c>
      <c r="AO363" s="57"/>
      <c r="AP363" s="59"/>
      <c r="AQ363" s="61" t="str">
        <f>IF(Table1[[#This Row],[Aliexpress]]="","", HYPERLINK(Table1[[#This Row],[Destination - Aliexpress]],_xlfn.CONCAT("Link (",Table1[[#This Row],[Aliexpress]],")")))</f>
        <v/>
      </c>
      <c r="AR363" s="62" t="str">
        <f>_xlfn.CONCAT("https://www.aliexpress.com/item/",Table1[[#This Row],[Aliexpress]],".html")</f>
        <v>https://www.aliexpress.com/item/.html</v>
      </c>
      <c r="AS363" s="57"/>
      <c r="AT363" s="59"/>
      <c r="AU363" s="61" t="str">
        <f>IF(Table1[[#This Row],[Banggood]]="","", HYPERLINK(Table1[[#This Row],[Destination - Banggood]],_xlfn.CONCAT("Link (",Table1[[#This Row],[Banggood]],")")))</f>
        <v/>
      </c>
      <c r="AV363" s="62" t="str">
        <f>_xlfn.CONCAT("https://www.banggood.com/search/",Table1[[#This Row],[Banggood]],".html")</f>
        <v>https://www.banggood.com/search/.html</v>
      </c>
      <c r="AW363" s="59" t="str">
        <f>IF(Table1[[#This Row],[Other]]&lt;&gt;"","Other","")</f>
        <v/>
      </c>
      <c r="AX363" s="57"/>
      <c r="AY363" s="59"/>
      <c r="AZ363" s="61" t="str">
        <f>IF(Table1[[#This Row],[Other]]="","",IF(Table1[[#This Row],[Destination - Other]]="","",HYPERLINK(Table1[[#This Row],[Destination - Other]],_xlfn.CONCAT("Link ("&amp;Table1[[#This Row],[Other]]&amp;")"))))</f>
        <v/>
      </c>
      <c r="BA363" s="59"/>
      <c r="BB363" s="58" t="str">
        <f>IF(AND( Table1[[#This Row],[Auto Order]]=1,Table1[[#This Row],[Obsolete]]=""),IF(Table1[[#This Row],[In stock]]&lt;Table1[[#This Row],[Min in stock]],1,""),"")</f>
        <v/>
      </c>
      <c r="BC363" s="64"/>
      <c r="BD363" s="66" t="str">
        <f>IF(Table1[[#This Row],[Obsolete]],Table1[[#This Row],[Art. Number]],"")</f>
        <v/>
      </c>
    </row>
    <row r="364" spans="1:56" x14ac:dyDescent="0.25">
      <c r="A364" s="65" t="s">
        <v>27</v>
      </c>
      <c r="B364" s="57" t="s">
        <v>300</v>
      </c>
      <c r="C364" s="57" t="s">
        <v>2160</v>
      </c>
      <c r="D364" s="57" t="s">
        <v>2161</v>
      </c>
      <c r="E364" s="57" t="s">
        <v>151</v>
      </c>
      <c r="F364" s="58">
        <v>9</v>
      </c>
      <c r="G364" s="58"/>
      <c r="H364" s="58"/>
      <c r="I36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1576507</v>
      </c>
      <c r="J36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4.3999999999999997E-2</v>
      </c>
      <c r="K36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6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(1576507)</v>
      </c>
      <c r="M364" s="57"/>
      <c r="N364" s="59"/>
      <c r="O364" s="61" t="str">
        <f>IF(Table1[[#This Row],[Digikey]]="","", HYPERLINK(Table1[[#This Row],[Destination - Digikey]],_xlfn.CONCAT("Link (",Table1[[#This Row],[Digikey]],")")))</f>
        <v/>
      </c>
      <c r="P364" s="62" t="str">
        <f>_xlfn.CONCAT("https://www.digikey.ch/products/en?keywords=",Table1[[#This Row],[Digikey]])</f>
        <v>https://www.digikey.ch/products/en?keywords=</v>
      </c>
      <c r="Q364" s="57" t="s">
        <v>2424</v>
      </c>
      <c r="R364" s="59">
        <v>4.3999999999999997E-2</v>
      </c>
      <c r="S364" s="61" t="str">
        <f>IF(Table1[[#This Row],[Farnell]]="","", HYPERLINK(Table1[[#This Row],[Destination - Farnell]],_xlfn.CONCAT("Link (",Table1[[#This Row],[Farnell]],")")))</f>
        <v>Link (1576507)</v>
      </c>
      <c r="T364" s="62" t="str">
        <f>_xlfn.CONCAT("https://ch.farnell.com/fr-CH/",Table1[[#This Row],[Farnell]])</f>
        <v>https://ch.farnell.com/fr-CH/1576507</v>
      </c>
      <c r="U364" s="57"/>
      <c r="V364" s="59"/>
      <c r="W364" s="61" t="str">
        <f>IF(Table1[[#This Row],[Distrelec]]="","", HYPERLINK(Table1[[#This Row],[Destination - Distrelec]],_xlfn.CONCAT("Link (",Table1[[#This Row],[Distrelec]],")")))</f>
        <v/>
      </c>
      <c r="X364" s="62" t="str">
        <f>_xlfn.CONCAT("https://www.distrelec.ch/search?q=",Table1[[#This Row],[Distrelec]])</f>
        <v>https://www.distrelec.ch/search?q=</v>
      </c>
      <c r="Y364" s="57"/>
      <c r="Z364" s="59"/>
      <c r="AA364" s="61" t="str">
        <f>IF(Table1[[#This Row],[Conrad]]="","", HYPERLINK(Table1[[#This Row],[Destination - Conrad]],_xlfn.CONCAT("Link (",Table1[[#This Row],[Conrad]],")")))</f>
        <v/>
      </c>
      <c r="AB364" s="62"/>
      <c r="AC364" s="57"/>
      <c r="AD364" s="59"/>
      <c r="AE364" s="61" t="str">
        <f>IF(Table1[[#This Row],[Mouser]]="","", HYPERLINK(Table1[[#This Row],[Destination - Mouser]],_xlfn.CONCAT("Link (",Table1[[#This Row],[Mouser]],")")))</f>
        <v/>
      </c>
      <c r="AF364" s="62" t="str">
        <f>_xlfn.CONCAT("https://www.mouser.ch/ProductDetail/",Table1[[#This Row],[Mouser]])</f>
        <v>https://www.mouser.ch/ProductDetail/</v>
      </c>
      <c r="AG364" s="57"/>
      <c r="AH364" s="59"/>
      <c r="AI364" s="61" t="str">
        <f>IF(Table1[[#This Row],[Bauhaus]]="","", HYPERLINK(Table1[[#This Row],[Destination - Bauhaus]],_xlfn.CONCAT("Link (",Table1[[#This Row],[Bauhaus]],")")))</f>
        <v/>
      </c>
      <c r="AJ364" s="62" t="str">
        <f>_xlfn.CONCAT("https://www.bauhaus.ch/fr/search?query=",Table1[[#This Row],[Bauhaus]])</f>
        <v>https://www.bauhaus.ch/fr/search?query=</v>
      </c>
      <c r="AK364" s="59"/>
      <c r="AL364" s="59"/>
      <c r="AM364" s="61" t="str">
        <f>IF(Table1[[#This Row],[BricoEtLoisirs]]="","", HYPERLINK(Table1[[#This Row],[Destination - BricoEtLoisirs]],_xlfn.CONCAT("Link (",Table1[[#This Row],[BricoEtLoisirs]],")")))</f>
        <v/>
      </c>
      <c r="AN364" s="62" t="str">
        <f>_xlfn.CONCAT("https://bricoetloisirs.ch/p/",Table1[[#This Row],[BricoEtLoisirs]])</f>
        <v>https://bricoetloisirs.ch/p/</v>
      </c>
      <c r="AO364" s="57"/>
      <c r="AP364" s="59"/>
      <c r="AQ364" s="61" t="str">
        <f>IF(Table1[[#This Row],[Aliexpress]]="","", HYPERLINK(Table1[[#This Row],[Destination - Aliexpress]],_xlfn.CONCAT("Link (",Table1[[#This Row],[Aliexpress]],")")))</f>
        <v/>
      </c>
      <c r="AR364" s="62" t="str">
        <f>_xlfn.CONCAT("https://www.aliexpress.com/item/",Table1[[#This Row],[Aliexpress]],".html")</f>
        <v>https://www.aliexpress.com/item/.html</v>
      </c>
      <c r="AS364" s="57"/>
      <c r="AT364" s="59"/>
      <c r="AU364" s="61" t="str">
        <f>IF(Table1[[#This Row],[Banggood]]="","", HYPERLINK(Table1[[#This Row],[Destination - Banggood]],_xlfn.CONCAT("Link (",Table1[[#This Row],[Banggood]],")")))</f>
        <v/>
      </c>
      <c r="AV364" s="62" t="str">
        <f>_xlfn.CONCAT("https://www.banggood.com/search/",Table1[[#This Row],[Banggood]],".html")</f>
        <v>https://www.banggood.com/search/.html</v>
      </c>
      <c r="AW364" s="59" t="str">
        <f>IF(Table1[[#This Row],[Other]]&lt;&gt;"","Other","")</f>
        <v/>
      </c>
      <c r="AX364" s="57"/>
      <c r="AY364" s="59"/>
      <c r="AZ364" s="61" t="str">
        <f>IF(Table1[[#This Row],[Other]]="","",IF(Table1[[#This Row],[Destination - Other]]="","",HYPERLINK(Table1[[#This Row],[Destination - Other]],_xlfn.CONCAT("Link ("&amp;Table1[[#This Row],[Other]]&amp;")"))))</f>
        <v/>
      </c>
      <c r="BA364" s="59"/>
      <c r="BB364" s="58" t="str">
        <f>IF(AND( Table1[[#This Row],[Auto Order]]=1,Table1[[#This Row],[Obsolete]]=""),IF(Table1[[#This Row],[In stock]]&lt;Table1[[#This Row],[Min in stock]],1,""),"")</f>
        <v/>
      </c>
      <c r="BC364" s="64"/>
      <c r="BD364" s="66" t="str">
        <f>IF(Table1[[#This Row],[Obsolete]],Table1[[#This Row],[Art. Number]],"")</f>
        <v/>
      </c>
    </row>
    <row r="365" spans="1:56" x14ac:dyDescent="0.25">
      <c r="A365" s="65" t="s">
        <v>25</v>
      </c>
      <c r="B365" s="57" t="s">
        <v>300</v>
      </c>
      <c r="C365" s="57" t="s">
        <v>2163</v>
      </c>
      <c r="D365" s="57" t="s">
        <v>2164</v>
      </c>
      <c r="E365" s="57" t="s">
        <v>151</v>
      </c>
      <c r="F365" s="58">
        <v>9</v>
      </c>
      <c r="G365" s="58"/>
      <c r="H365" s="58"/>
      <c r="I36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2073701</v>
      </c>
      <c r="J36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1.6E-2</v>
      </c>
      <c r="K36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6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(2073701)</v>
      </c>
      <c r="M365" s="57"/>
      <c r="N365" s="59"/>
      <c r="O365" s="61" t="str">
        <f>IF(Table1[[#This Row],[Digikey]]="","", HYPERLINK(Table1[[#This Row],[Destination - Digikey]],_xlfn.CONCAT("Link (",Table1[[#This Row],[Digikey]],")")))</f>
        <v/>
      </c>
      <c r="P365" s="62" t="str">
        <f>_xlfn.CONCAT("https://www.digikey.ch/products/en?keywords=",Table1[[#This Row],[Digikey]])</f>
        <v>https://www.digikey.ch/products/en?keywords=</v>
      </c>
      <c r="Q365" s="57" t="s">
        <v>2425</v>
      </c>
      <c r="R365" s="59">
        <v>1.6E-2</v>
      </c>
      <c r="S365" s="61" t="str">
        <f>IF(Table1[[#This Row],[Farnell]]="","", HYPERLINK(Table1[[#This Row],[Destination - Farnell]],_xlfn.CONCAT("Link (",Table1[[#This Row],[Farnell]],")")))</f>
        <v>Link (2073701)</v>
      </c>
      <c r="T365" s="62" t="str">
        <f>_xlfn.CONCAT("https://ch.farnell.com/fr-CH/",Table1[[#This Row],[Farnell]])</f>
        <v>https://ch.farnell.com/fr-CH/2073701</v>
      </c>
      <c r="U365" s="57"/>
      <c r="V365" s="59"/>
      <c r="W365" s="61" t="str">
        <f>IF(Table1[[#This Row],[Distrelec]]="","", HYPERLINK(Table1[[#This Row],[Destination - Distrelec]],_xlfn.CONCAT("Link (",Table1[[#This Row],[Distrelec]],")")))</f>
        <v/>
      </c>
      <c r="X365" s="62" t="str">
        <f>_xlfn.CONCAT("https://www.distrelec.ch/search?q=",Table1[[#This Row],[Distrelec]])</f>
        <v>https://www.distrelec.ch/search?q=</v>
      </c>
      <c r="Y365" s="57"/>
      <c r="Z365" s="59"/>
      <c r="AA365" s="61" t="str">
        <f>IF(Table1[[#This Row],[Conrad]]="","", HYPERLINK(Table1[[#This Row],[Destination - Conrad]],_xlfn.CONCAT("Link (",Table1[[#This Row],[Conrad]],")")))</f>
        <v/>
      </c>
      <c r="AB365" s="62"/>
      <c r="AC365" s="57"/>
      <c r="AD365" s="59"/>
      <c r="AE365" s="61" t="str">
        <f>IF(Table1[[#This Row],[Mouser]]="","", HYPERLINK(Table1[[#This Row],[Destination - Mouser]],_xlfn.CONCAT("Link (",Table1[[#This Row],[Mouser]],")")))</f>
        <v/>
      </c>
      <c r="AF365" s="62" t="str">
        <f>_xlfn.CONCAT("https://www.mouser.ch/ProductDetail/",Table1[[#This Row],[Mouser]])</f>
        <v>https://www.mouser.ch/ProductDetail/</v>
      </c>
      <c r="AG365" s="57"/>
      <c r="AH365" s="59"/>
      <c r="AI365" s="61" t="str">
        <f>IF(Table1[[#This Row],[Bauhaus]]="","", HYPERLINK(Table1[[#This Row],[Destination - Bauhaus]],_xlfn.CONCAT("Link (",Table1[[#This Row],[Bauhaus]],")")))</f>
        <v/>
      </c>
      <c r="AJ365" s="62" t="str">
        <f>_xlfn.CONCAT("https://www.bauhaus.ch/fr/search?query=",Table1[[#This Row],[Bauhaus]])</f>
        <v>https://www.bauhaus.ch/fr/search?query=</v>
      </c>
      <c r="AK365" s="59"/>
      <c r="AL365" s="59"/>
      <c r="AM365" s="61" t="str">
        <f>IF(Table1[[#This Row],[BricoEtLoisirs]]="","", HYPERLINK(Table1[[#This Row],[Destination - BricoEtLoisirs]],_xlfn.CONCAT("Link (",Table1[[#This Row],[BricoEtLoisirs]],")")))</f>
        <v/>
      </c>
      <c r="AN365" s="62" t="str">
        <f>_xlfn.CONCAT("https://bricoetloisirs.ch/p/",Table1[[#This Row],[BricoEtLoisirs]])</f>
        <v>https://bricoetloisirs.ch/p/</v>
      </c>
      <c r="AO365" s="57"/>
      <c r="AP365" s="59"/>
      <c r="AQ365" s="61" t="str">
        <f>IF(Table1[[#This Row],[Aliexpress]]="","", HYPERLINK(Table1[[#This Row],[Destination - Aliexpress]],_xlfn.CONCAT("Link (",Table1[[#This Row],[Aliexpress]],")")))</f>
        <v/>
      </c>
      <c r="AR365" s="62" t="str">
        <f>_xlfn.CONCAT("https://www.aliexpress.com/item/",Table1[[#This Row],[Aliexpress]],".html")</f>
        <v>https://www.aliexpress.com/item/.html</v>
      </c>
      <c r="AS365" s="57"/>
      <c r="AT365" s="59"/>
      <c r="AU365" s="61" t="str">
        <f>IF(Table1[[#This Row],[Banggood]]="","", HYPERLINK(Table1[[#This Row],[Destination - Banggood]],_xlfn.CONCAT("Link (",Table1[[#This Row],[Banggood]],")")))</f>
        <v/>
      </c>
      <c r="AV365" s="62" t="str">
        <f>_xlfn.CONCAT("https://www.banggood.com/search/",Table1[[#This Row],[Banggood]],".html")</f>
        <v>https://www.banggood.com/search/.html</v>
      </c>
      <c r="AW365" s="59" t="str">
        <f>IF(Table1[[#This Row],[Other]]&lt;&gt;"","Other","")</f>
        <v/>
      </c>
      <c r="AX365" s="57"/>
      <c r="AY365" s="59"/>
      <c r="AZ365" s="61" t="str">
        <f>IF(Table1[[#This Row],[Other]]="","",IF(Table1[[#This Row],[Destination - Other]]="","",HYPERLINK(Table1[[#This Row],[Destination - Other]],_xlfn.CONCAT("Link ("&amp;Table1[[#This Row],[Other]]&amp;")"))))</f>
        <v/>
      </c>
      <c r="BA365" s="59"/>
      <c r="BB365" s="58" t="str">
        <f>IF(AND( Table1[[#This Row],[Auto Order]]=1,Table1[[#This Row],[Obsolete]]=""),IF(Table1[[#This Row],[In stock]]&lt;Table1[[#This Row],[Min in stock]],1,""),"")</f>
        <v/>
      </c>
      <c r="BC365" s="64"/>
      <c r="BD365" s="66" t="str">
        <f>IF(Table1[[#This Row],[Obsolete]],Table1[[#This Row],[Art. Number]],"")</f>
        <v/>
      </c>
    </row>
    <row r="366" spans="1:56" x14ac:dyDescent="0.25">
      <c r="A366" s="65" t="s">
        <v>2166</v>
      </c>
      <c r="B366" s="57" t="s">
        <v>300</v>
      </c>
      <c r="C366" s="57" t="s">
        <v>97</v>
      </c>
      <c r="D366" s="57" t="s">
        <v>2167</v>
      </c>
      <c r="E366" s="57" t="s">
        <v>151</v>
      </c>
      <c r="F366" s="58">
        <v>0</v>
      </c>
      <c r="G366" s="58"/>
      <c r="H366" s="58"/>
      <c r="I36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2073779</v>
      </c>
      <c r="J36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2.3E-2</v>
      </c>
      <c r="K36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6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(2073779)</v>
      </c>
      <c r="M366" s="57"/>
      <c r="N366" s="59"/>
      <c r="O366" s="61" t="str">
        <f>IF(Table1[[#This Row],[Digikey]]="","", HYPERLINK(Table1[[#This Row],[Destination - Digikey]],_xlfn.CONCAT("Link (",Table1[[#This Row],[Digikey]],")")))</f>
        <v/>
      </c>
      <c r="P366" s="62" t="str">
        <f>_xlfn.CONCAT("https://www.digikey.ch/products/en?keywords=",Table1[[#This Row],[Digikey]])</f>
        <v>https://www.digikey.ch/products/en?keywords=</v>
      </c>
      <c r="Q366" s="57" t="s">
        <v>2426</v>
      </c>
      <c r="R366" s="59">
        <v>2.3E-2</v>
      </c>
      <c r="S366" s="61" t="str">
        <f>IF(Table1[[#This Row],[Farnell]]="","", HYPERLINK(Table1[[#This Row],[Destination - Farnell]],_xlfn.CONCAT("Link (",Table1[[#This Row],[Farnell]],")")))</f>
        <v>Link (2073779)</v>
      </c>
      <c r="T366" s="62" t="str">
        <f>_xlfn.CONCAT("https://ch.farnell.com/fr-CH/",Table1[[#This Row],[Farnell]])</f>
        <v>https://ch.farnell.com/fr-CH/2073779</v>
      </c>
      <c r="U366" s="57"/>
      <c r="V366" s="59"/>
      <c r="W366" s="61" t="str">
        <f>IF(Table1[[#This Row],[Distrelec]]="","", HYPERLINK(Table1[[#This Row],[Destination - Distrelec]],_xlfn.CONCAT("Link (",Table1[[#This Row],[Distrelec]],")")))</f>
        <v/>
      </c>
      <c r="X366" s="62" t="str">
        <f>_xlfn.CONCAT("https://www.distrelec.ch/search?q=",Table1[[#This Row],[Distrelec]])</f>
        <v>https://www.distrelec.ch/search?q=</v>
      </c>
      <c r="Y366" s="57"/>
      <c r="Z366" s="59"/>
      <c r="AA366" s="61" t="str">
        <f>IF(Table1[[#This Row],[Conrad]]="","", HYPERLINK(Table1[[#This Row],[Destination - Conrad]],_xlfn.CONCAT("Link (",Table1[[#This Row],[Conrad]],")")))</f>
        <v/>
      </c>
      <c r="AB366" s="62"/>
      <c r="AC366" s="57"/>
      <c r="AD366" s="59"/>
      <c r="AE366" s="61" t="str">
        <f>IF(Table1[[#This Row],[Mouser]]="","", HYPERLINK(Table1[[#This Row],[Destination - Mouser]],_xlfn.CONCAT("Link (",Table1[[#This Row],[Mouser]],")")))</f>
        <v/>
      </c>
      <c r="AF366" s="62" t="str">
        <f>_xlfn.CONCAT("https://www.mouser.ch/ProductDetail/",Table1[[#This Row],[Mouser]])</f>
        <v>https://www.mouser.ch/ProductDetail/</v>
      </c>
      <c r="AG366" s="57"/>
      <c r="AH366" s="59"/>
      <c r="AI366" s="61" t="str">
        <f>IF(Table1[[#This Row],[Bauhaus]]="","", HYPERLINK(Table1[[#This Row],[Destination - Bauhaus]],_xlfn.CONCAT("Link (",Table1[[#This Row],[Bauhaus]],")")))</f>
        <v/>
      </c>
      <c r="AJ366" s="62" t="str">
        <f>_xlfn.CONCAT("https://www.bauhaus.ch/fr/search?query=",Table1[[#This Row],[Bauhaus]])</f>
        <v>https://www.bauhaus.ch/fr/search?query=</v>
      </c>
      <c r="AK366" s="59"/>
      <c r="AL366" s="59"/>
      <c r="AM366" s="61" t="str">
        <f>IF(Table1[[#This Row],[BricoEtLoisirs]]="","", HYPERLINK(Table1[[#This Row],[Destination - BricoEtLoisirs]],_xlfn.CONCAT("Link (",Table1[[#This Row],[BricoEtLoisirs]],")")))</f>
        <v/>
      </c>
      <c r="AN366" s="62" t="str">
        <f>_xlfn.CONCAT("https://bricoetloisirs.ch/p/",Table1[[#This Row],[BricoEtLoisirs]])</f>
        <v>https://bricoetloisirs.ch/p/</v>
      </c>
      <c r="AO366" s="57"/>
      <c r="AP366" s="59"/>
      <c r="AQ366" s="61" t="str">
        <f>IF(Table1[[#This Row],[Aliexpress]]="","", HYPERLINK(Table1[[#This Row],[Destination - Aliexpress]],_xlfn.CONCAT("Link (",Table1[[#This Row],[Aliexpress]],")")))</f>
        <v/>
      </c>
      <c r="AR366" s="62" t="str">
        <f>_xlfn.CONCAT("https://www.aliexpress.com/item/",Table1[[#This Row],[Aliexpress]],".html")</f>
        <v>https://www.aliexpress.com/item/.html</v>
      </c>
      <c r="AS366" s="57"/>
      <c r="AT366" s="59"/>
      <c r="AU366" s="61" t="str">
        <f>IF(Table1[[#This Row],[Banggood]]="","", HYPERLINK(Table1[[#This Row],[Destination - Banggood]],_xlfn.CONCAT("Link (",Table1[[#This Row],[Banggood]],")")))</f>
        <v/>
      </c>
      <c r="AV366" s="62" t="str">
        <f>_xlfn.CONCAT("https://www.banggood.com/search/",Table1[[#This Row],[Banggood]],".html")</f>
        <v>https://www.banggood.com/search/.html</v>
      </c>
      <c r="AW366" s="59" t="str">
        <f>IF(Table1[[#This Row],[Other]]&lt;&gt;"","Other","")</f>
        <v/>
      </c>
      <c r="AX366" s="57"/>
      <c r="AY366" s="59"/>
      <c r="AZ366" s="61" t="str">
        <f>IF(Table1[[#This Row],[Other]]="","",IF(Table1[[#This Row],[Destination - Other]]="","",HYPERLINK(Table1[[#This Row],[Destination - Other]],_xlfn.CONCAT("Link ("&amp;Table1[[#This Row],[Other]]&amp;")"))))</f>
        <v/>
      </c>
      <c r="BA366" s="59"/>
      <c r="BB366" s="58" t="str">
        <f>IF(AND( Table1[[#This Row],[Auto Order]]=1,Table1[[#This Row],[Obsolete]]=""),IF(Table1[[#This Row],[In stock]]&lt;Table1[[#This Row],[Min in stock]],1,""),"")</f>
        <v/>
      </c>
      <c r="BC366" s="64"/>
      <c r="BD366" s="66" t="str">
        <f>IF(Table1[[#This Row],[Obsolete]],Table1[[#This Row],[Art. Number]],"")</f>
        <v/>
      </c>
    </row>
    <row r="367" spans="1:56" x14ac:dyDescent="0.25">
      <c r="A367" s="65" t="s">
        <v>28</v>
      </c>
      <c r="B367" s="57" t="s">
        <v>300</v>
      </c>
      <c r="C367" s="57" t="s">
        <v>2169</v>
      </c>
      <c r="D367" s="57" t="s">
        <v>2170</v>
      </c>
      <c r="E367" s="57" t="s">
        <v>151</v>
      </c>
      <c r="F367" s="58">
        <v>7</v>
      </c>
      <c r="G367" s="58"/>
      <c r="H367" s="58"/>
      <c r="I36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2694097</v>
      </c>
      <c r="J36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2.4E-2</v>
      </c>
      <c r="K36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6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(2694097)</v>
      </c>
      <c r="M367" s="57"/>
      <c r="N367" s="59"/>
      <c r="O367" s="61" t="str">
        <f>IF(Table1[[#This Row],[Digikey]]="","", HYPERLINK(Table1[[#This Row],[Destination - Digikey]],_xlfn.CONCAT("Link (",Table1[[#This Row],[Digikey]],")")))</f>
        <v/>
      </c>
      <c r="P367" s="62" t="str">
        <f>_xlfn.CONCAT("https://www.digikey.ch/products/en?keywords=",Table1[[#This Row],[Digikey]])</f>
        <v>https://www.digikey.ch/products/en?keywords=</v>
      </c>
      <c r="Q367" s="57" t="s">
        <v>2427</v>
      </c>
      <c r="R367" s="59">
        <v>2.4E-2</v>
      </c>
      <c r="S367" s="61" t="str">
        <f>IF(Table1[[#This Row],[Farnell]]="","", HYPERLINK(Table1[[#This Row],[Destination - Farnell]],_xlfn.CONCAT("Link (",Table1[[#This Row],[Farnell]],")")))</f>
        <v>Link (2694097)</v>
      </c>
      <c r="T367" s="62" t="str">
        <f>_xlfn.CONCAT("https://ch.farnell.com/fr-CH/",Table1[[#This Row],[Farnell]])</f>
        <v>https://ch.farnell.com/fr-CH/2694097</v>
      </c>
      <c r="U367" s="57"/>
      <c r="V367" s="59"/>
      <c r="W367" s="61" t="str">
        <f>IF(Table1[[#This Row],[Distrelec]]="","", HYPERLINK(Table1[[#This Row],[Destination - Distrelec]],_xlfn.CONCAT("Link (",Table1[[#This Row],[Distrelec]],")")))</f>
        <v/>
      </c>
      <c r="X367" s="62" t="str">
        <f>_xlfn.CONCAT("https://www.distrelec.ch/search?q=",Table1[[#This Row],[Distrelec]])</f>
        <v>https://www.distrelec.ch/search?q=</v>
      </c>
      <c r="Y367" s="57"/>
      <c r="Z367" s="59"/>
      <c r="AA367" s="61" t="str">
        <f>IF(Table1[[#This Row],[Conrad]]="","", HYPERLINK(Table1[[#This Row],[Destination - Conrad]],_xlfn.CONCAT("Link (",Table1[[#This Row],[Conrad]],")")))</f>
        <v/>
      </c>
      <c r="AB367" s="62"/>
      <c r="AC367" s="57"/>
      <c r="AD367" s="59"/>
      <c r="AE367" s="61" t="str">
        <f>IF(Table1[[#This Row],[Mouser]]="","", HYPERLINK(Table1[[#This Row],[Destination - Mouser]],_xlfn.CONCAT("Link (",Table1[[#This Row],[Mouser]],")")))</f>
        <v/>
      </c>
      <c r="AF367" s="62" t="str">
        <f>_xlfn.CONCAT("https://www.mouser.ch/ProductDetail/",Table1[[#This Row],[Mouser]])</f>
        <v>https://www.mouser.ch/ProductDetail/</v>
      </c>
      <c r="AG367" s="57"/>
      <c r="AH367" s="59"/>
      <c r="AI367" s="61" t="str">
        <f>IF(Table1[[#This Row],[Bauhaus]]="","", HYPERLINK(Table1[[#This Row],[Destination - Bauhaus]],_xlfn.CONCAT("Link (",Table1[[#This Row],[Bauhaus]],")")))</f>
        <v/>
      </c>
      <c r="AJ367" s="62" t="str">
        <f>_xlfn.CONCAT("https://www.bauhaus.ch/fr/search?query=",Table1[[#This Row],[Bauhaus]])</f>
        <v>https://www.bauhaus.ch/fr/search?query=</v>
      </c>
      <c r="AK367" s="59"/>
      <c r="AL367" s="59"/>
      <c r="AM367" s="61" t="str">
        <f>IF(Table1[[#This Row],[BricoEtLoisirs]]="","", HYPERLINK(Table1[[#This Row],[Destination - BricoEtLoisirs]],_xlfn.CONCAT("Link (",Table1[[#This Row],[BricoEtLoisirs]],")")))</f>
        <v/>
      </c>
      <c r="AN367" s="62" t="str">
        <f>_xlfn.CONCAT("https://bricoetloisirs.ch/p/",Table1[[#This Row],[BricoEtLoisirs]])</f>
        <v>https://bricoetloisirs.ch/p/</v>
      </c>
      <c r="AO367" s="57"/>
      <c r="AP367" s="59"/>
      <c r="AQ367" s="61" t="str">
        <f>IF(Table1[[#This Row],[Aliexpress]]="","", HYPERLINK(Table1[[#This Row],[Destination - Aliexpress]],_xlfn.CONCAT("Link (",Table1[[#This Row],[Aliexpress]],")")))</f>
        <v/>
      </c>
      <c r="AR367" s="62" t="str">
        <f>_xlfn.CONCAT("https://www.aliexpress.com/item/",Table1[[#This Row],[Aliexpress]],".html")</f>
        <v>https://www.aliexpress.com/item/.html</v>
      </c>
      <c r="AS367" s="57"/>
      <c r="AT367" s="59"/>
      <c r="AU367" s="61" t="str">
        <f>IF(Table1[[#This Row],[Banggood]]="","", HYPERLINK(Table1[[#This Row],[Destination - Banggood]],_xlfn.CONCAT("Link (",Table1[[#This Row],[Banggood]],")")))</f>
        <v/>
      </c>
      <c r="AV367" s="62" t="str">
        <f>_xlfn.CONCAT("https://www.banggood.com/search/",Table1[[#This Row],[Banggood]],".html")</f>
        <v>https://www.banggood.com/search/.html</v>
      </c>
      <c r="AW367" s="59" t="str">
        <f>IF(Table1[[#This Row],[Other]]&lt;&gt;"","Other","")</f>
        <v/>
      </c>
      <c r="AX367" s="57"/>
      <c r="AY367" s="59"/>
      <c r="AZ367" s="61" t="str">
        <f>IF(Table1[[#This Row],[Other]]="","",IF(Table1[[#This Row],[Destination - Other]]="","",HYPERLINK(Table1[[#This Row],[Destination - Other]],_xlfn.CONCAT("Link ("&amp;Table1[[#This Row],[Other]]&amp;")"))))</f>
        <v/>
      </c>
      <c r="BA367" s="59"/>
      <c r="BB367" s="58" t="str">
        <f>IF(AND( Table1[[#This Row],[Auto Order]]=1,Table1[[#This Row],[Obsolete]]=""),IF(Table1[[#This Row],[In stock]]&lt;Table1[[#This Row],[Min in stock]],1,""),"")</f>
        <v/>
      </c>
      <c r="BC367" s="64"/>
      <c r="BD367" s="66" t="str">
        <f>IF(Table1[[#This Row],[Obsolete]],Table1[[#This Row],[Art. Number]],"")</f>
        <v/>
      </c>
    </row>
    <row r="368" spans="1:56" x14ac:dyDescent="0.25">
      <c r="A368" s="65" t="s">
        <v>24</v>
      </c>
      <c r="B368" s="57" t="s">
        <v>2172</v>
      </c>
      <c r="C368" s="57" t="s">
        <v>2173</v>
      </c>
      <c r="D368" s="57" t="s">
        <v>2174</v>
      </c>
      <c r="E368" s="57" t="s">
        <v>151</v>
      </c>
      <c r="F368" s="58">
        <v>9</v>
      </c>
      <c r="G368" s="58"/>
      <c r="H368" s="58"/>
      <c r="I36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2447573</v>
      </c>
      <c r="J36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1.0999999999999999E-2</v>
      </c>
      <c r="K36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6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(2447573)</v>
      </c>
      <c r="M368" s="57"/>
      <c r="N368" s="59"/>
      <c r="O368" s="61" t="str">
        <f>IF(Table1[[#This Row],[Digikey]]="","", HYPERLINK(Table1[[#This Row],[Destination - Digikey]],_xlfn.CONCAT("Link (",Table1[[#This Row],[Digikey]],")")))</f>
        <v/>
      </c>
      <c r="P368" s="62" t="str">
        <f>_xlfn.CONCAT("https://www.digikey.ch/products/en?keywords=",Table1[[#This Row],[Digikey]])</f>
        <v>https://www.digikey.ch/products/en?keywords=</v>
      </c>
      <c r="Q368" s="57" t="s">
        <v>2428</v>
      </c>
      <c r="R368" s="59">
        <v>1.0999999999999999E-2</v>
      </c>
      <c r="S368" s="61" t="str">
        <f>IF(Table1[[#This Row],[Farnell]]="","", HYPERLINK(Table1[[#This Row],[Destination - Farnell]],_xlfn.CONCAT("Link (",Table1[[#This Row],[Farnell]],")")))</f>
        <v>Link (2447573)</v>
      </c>
      <c r="T368" s="62" t="str">
        <f>_xlfn.CONCAT("https://ch.farnell.com/fr-CH/",Table1[[#This Row],[Farnell]])</f>
        <v>https://ch.farnell.com/fr-CH/2447573</v>
      </c>
      <c r="U368" s="57"/>
      <c r="V368" s="59"/>
      <c r="W368" s="61" t="str">
        <f>IF(Table1[[#This Row],[Distrelec]]="","", HYPERLINK(Table1[[#This Row],[Destination - Distrelec]],_xlfn.CONCAT("Link (",Table1[[#This Row],[Distrelec]],")")))</f>
        <v/>
      </c>
      <c r="X368" s="62" t="str">
        <f>_xlfn.CONCAT("https://www.distrelec.ch/search?q=",Table1[[#This Row],[Distrelec]])</f>
        <v>https://www.distrelec.ch/search?q=</v>
      </c>
      <c r="Y368" s="57"/>
      <c r="Z368" s="59"/>
      <c r="AA368" s="61" t="str">
        <f>IF(Table1[[#This Row],[Conrad]]="","", HYPERLINK(Table1[[#This Row],[Destination - Conrad]],_xlfn.CONCAT("Link (",Table1[[#This Row],[Conrad]],")")))</f>
        <v/>
      </c>
      <c r="AB368" s="62"/>
      <c r="AC368" s="57"/>
      <c r="AD368" s="59"/>
      <c r="AE368" s="61" t="str">
        <f>IF(Table1[[#This Row],[Mouser]]="","", HYPERLINK(Table1[[#This Row],[Destination - Mouser]],_xlfn.CONCAT("Link (",Table1[[#This Row],[Mouser]],")")))</f>
        <v/>
      </c>
      <c r="AF368" s="62" t="str">
        <f>_xlfn.CONCAT("https://www.mouser.ch/ProductDetail/",Table1[[#This Row],[Mouser]])</f>
        <v>https://www.mouser.ch/ProductDetail/</v>
      </c>
      <c r="AG368" s="57"/>
      <c r="AH368" s="59"/>
      <c r="AI368" s="61" t="str">
        <f>IF(Table1[[#This Row],[Bauhaus]]="","", HYPERLINK(Table1[[#This Row],[Destination - Bauhaus]],_xlfn.CONCAT("Link (",Table1[[#This Row],[Bauhaus]],")")))</f>
        <v/>
      </c>
      <c r="AJ368" s="62" t="str">
        <f>_xlfn.CONCAT("https://www.bauhaus.ch/fr/search?query=",Table1[[#This Row],[Bauhaus]])</f>
        <v>https://www.bauhaus.ch/fr/search?query=</v>
      </c>
      <c r="AK368" s="59"/>
      <c r="AL368" s="59"/>
      <c r="AM368" s="61" t="str">
        <f>IF(Table1[[#This Row],[BricoEtLoisirs]]="","", HYPERLINK(Table1[[#This Row],[Destination - BricoEtLoisirs]],_xlfn.CONCAT("Link (",Table1[[#This Row],[BricoEtLoisirs]],")")))</f>
        <v/>
      </c>
      <c r="AN368" s="62" t="str">
        <f>_xlfn.CONCAT("https://bricoetloisirs.ch/p/",Table1[[#This Row],[BricoEtLoisirs]])</f>
        <v>https://bricoetloisirs.ch/p/</v>
      </c>
      <c r="AO368" s="57"/>
      <c r="AP368" s="59"/>
      <c r="AQ368" s="61" t="str">
        <f>IF(Table1[[#This Row],[Aliexpress]]="","", HYPERLINK(Table1[[#This Row],[Destination - Aliexpress]],_xlfn.CONCAT("Link (",Table1[[#This Row],[Aliexpress]],")")))</f>
        <v/>
      </c>
      <c r="AR368" s="62" t="str">
        <f>_xlfn.CONCAT("https://www.aliexpress.com/item/",Table1[[#This Row],[Aliexpress]],".html")</f>
        <v>https://www.aliexpress.com/item/.html</v>
      </c>
      <c r="AS368" s="57"/>
      <c r="AT368" s="59"/>
      <c r="AU368" s="61" t="str">
        <f>IF(Table1[[#This Row],[Banggood]]="","", HYPERLINK(Table1[[#This Row],[Destination - Banggood]],_xlfn.CONCAT("Link (",Table1[[#This Row],[Banggood]],")")))</f>
        <v/>
      </c>
      <c r="AV368" s="62" t="str">
        <f>_xlfn.CONCAT("https://www.banggood.com/search/",Table1[[#This Row],[Banggood]],".html")</f>
        <v>https://www.banggood.com/search/.html</v>
      </c>
      <c r="AW368" s="59" t="str">
        <f>IF(Table1[[#This Row],[Other]]&lt;&gt;"","Other","")</f>
        <v/>
      </c>
      <c r="AX368" s="57"/>
      <c r="AY368" s="59"/>
      <c r="AZ368" s="61" t="str">
        <f>IF(Table1[[#This Row],[Other]]="","",IF(Table1[[#This Row],[Destination - Other]]="","",HYPERLINK(Table1[[#This Row],[Destination - Other]],_xlfn.CONCAT("Link ("&amp;Table1[[#This Row],[Other]]&amp;")"))))</f>
        <v/>
      </c>
      <c r="BA368" s="59"/>
      <c r="BB368" s="58" t="str">
        <f>IF(AND( Table1[[#This Row],[Auto Order]]=1,Table1[[#This Row],[Obsolete]]=""),IF(Table1[[#This Row],[In stock]]&lt;Table1[[#This Row],[Min in stock]],1,""),"")</f>
        <v/>
      </c>
      <c r="BC368" s="64"/>
      <c r="BD368" s="66" t="str">
        <f>IF(Table1[[#This Row],[Obsolete]],Table1[[#This Row],[Art. Number]],"")</f>
        <v/>
      </c>
    </row>
    <row r="369" spans="1:56" x14ac:dyDescent="0.25">
      <c r="A369" s="65" t="s">
        <v>2176</v>
      </c>
      <c r="B369" s="57" t="s">
        <v>168</v>
      </c>
      <c r="C369" s="57" t="s">
        <v>2177</v>
      </c>
      <c r="D369" s="57" t="s">
        <v>2178</v>
      </c>
      <c r="E369" s="57" t="s">
        <v>151</v>
      </c>
      <c r="F369" s="58">
        <v>10</v>
      </c>
      <c r="G369" s="58"/>
      <c r="H369" s="58"/>
      <c r="I36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RHM1.0KKCT-ND</v>
      </c>
      <c r="J36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</v>
      </c>
      <c r="K36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6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(RHM1.0KKCT-ND)</v>
      </c>
      <c r="M369" s="57" t="s">
        <v>2179</v>
      </c>
      <c r="N369" s="59">
        <v>0.1</v>
      </c>
      <c r="O369" s="61" t="str">
        <f>IF(Table1[[#This Row],[Digikey]]="","", HYPERLINK(Table1[[#This Row],[Destination - Digikey]],_xlfn.CONCAT("Link (",Table1[[#This Row],[Digikey]],")")))</f>
        <v>Link (RHM1.0KKCT-ND)</v>
      </c>
      <c r="P369" s="62" t="str">
        <f>_xlfn.CONCAT("https://www.digikey.ch/products/en?keywords=",Table1[[#This Row],[Digikey]])</f>
        <v>https://www.digikey.ch/products/en?keywords=RHM1.0KKCT-ND</v>
      </c>
      <c r="Q369" s="57"/>
      <c r="R369" s="59"/>
      <c r="S369" s="61" t="str">
        <f>IF(Table1[[#This Row],[Farnell]]="","", HYPERLINK(Table1[[#This Row],[Destination - Farnell]],_xlfn.CONCAT("Link (",Table1[[#This Row],[Farnell]],")")))</f>
        <v/>
      </c>
      <c r="T369" s="62" t="str">
        <f>_xlfn.CONCAT("https://ch.farnell.com/fr-CH/",Table1[[#This Row],[Farnell]])</f>
        <v>https://ch.farnell.com/fr-CH/</v>
      </c>
      <c r="U369" s="57"/>
      <c r="V369" s="59"/>
      <c r="W369" s="61" t="str">
        <f>IF(Table1[[#This Row],[Distrelec]]="","", HYPERLINK(Table1[[#This Row],[Destination - Distrelec]],_xlfn.CONCAT("Link (",Table1[[#This Row],[Distrelec]],")")))</f>
        <v/>
      </c>
      <c r="X369" s="62" t="str">
        <f>_xlfn.CONCAT("https://www.distrelec.ch/search?q=",Table1[[#This Row],[Distrelec]])</f>
        <v>https://www.distrelec.ch/search?q=</v>
      </c>
      <c r="Y369" s="57"/>
      <c r="Z369" s="59"/>
      <c r="AA369" s="61" t="str">
        <f>IF(Table1[[#This Row],[Conrad]]="","", HYPERLINK(Table1[[#This Row],[Destination - Conrad]],_xlfn.CONCAT("Link (",Table1[[#This Row],[Conrad]],")")))</f>
        <v/>
      </c>
      <c r="AB369" s="62"/>
      <c r="AC369" s="57"/>
      <c r="AD369" s="59"/>
      <c r="AE369" s="61" t="str">
        <f>IF(Table1[[#This Row],[Mouser]]="","", HYPERLINK(Table1[[#This Row],[Destination - Mouser]],_xlfn.CONCAT("Link (",Table1[[#This Row],[Mouser]],")")))</f>
        <v/>
      </c>
      <c r="AF369" s="62" t="str">
        <f>_xlfn.CONCAT("https://www.mouser.ch/ProductDetail/",Table1[[#This Row],[Mouser]])</f>
        <v>https://www.mouser.ch/ProductDetail/</v>
      </c>
      <c r="AG369" s="57"/>
      <c r="AH369" s="59"/>
      <c r="AI369" s="61" t="str">
        <f>IF(Table1[[#This Row],[Bauhaus]]="","", HYPERLINK(Table1[[#This Row],[Destination - Bauhaus]],_xlfn.CONCAT("Link (",Table1[[#This Row],[Bauhaus]],")")))</f>
        <v/>
      </c>
      <c r="AJ369" s="62" t="str">
        <f>_xlfn.CONCAT("https://www.bauhaus.ch/fr/search?query=",Table1[[#This Row],[Bauhaus]])</f>
        <v>https://www.bauhaus.ch/fr/search?query=</v>
      </c>
      <c r="AK369" s="59"/>
      <c r="AL369" s="59"/>
      <c r="AM369" s="61" t="str">
        <f>IF(Table1[[#This Row],[BricoEtLoisirs]]="","", HYPERLINK(Table1[[#This Row],[Destination - BricoEtLoisirs]],_xlfn.CONCAT("Link (",Table1[[#This Row],[BricoEtLoisirs]],")")))</f>
        <v/>
      </c>
      <c r="AN369" s="62" t="str">
        <f>_xlfn.CONCAT("https://bricoetloisirs.ch/p/",Table1[[#This Row],[BricoEtLoisirs]])</f>
        <v>https://bricoetloisirs.ch/p/</v>
      </c>
      <c r="AO369" s="57"/>
      <c r="AP369" s="59"/>
      <c r="AQ369" s="61" t="str">
        <f>IF(Table1[[#This Row],[Aliexpress]]="","", HYPERLINK(Table1[[#This Row],[Destination - Aliexpress]],_xlfn.CONCAT("Link (",Table1[[#This Row],[Aliexpress]],")")))</f>
        <v/>
      </c>
      <c r="AR369" s="62" t="str">
        <f>_xlfn.CONCAT("https://www.aliexpress.com/item/",Table1[[#This Row],[Aliexpress]],".html")</f>
        <v>https://www.aliexpress.com/item/.html</v>
      </c>
      <c r="AS369" s="57"/>
      <c r="AT369" s="59"/>
      <c r="AU369" s="61" t="str">
        <f>IF(Table1[[#This Row],[Banggood]]="","", HYPERLINK(Table1[[#This Row],[Destination - Banggood]],_xlfn.CONCAT("Link (",Table1[[#This Row],[Banggood]],")")))</f>
        <v/>
      </c>
      <c r="AV369" s="62" t="str">
        <f>_xlfn.CONCAT("https://www.banggood.com/search/",Table1[[#This Row],[Banggood]],".html")</f>
        <v>https://www.banggood.com/search/.html</v>
      </c>
      <c r="AW369" s="59" t="str">
        <f>IF(Table1[[#This Row],[Other]]&lt;&gt;"","Other","")</f>
        <v/>
      </c>
      <c r="AX369" s="57"/>
      <c r="AY369" s="59"/>
      <c r="AZ369" s="61" t="str">
        <f>IF(Table1[[#This Row],[Other]]="","",IF(Table1[[#This Row],[Destination - Other]]="","",HYPERLINK(Table1[[#This Row],[Destination - Other]],_xlfn.CONCAT("Link ("&amp;Table1[[#This Row],[Other]]&amp;")"))))</f>
        <v/>
      </c>
      <c r="BA369" s="59"/>
      <c r="BB369" s="58" t="str">
        <f>IF(AND( Table1[[#This Row],[Auto Order]]=1,Table1[[#This Row],[Obsolete]]=""),IF(Table1[[#This Row],[In stock]]&lt;Table1[[#This Row],[Min in stock]],1,""),"")</f>
        <v/>
      </c>
      <c r="BC369" s="64"/>
      <c r="BD369" s="66" t="str">
        <f>IF(Table1[[#This Row],[Obsolete]],Table1[[#This Row],[Art. Number]],"")</f>
        <v/>
      </c>
    </row>
    <row r="370" spans="1:56" x14ac:dyDescent="0.25">
      <c r="A370" s="65" t="s">
        <v>2183</v>
      </c>
      <c r="B370" s="57" t="s">
        <v>168</v>
      </c>
      <c r="C370" s="57" t="s">
        <v>2184</v>
      </c>
      <c r="D370" s="57" t="s">
        <v>2185</v>
      </c>
      <c r="E370" s="57" t="s">
        <v>151</v>
      </c>
      <c r="F370" s="58">
        <v>10</v>
      </c>
      <c r="G370" s="58"/>
      <c r="H370" s="58"/>
      <c r="I37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RHM2.7KKCT-ND</v>
      </c>
      <c r="J37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6.6000000000000003E-2</v>
      </c>
      <c r="K37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(RHM2.7KKCT-ND)</v>
      </c>
      <c r="M370" s="57" t="s">
        <v>2186</v>
      </c>
      <c r="N370" s="59">
        <v>6.6000000000000003E-2</v>
      </c>
      <c r="O370" s="61" t="str">
        <f>IF(Table1[[#This Row],[Digikey]]="","", HYPERLINK(Table1[[#This Row],[Destination - Digikey]],_xlfn.CONCAT("Link (",Table1[[#This Row],[Digikey]],")")))</f>
        <v>Link (RHM2.7KKCT-ND)</v>
      </c>
      <c r="P370" s="62" t="str">
        <f>_xlfn.CONCAT("https://www.digikey.ch/products/en?keywords=",Table1[[#This Row],[Digikey]])</f>
        <v>https://www.digikey.ch/products/en?keywords=RHM2.7KKCT-ND</v>
      </c>
      <c r="Q370" s="57"/>
      <c r="R370" s="59"/>
      <c r="S370" s="61" t="str">
        <f>IF(Table1[[#This Row],[Farnell]]="","", HYPERLINK(Table1[[#This Row],[Destination - Farnell]],_xlfn.CONCAT("Link (",Table1[[#This Row],[Farnell]],")")))</f>
        <v/>
      </c>
      <c r="T370" s="62" t="str">
        <f>_xlfn.CONCAT("https://ch.farnell.com/fr-CH/",Table1[[#This Row],[Farnell]])</f>
        <v>https://ch.farnell.com/fr-CH/</v>
      </c>
      <c r="U370" s="57"/>
      <c r="V370" s="59"/>
      <c r="W370" s="61" t="str">
        <f>IF(Table1[[#This Row],[Distrelec]]="","", HYPERLINK(Table1[[#This Row],[Destination - Distrelec]],_xlfn.CONCAT("Link (",Table1[[#This Row],[Distrelec]],")")))</f>
        <v/>
      </c>
      <c r="X370" s="62" t="str">
        <f>_xlfn.CONCAT("https://www.distrelec.ch/search?q=",Table1[[#This Row],[Distrelec]])</f>
        <v>https://www.distrelec.ch/search?q=</v>
      </c>
      <c r="Y370" s="57"/>
      <c r="Z370" s="59"/>
      <c r="AA370" s="61" t="str">
        <f>IF(Table1[[#This Row],[Conrad]]="","", HYPERLINK(Table1[[#This Row],[Destination - Conrad]],_xlfn.CONCAT("Link (",Table1[[#This Row],[Conrad]],")")))</f>
        <v/>
      </c>
      <c r="AB370" s="62"/>
      <c r="AC370" s="57"/>
      <c r="AD370" s="59"/>
      <c r="AE370" s="61" t="str">
        <f>IF(Table1[[#This Row],[Mouser]]="","", HYPERLINK(Table1[[#This Row],[Destination - Mouser]],_xlfn.CONCAT("Link (",Table1[[#This Row],[Mouser]],")")))</f>
        <v/>
      </c>
      <c r="AF370" s="62" t="str">
        <f>_xlfn.CONCAT("https://www.mouser.ch/ProductDetail/",Table1[[#This Row],[Mouser]])</f>
        <v>https://www.mouser.ch/ProductDetail/</v>
      </c>
      <c r="AG370" s="57"/>
      <c r="AH370" s="59"/>
      <c r="AI370" s="61" t="str">
        <f>IF(Table1[[#This Row],[Bauhaus]]="","", HYPERLINK(Table1[[#This Row],[Destination - Bauhaus]],_xlfn.CONCAT("Link (",Table1[[#This Row],[Bauhaus]],")")))</f>
        <v/>
      </c>
      <c r="AJ370" s="62" t="str">
        <f>_xlfn.CONCAT("https://www.bauhaus.ch/fr/search?query=",Table1[[#This Row],[Bauhaus]])</f>
        <v>https://www.bauhaus.ch/fr/search?query=</v>
      </c>
      <c r="AK370" s="59"/>
      <c r="AL370" s="59"/>
      <c r="AM370" s="61" t="str">
        <f>IF(Table1[[#This Row],[BricoEtLoisirs]]="","", HYPERLINK(Table1[[#This Row],[Destination - BricoEtLoisirs]],_xlfn.CONCAT("Link (",Table1[[#This Row],[BricoEtLoisirs]],")")))</f>
        <v/>
      </c>
      <c r="AN370" s="62" t="str">
        <f>_xlfn.CONCAT("https://bricoetloisirs.ch/p/",Table1[[#This Row],[BricoEtLoisirs]])</f>
        <v>https://bricoetloisirs.ch/p/</v>
      </c>
      <c r="AO370" s="57"/>
      <c r="AP370" s="59"/>
      <c r="AQ370" s="61" t="str">
        <f>IF(Table1[[#This Row],[Aliexpress]]="","", HYPERLINK(Table1[[#This Row],[Destination - Aliexpress]],_xlfn.CONCAT("Link (",Table1[[#This Row],[Aliexpress]],")")))</f>
        <v/>
      </c>
      <c r="AR370" s="62" t="str">
        <f>_xlfn.CONCAT("https://www.aliexpress.com/item/",Table1[[#This Row],[Aliexpress]],".html")</f>
        <v>https://www.aliexpress.com/item/.html</v>
      </c>
      <c r="AS370" s="57"/>
      <c r="AT370" s="59"/>
      <c r="AU370" s="61" t="str">
        <f>IF(Table1[[#This Row],[Banggood]]="","", HYPERLINK(Table1[[#This Row],[Destination - Banggood]],_xlfn.CONCAT("Link (",Table1[[#This Row],[Banggood]],")")))</f>
        <v/>
      </c>
      <c r="AV370" s="62" t="str">
        <f>_xlfn.CONCAT("https://www.banggood.com/search/",Table1[[#This Row],[Banggood]],".html")</f>
        <v>https://www.banggood.com/search/.html</v>
      </c>
      <c r="AW370" s="59" t="str">
        <f>IF(Table1[[#This Row],[Other]]&lt;&gt;"","Other","")</f>
        <v/>
      </c>
      <c r="AX370" s="57"/>
      <c r="AY370" s="59"/>
      <c r="AZ370" s="61" t="str">
        <f>IF(Table1[[#This Row],[Other]]="","",IF(Table1[[#This Row],[Destination - Other]]="","",HYPERLINK(Table1[[#This Row],[Destination - Other]],_xlfn.CONCAT("Link ("&amp;Table1[[#This Row],[Other]]&amp;")"))))</f>
        <v/>
      </c>
      <c r="BA370" s="59"/>
      <c r="BB370" s="58" t="str">
        <f>IF(AND( Table1[[#This Row],[Auto Order]]=1,Table1[[#This Row],[Obsolete]]=""),IF(Table1[[#This Row],[In stock]]&lt;Table1[[#This Row],[Min in stock]],1,""),"")</f>
        <v/>
      </c>
      <c r="BC370" s="64"/>
      <c r="BD370" s="66" t="str">
        <f>IF(Table1[[#This Row],[Obsolete]],Table1[[#This Row],[Art. Number]],"")</f>
        <v/>
      </c>
    </row>
    <row r="371" spans="1:56" x14ac:dyDescent="0.25">
      <c r="A371" s="65" t="s">
        <v>2188</v>
      </c>
      <c r="B371" s="57" t="s">
        <v>168</v>
      </c>
      <c r="C371" s="57" t="s">
        <v>2189</v>
      </c>
      <c r="D371" s="57" t="s">
        <v>2190</v>
      </c>
      <c r="E371" s="57" t="s">
        <v>151</v>
      </c>
      <c r="F371" s="58">
        <v>10</v>
      </c>
      <c r="G371" s="58"/>
      <c r="H371" s="58"/>
      <c r="I37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RHM30KKCT-ND</v>
      </c>
      <c r="J37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6.6000000000000003E-2</v>
      </c>
      <c r="K37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(RHM30KKCT-ND)</v>
      </c>
      <c r="M371" s="57" t="s">
        <v>2191</v>
      </c>
      <c r="N371" s="59">
        <v>6.6000000000000003E-2</v>
      </c>
      <c r="O371" s="61" t="str">
        <f>IF(Table1[[#This Row],[Digikey]]="","", HYPERLINK(Table1[[#This Row],[Destination - Digikey]],_xlfn.CONCAT("Link (",Table1[[#This Row],[Digikey]],")")))</f>
        <v>Link (RHM30KKCT-ND)</v>
      </c>
      <c r="P371" s="62" t="str">
        <f>_xlfn.CONCAT("https://www.digikey.ch/products/en?keywords=",Table1[[#This Row],[Digikey]])</f>
        <v>https://www.digikey.ch/products/en?keywords=RHM30KKCT-ND</v>
      </c>
      <c r="Q371" s="57"/>
      <c r="R371" s="59"/>
      <c r="S371" s="61" t="str">
        <f>IF(Table1[[#This Row],[Farnell]]="","", HYPERLINK(Table1[[#This Row],[Destination - Farnell]],_xlfn.CONCAT("Link (",Table1[[#This Row],[Farnell]],")")))</f>
        <v/>
      </c>
      <c r="T371" s="62" t="str">
        <f>_xlfn.CONCAT("https://ch.farnell.com/fr-CH/",Table1[[#This Row],[Farnell]])</f>
        <v>https://ch.farnell.com/fr-CH/</v>
      </c>
      <c r="U371" s="57"/>
      <c r="V371" s="59"/>
      <c r="W371" s="61" t="str">
        <f>IF(Table1[[#This Row],[Distrelec]]="","", HYPERLINK(Table1[[#This Row],[Destination - Distrelec]],_xlfn.CONCAT("Link (",Table1[[#This Row],[Distrelec]],")")))</f>
        <v/>
      </c>
      <c r="X371" s="62" t="str">
        <f>_xlfn.CONCAT("https://www.distrelec.ch/search?q=",Table1[[#This Row],[Distrelec]])</f>
        <v>https://www.distrelec.ch/search?q=</v>
      </c>
      <c r="Y371" s="57"/>
      <c r="Z371" s="59"/>
      <c r="AA371" s="61" t="str">
        <f>IF(Table1[[#This Row],[Conrad]]="","", HYPERLINK(Table1[[#This Row],[Destination - Conrad]],_xlfn.CONCAT("Link (",Table1[[#This Row],[Conrad]],")")))</f>
        <v/>
      </c>
      <c r="AB371" s="62"/>
      <c r="AC371" s="57"/>
      <c r="AD371" s="59"/>
      <c r="AE371" s="61" t="str">
        <f>IF(Table1[[#This Row],[Mouser]]="","", HYPERLINK(Table1[[#This Row],[Destination - Mouser]],_xlfn.CONCAT("Link (",Table1[[#This Row],[Mouser]],")")))</f>
        <v/>
      </c>
      <c r="AF371" s="62" t="str">
        <f>_xlfn.CONCAT("https://www.mouser.ch/ProductDetail/",Table1[[#This Row],[Mouser]])</f>
        <v>https://www.mouser.ch/ProductDetail/</v>
      </c>
      <c r="AG371" s="57"/>
      <c r="AH371" s="59"/>
      <c r="AI371" s="61" t="str">
        <f>IF(Table1[[#This Row],[Bauhaus]]="","", HYPERLINK(Table1[[#This Row],[Destination - Bauhaus]],_xlfn.CONCAT("Link (",Table1[[#This Row],[Bauhaus]],")")))</f>
        <v/>
      </c>
      <c r="AJ371" s="62" t="str">
        <f>_xlfn.CONCAT("https://www.bauhaus.ch/fr/search?query=",Table1[[#This Row],[Bauhaus]])</f>
        <v>https://www.bauhaus.ch/fr/search?query=</v>
      </c>
      <c r="AK371" s="59"/>
      <c r="AL371" s="59"/>
      <c r="AM371" s="61" t="str">
        <f>IF(Table1[[#This Row],[BricoEtLoisirs]]="","", HYPERLINK(Table1[[#This Row],[Destination - BricoEtLoisirs]],_xlfn.CONCAT("Link (",Table1[[#This Row],[BricoEtLoisirs]],")")))</f>
        <v/>
      </c>
      <c r="AN371" s="62" t="str">
        <f>_xlfn.CONCAT("https://bricoetloisirs.ch/p/",Table1[[#This Row],[BricoEtLoisirs]])</f>
        <v>https://bricoetloisirs.ch/p/</v>
      </c>
      <c r="AO371" s="57"/>
      <c r="AP371" s="59"/>
      <c r="AQ371" s="61" t="str">
        <f>IF(Table1[[#This Row],[Aliexpress]]="","", HYPERLINK(Table1[[#This Row],[Destination - Aliexpress]],_xlfn.CONCAT("Link (",Table1[[#This Row],[Aliexpress]],")")))</f>
        <v/>
      </c>
      <c r="AR371" s="62" t="str">
        <f>_xlfn.CONCAT("https://www.aliexpress.com/item/",Table1[[#This Row],[Aliexpress]],".html")</f>
        <v>https://www.aliexpress.com/item/.html</v>
      </c>
      <c r="AS371" s="57"/>
      <c r="AT371" s="59"/>
      <c r="AU371" s="61" t="str">
        <f>IF(Table1[[#This Row],[Banggood]]="","", HYPERLINK(Table1[[#This Row],[Destination - Banggood]],_xlfn.CONCAT("Link (",Table1[[#This Row],[Banggood]],")")))</f>
        <v/>
      </c>
      <c r="AV371" s="62" t="str">
        <f>_xlfn.CONCAT("https://www.banggood.com/search/",Table1[[#This Row],[Banggood]],".html")</f>
        <v>https://www.banggood.com/search/.html</v>
      </c>
      <c r="AW371" s="59" t="str">
        <f>IF(Table1[[#This Row],[Other]]&lt;&gt;"","Other","")</f>
        <v/>
      </c>
      <c r="AX371" s="57"/>
      <c r="AY371" s="59"/>
      <c r="AZ371" s="61" t="str">
        <f>IF(Table1[[#This Row],[Other]]="","",IF(Table1[[#This Row],[Destination - Other]]="","",HYPERLINK(Table1[[#This Row],[Destination - Other]],_xlfn.CONCAT("Link ("&amp;Table1[[#This Row],[Other]]&amp;")"))))</f>
        <v/>
      </c>
      <c r="BA371" s="59"/>
      <c r="BB371" s="58" t="str">
        <f>IF(AND( Table1[[#This Row],[Auto Order]]=1,Table1[[#This Row],[Obsolete]]=""),IF(Table1[[#This Row],[In stock]]&lt;Table1[[#This Row],[Min in stock]],1,""),"")</f>
        <v/>
      </c>
      <c r="BC371" s="64"/>
      <c r="BD371" s="66" t="str">
        <f>IF(Table1[[#This Row],[Obsolete]],Table1[[#This Row],[Art. Number]],"")</f>
        <v/>
      </c>
    </row>
    <row r="372" spans="1:56" x14ac:dyDescent="0.25">
      <c r="A372" s="65" t="s">
        <v>2330</v>
      </c>
      <c r="B372" s="57" t="s">
        <v>2331</v>
      </c>
      <c r="C372" s="57" t="s">
        <v>2332</v>
      </c>
      <c r="D372" s="57" t="s">
        <v>2452</v>
      </c>
      <c r="E372" s="57" t="s">
        <v>2333</v>
      </c>
      <c r="F372" s="58">
        <v>2</v>
      </c>
      <c r="G372" s="58"/>
      <c r="H372" s="58"/>
      <c r="I37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732-11801-ND</v>
      </c>
      <c r="J37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2.0699999999999998</v>
      </c>
      <c r="K37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(732-11801-ND)</v>
      </c>
      <c r="M372" s="57" t="s">
        <v>2334</v>
      </c>
      <c r="N372" s="59">
        <v>2.0699999999999998</v>
      </c>
      <c r="O372" s="61" t="str">
        <f>IF(Table1[[#This Row],[Digikey]]="","", HYPERLINK(Table1[[#This Row],[Destination - Digikey]],_xlfn.CONCAT("Link (",Table1[[#This Row],[Digikey]],")")))</f>
        <v>Link (732-11801-ND)</v>
      </c>
      <c r="P372" s="62" t="str">
        <f>_xlfn.CONCAT("https://www.digikey.ch/products/en?keywords=",Table1[[#This Row],[Digikey]])</f>
        <v>https://www.digikey.ch/products/en?keywords=732-11801-ND</v>
      </c>
      <c r="Q372" s="57"/>
      <c r="R372" s="59"/>
      <c r="S372" s="61" t="str">
        <f>IF(Table1[[#This Row],[Farnell]]="","", HYPERLINK(Table1[[#This Row],[Destination - Farnell]],_xlfn.CONCAT("Link (",Table1[[#This Row],[Farnell]],")")))</f>
        <v/>
      </c>
      <c r="T372" s="62" t="str">
        <f>_xlfn.CONCAT("https://ch.farnell.com/fr-CH/",Table1[[#This Row],[Farnell]])</f>
        <v>https://ch.farnell.com/fr-CH/</v>
      </c>
      <c r="U372" s="57"/>
      <c r="V372" s="59"/>
      <c r="W372" s="61" t="str">
        <f>IF(Table1[[#This Row],[Distrelec]]="","", HYPERLINK(Table1[[#This Row],[Destination - Distrelec]],_xlfn.CONCAT("Link (",Table1[[#This Row],[Distrelec]],")")))</f>
        <v/>
      </c>
      <c r="X372" s="62" t="str">
        <f>_xlfn.CONCAT("https://www.distrelec.ch/search?q=",Table1[[#This Row],[Distrelec]])</f>
        <v>https://www.distrelec.ch/search?q=</v>
      </c>
      <c r="Y372" s="57"/>
      <c r="Z372" s="59"/>
      <c r="AA372" s="61" t="str">
        <f>IF(Table1[[#This Row],[Conrad]]="","", HYPERLINK(Table1[[#This Row],[Destination - Conrad]],_xlfn.CONCAT("Link (",Table1[[#This Row],[Conrad]],")")))</f>
        <v/>
      </c>
      <c r="AB372" s="62"/>
      <c r="AC372" s="57"/>
      <c r="AD372" s="59"/>
      <c r="AE372" s="61" t="str">
        <f>IF(Table1[[#This Row],[Mouser]]="","", HYPERLINK(Table1[[#This Row],[Destination - Mouser]],_xlfn.CONCAT("Link (",Table1[[#This Row],[Mouser]],")")))</f>
        <v/>
      </c>
      <c r="AF372" s="62" t="str">
        <f>_xlfn.CONCAT("https://www.mouser.ch/ProductDetail/",Table1[[#This Row],[Mouser]])</f>
        <v>https://www.mouser.ch/ProductDetail/</v>
      </c>
      <c r="AG372" s="57"/>
      <c r="AH372" s="59"/>
      <c r="AI372" s="61" t="str">
        <f>IF(Table1[[#This Row],[Bauhaus]]="","", HYPERLINK(Table1[[#This Row],[Destination - Bauhaus]],_xlfn.CONCAT("Link (",Table1[[#This Row],[Bauhaus]],")")))</f>
        <v/>
      </c>
      <c r="AJ372" s="62" t="str">
        <f>_xlfn.CONCAT("https://www.bauhaus.ch/fr/search?query=",Table1[[#This Row],[Bauhaus]])</f>
        <v>https://www.bauhaus.ch/fr/search?query=</v>
      </c>
      <c r="AK372" s="59"/>
      <c r="AL372" s="59"/>
      <c r="AM372" s="61" t="str">
        <f>IF(Table1[[#This Row],[BricoEtLoisirs]]="","", HYPERLINK(Table1[[#This Row],[Destination - BricoEtLoisirs]],_xlfn.CONCAT("Link (",Table1[[#This Row],[BricoEtLoisirs]],")")))</f>
        <v/>
      </c>
      <c r="AN372" s="62" t="str">
        <f>_xlfn.CONCAT("https://bricoetloisirs.ch/p/",Table1[[#This Row],[BricoEtLoisirs]])</f>
        <v>https://bricoetloisirs.ch/p/</v>
      </c>
      <c r="AO372" s="57"/>
      <c r="AP372" s="59"/>
      <c r="AQ372" s="61" t="str">
        <f>IF(Table1[[#This Row],[Aliexpress]]="","", HYPERLINK(Table1[[#This Row],[Destination - Aliexpress]],_xlfn.CONCAT("Link (",Table1[[#This Row],[Aliexpress]],")")))</f>
        <v/>
      </c>
      <c r="AR372" s="62" t="str">
        <f>_xlfn.CONCAT("https://www.aliexpress.com/item/",Table1[[#This Row],[Aliexpress]],".html")</f>
        <v>https://www.aliexpress.com/item/.html</v>
      </c>
      <c r="AS372" s="57"/>
      <c r="AT372" s="59"/>
      <c r="AU372" s="61" t="str">
        <f>IF(Table1[[#This Row],[Banggood]]="","", HYPERLINK(Table1[[#This Row],[Destination - Banggood]],_xlfn.CONCAT("Link (",Table1[[#This Row],[Banggood]],")")))</f>
        <v/>
      </c>
      <c r="AV372" s="62" t="str">
        <f>_xlfn.CONCAT("https://www.banggood.com/search/",Table1[[#This Row],[Banggood]],".html")</f>
        <v>https://www.banggood.com/search/.html</v>
      </c>
      <c r="AW372" s="59" t="str">
        <f>IF(Table1[[#This Row],[Other]]&lt;&gt;"","Other","")</f>
        <v/>
      </c>
      <c r="AX372" s="57"/>
      <c r="AY372" s="59"/>
      <c r="AZ372" s="61" t="str">
        <f>IF(Table1[[#This Row],[Other]]="","",IF(Table1[[#This Row],[Destination - Other]]="","",HYPERLINK(Table1[[#This Row],[Destination - Other]],_xlfn.CONCAT("Link ("&amp;Table1[[#This Row],[Other]]&amp;")"))))</f>
        <v/>
      </c>
      <c r="BA372" s="59"/>
      <c r="BB372" s="58" t="str">
        <f>IF(AND( Table1[[#This Row],[Auto Order]]=1,Table1[[#This Row],[Obsolete]]=""),IF(Table1[[#This Row],[In stock]]&lt;Table1[[#This Row],[Min in stock]],1,""),"")</f>
        <v/>
      </c>
      <c r="BC372" s="64"/>
      <c r="BD372" s="66" t="str">
        <f>IF(Table1[[#This Row],[Obsolete]],Table1[[#This Row],[Art. Number]],"")</f>
        <v/>
      </c>
    </row>
    <row r="373" spans="1:56" x14ac:dyDescent="0.25">
      <c r="A373" s="65" t="s">
        <v>234</v>
      </c>
      <c r="B373" s="57" t="s">
        <v>454</v>
      </c>
      <c r="C373" s="57" t="s">
        <v>450</v>
      </c>
      <c r="D373" s="57" t="s">
        <v>455</v>
      </c>
      <c r="E373" s="57" t="s">
        <v>456</v>
      </c>
      <c r="F373" s="58">
        <v>2</v>
      </c>
      <c r="G373" s="58"/>
      <c r="H373" s="58"/>
      <c r="I37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RPC7016-ND</v>
      </c>
      <c r="J37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0.16</v>
      </c>
      <c r="K37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(RPC7016-ND)</v>
      </c>
      <c r="M373" s="57" t="s">
        <v>457</v>
      </c>
      <c r="N373" s="59">
        <v>0.16</v>
      </c>
      <c r="O373" s="61" t="str">
        <f>IF(Table1[[#This Row],[Digikey]]="","", HYPERLINK(Table1[[#This Row],[Destination - Digikey]],_xlfn.CONCAT("Link (",Table1[[#This Row],[Digikey]],")")))</f>
        <v>Link (RPC7016-ND)</v>
      </c>
      <c r="P373" s="62" t="str">
        <f>_xlfn.CONCAT("https://www.digikey.ch/products/en?keywords=",Table1[[#This Row],[Digikey]])</f>
        <v>https://www.digikey.ch/products/en?keywords=RPC7016-ND</v>
      </c>
      <c r="Q373" s="57"/>
      <c r="R373" s="59"/>
      <c r="S373" s="61" t="str">
        <f>IF(Table1[[#This Row],[Farnell]]="","", HYPERLINK(Table1[[#This Row],[Destination - Farnell]],_xlfn.CONCAT("Link (",Table1[[#This Row],[Farnell]],")")))</f>
        <v/>
      </c>
      <c r="T373" s="62" t="str">
        <f>_xlfn.CONCAT("https://ch.farnell.com/fr-CH/",Table1[[#This Row],[Farnell]])</f>
        <v>https://ch.farnell.com/fr-CH/</v>
      </c>
      <c r="U373" s="57"/>
      <c r="V373" s="59"/>
      <c r="W373" s="61" t="str">
        <f>IF(Table1[[#This Row],[Distrelec]]="","", HYPERLINK(Table1[[#This Row],[Destination - Distrelec]],_xlfn.CONCAT("Link (",Table1[[#This Row],[Distrelec]],")")))</f>
        <v/>
      </c>
      <c r="X373" s="62" t="str">
        <f>_xlfn.CONCAT("https://www.distrelec.ch/search?q=",Table1[[#This Row],[Distrelec]])</f>
        <v>https://www.distrelec.ch/search?q=</v>
      </c>
      <c r="Y373" s="57"/>
      <c r="Z373" s="59"/>
      <c r="AA373" s="61" t="str">
        <f>IF(Table1[[#This Row],[Conrad]]="","", HYPERLINK(Table1[[#This Row],[Destination - Conrad]],_xlfn.CONCAT("Link (",Table1[[#This Row],[Conrad]],")")))</f>
        <v/>
      </c>
      <c r="AB373" s="62"/>
      <c r="AC373" s="57"/>
      <c r="AD373" s="59"/>
      <c r="AE373" s="61" t="str">
        <f>IF(Table1[[#This Row],[Mouser]]="","", HYPERLINK(Table1[[#This Row],[Destination - Mouser]],_xlfn.CONCAT("Link (",Table1[[#This Row],[Mouser]],")")))</f>
        <v/>
      </c>
      <c r="AF373" s="62" t="str">
        <f>_xlfn.CONCAT("https://www.mouser.ch/ProductDetail/",Table1[[#This Row],[Mouser]])</f>
        <v>https://www.mouser.ch/ProductDetail/</v>
      </c>
      <c r="AG373" s="57"/>
      <c r="AH373" s="59"/>
      <c r="AI373" s="61" t="str">
        <f>IF(Table1[[#This Row],[Bauhaus]]="","", HYPERLINK(Table1[[#This Row],[Destination - Bauhaus]],_xlfn.CONCAT("Link (",Table1[[#This Row],[Bauhaus]],")")))</f>
        <v/>
      </c>
      <c r="AJ373" s="62" t="str">
        <f>_xlfn.CONCAT("https://www.bauhaus.ch/fr/search?query=",Table1[[#This Row],[Bauhaus]])</f>
        <v>https://www.bauhaus.ch/fr/search?query=</v>
      </c>
      <c r="AK373" s="59"/>
      <c r="AL373" s="59"/>
      <c r="AM373" s="61" t="str">
        <f>IF(Table1[[#This Row],[BricoEtLoisirs]]="","", HYPERLINK(Table1[[#This Row],[Destination - BricoEtLoisirs]],_xlfn.CONCAT("Link (",Table1[[#This Row],[BricoEtLoisirs]],")")))</f>
        <v/>
      </c>
      <c r="AN373" s="62" t="str">
        <f>_xlfn.CONCAT("https://bricoetloisirs.ch/p/",Table1[[#This Row],[BricoEtLoisirs]])</f>
        <v>https://bricoetloisirs.ch/p/</v>
      </c>
      <c r="AO373" s="57"/>
      <c r="AP373" s="59"/>
      <c r="AQ373" s="61" t="str">
        <f>IF(Table1[[#This Row],[Aliexpress]]="","", HYPERLINK(Table1[[#This Row],[Destination - Aliexpress]],_xlfn.CONCAT("Link (",Table1[[#This Row],[Aliexpress]],")")))</f>
        <v/>
      </c>
      <c r="AR373" s="62" t="str">
        <f>_xlfn.CONCAT("https://www.aliexpress.com/item/",Table1[[#This Row],[Aliexpress]],".html")</f>
        <v>https://www.aliexpress.com/item/.html</v>
      </c>
      <c r="AS373" s="57"/>
      <c r="AT373" s="59"/>
      <c r="AU373" s="61" t="str">
        <f>IF(Table1[[#This Row],[Banggood]]="","", HYPERLINK(Table1[[#This Row],[Destination - Banggood]],_xlfn.CONCAT("Link (",Table1[[#This Row],[Banggood]],")")))</f>
        <v/>
      </c>
      <c r="AV373" s="62" t="str">
        <f>_xlfn.CONCAT("https://www.banggood.com/search/",Table1[[#This Row],[Banggood]],".html")</f>
        <v>https://www.banggood.com/search/.html</v>
      </c>
      <c r="AW373" s="59" t="str">
        <f>IF(Table1[[#This Row],[Other]]&lt;&gt;"","Other","")</f>
        <v/>
      </c>
      <c r="AX373" s="57"/>
      <c r="AY373" s="59"/>
      <c r="AZ373" s="61" t="str">
        <f>IF(Table1[[#This Row],[Other]]="","",IF(Table1[[#This Row],[Destination - Other]]="","",HYPERLINK(Table1[[#This Row],[Destination - Other]],_xlfn.CONCAT("Link ("&amp;Table1[[#This Row],[Other]]&amp;")"))))</f>
        <v/>
      </c>
      <c r="BA373" s="59"/>
      <c r="BB373" s="58" t="str">
        <f>IF(AND( Table1[[#This Row],[Auto Order]]=1,Table1[[#This Row],[Obsolete]]=""),IF(Table1[[#This Row],[In stock]]&lt;Table1[[#This Row],[Min in stock]],1,""),"")</f>
        <v/>
      </c>
      <c r="BC373" s="64"/>
      <c r="BD373" s="66" t="str">
        <f>IF(Table1[[#This Row],[Obsolete]],Table1[[#This Row],[Art. Number]],"")</f>
        <v/>
      </c>
    </row>
    <row r="374" spans="1:56" x14ac:dyDescent="0.25">
      <c r="A374" s="65" t="s">
        <v>2429</v>
      </c>
      <c r="B374" s="57" t="s">
        <v>449</v>
      </c>
      <c r="C374" s="57" t="s">
        <v>97</v>
      </c>
      <c r="D374" s="57" t="s">
        <v>2193</v>
      </c>
      <c r="E374" s="57" t="s">
        <v>456</v>
      </c>
      <c r="F374" s="58">
        <v>0</v>
      </c>
      <c r="G374" s="58"/>
      <c r="H374" s="58"/>
      <c r="I37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36-29351-ND</v>
      </c>
      <c r="J37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0.23</v>
      </c>
      <c r="K37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(36-29351-ND)</v>
      </c>
      <c r="M374" s="57" t="s">
        <v>2194</v>
      </c>
      <c r="N374" s="59">
        <v>0.23</v>
      </c>
      <c r="O374" s="61" t="str">
        <f>IF(Table1[[#This Row],[Digikey]]="","", HYPERLINK(Table1[[#This Row],[Destination - Digikey]],_xlfn.CONCAT("Link (",Table1[[#This Row],[Digikey]],")")))</f>
        <v>Link (36-29351-ND)</v>
      </c>
      <c r="P374" s="62" t="str">
        <f>_xlfn.CONCAT("https://www.digikey.ch/products/en?keywords=",Table1[[#This Row],[Digikey]])</f>
        <v>https://www.digikey.ch/products/en?keywords=36-29351-ND</v>
      </c>
      <c r="Q374" s="57"/>
      <c r="R374" s="59"/>
      <c r="S374" s="61" t="str">
        <f>IF(Table1[[#This Row],[Farnell]]="","", HYPERLINK(Table1[[#This Row],[Destination - Farnell]],_xlfn.CONCAT("Link (",Table1[[#This Row],[Farnell]],")")))</f>
        <v/>
      </c>
      <c r="T374" s="62" t="str">
        <f>_xlfn.CONCAT("https://ch.farnell.com/fr-CH/",Table1[[#This Row],[Farnell]])</f>
        <v>https://ch.farnell.com/fr-CH/</v>
      </c>
      <c r="U374" s="57"/>
      <c r="V374" s="59"/>
      <c r="W374" s="61" t="str">
        <f>IF(Table1[[#This Row],[Distrelec]]="","", HYPERLINK(Table1[[#This Row],[Destination - Distrelec]],_xlfn.CONCAT("Link (",Table1[[#This Row],[Distrelec]],")")))</f>
        <v/>
      </c>
      <c r="X374" s="62" t="str">
        <f>_xlfn.CONCAT("https://www.distrelec.ch/search?q=",Table1[[#This Row],[Distrelec]])</f>
        <v>https://www.distrelec.ch/search?q=</v>
      </c>
      <c r="Y374" s="57"/>
      <c r="Z374" s="59"/>
      <c r="AA374" s="61" t="str">
        <f>IF(Table1[[#This Row],[Conrad]]="","", HYPERLINK(Table1[[#This Row],[Destination - Conrad]],_xlfn.CONCAT("Link (",Table1[[#This Row],[Conrad]],")")))</f>
        <v/>
      </c>
      <c r="AB374" s="62"/>
      <c r="AC374" s="57"/>
      <c r="AD374" s="59"/>
      <c r="AE374" s="61" t="str">
        <f>IF(Table1[[#This Row],[Mouser]]="","", HYPERLINK(Table1[[#This Row],[Destination - Mouser]],_xlfn.CONCAT("Link (",Table1[[#This Row],[Mouser]],")")))</f>
        <v/>
      </c>
      <c r="AF374" s="62" t="str">
        <f>_xlfn.CONCAT("https://www.mouser.ch/ProductDetail/",Table1[[#This Row],[Mouser]])</f>
        <v>https://www.mouser.ch/ProductDetail/</v>
      </c>
      <c r="AG374" s="57"/>
      <c r="AH374" s="59"/>
      <c r="AI374" s="61" t="str">
        <f>IF(Table1[[#This Row],[Bauhaus]]="","", HYPERLINK(Table1[[#This Row],[Destination - Bauhaus]],_xlfn.CONCAT("Link (",Table1[[#This Row],[Bauhaus]],")")))</f>
        <v/>
      </c>
      <c r="AJ374" s="62" t="str">
        <f>_xlfn.CONCAT("https://www.bauhaus.ch/fr/search?query=",Table1[[#This Row],[Bauhaus]])</f>
        <v>https://www.bauhaus.ch/fr/search?query=</v>
      </c>
      <c r="AK374" s="59"/>
      <c r="AL374" s="59"/>
      <c r="AM374" s="61" t="str">
        <f>IF(Table1[[#This Row],[BricoEtLoisirs]]="","", HYPERLINK(Table1[[#This Row],[Destination - BricoEtLoisirs]],_xlfn.CONCAT("Link (",Table1[[#This Row],[BricoEtLoisirs]],")")))</f>
        <v/>
      </c>
      <c r="AN374" s="62" t="str">
        <f>_xlfn.CONCAT("https://bricoetloisirs.ch/p/",Table1[[#This Row],[BricoEtLoisirs]])</f>
        <v>https://bricoetloisirs.ch/p/</v>
      </c>
      <c r="AO374" s="57"/>
      <c r="AP374" s="59"/>
      <c r="AQ374" s="61" t="str">
        <f>IF(Table1[[#This Row],[Aliexpress]]="","", HYPERLINK(Table1[[#This Row],[Destination - Aliexpress]],_xlfn.CONCAT("Link (",Table1[[#This Row],[Aliexpress]],")")))</f>
        <v/>
      </c>
      <c r="AR374" s="62" t="str">
        <f>_xlfn.CONCAT("https://www.aliexpress.com/item/",Table1[[#This Row],[Aliexpress]],".html")</f>
        <v>https://www.aliexpress.com/item/.html</v>
      </c>
      <c r="AS374" s="57"/>
      <c r="AT374" s="59"/>
      <c r="AU374" s="61" t="str">
        <f>IF(Table1[[#This Row],[Banggood]]="","", HYPERLINK(Table1[[#This Row],[Destination - Banggood]],_xlfn.CONCAT("Link (",Table1[[#This Row],[Banggood]],")")))</f>
        <v/>
      </c>
      <c r="AV374" s="62" t="str">
        <f>_xlfn.CONCAT("https://www.banggood.com/search/",Table1[[#This Row],[Banggood]],".html")</f>
        <v>https://www.banggood.com/search/.html</v>
      </c>
      <c r="AW374" s="59" t="str">
        <f>IF(Table1[[#This Row],[Other]]&lt;&gt;"","Other","")</f>
        <v/>
      </c>
      <c r="AX374" s="57"/>
      <c r="AY374" s="59"/>
      <c r="AZ374" s="61" t="str">
        <f>IF(Table1[[#This Row],[Other]]="","",IF(Table1[[#This Row],[Destination - Other]]="","",HYPERLINK(Table1[[#This Row],[Destination - Other]],_xlfn.CONCAT("Link ("&amp;Table1[[#This Row],[Other]]&amp;")"))))</f>
        <v/>
      </c>
      <c r="BA374" s="59"/>
      <c r="BB374" s="58" t="str">
        <f>IF(AND( Table1[[#This Row],[Auto Order]]=1,Table1[[#This Row],[Obsolete]]=""),IF(Table1[[#This Row],[In stock]]&lt;Table1[[#This Row],[Min in stock]],1,""),"")</f>
        <v/>
      </c>
      <c r="BC374" s="64"/>
      <c r="BD374" s="66" t="str">
        <f>IF(Table1[[#This Row],[Obsolete]],Table1[[#This Row],[Art. Number]],"")</f>
        <v/>
      </c>
    </row>
    <row r="375" spans="1:56" x14ac:dyDescent="0.25">
      <c r="A375" s="65" t="s">
        <v>2200</v>
      </c>
      <c r="B375" s="57" t="s">
        <v>2201</v>
      </c>
      <c r="C375" s="57" t="s">
        <v>97</v>
      </c>
      <c r="D375" s="57" t="s">
        <v>2202</v>
      </c>
      <c r="E375" s="57" t="s">
        <v>2203</v>
      </c>
      <c r="F375" s="58">
        <v>0</v>
      </c>
      <c r="G375" s="58"/>
      <c r="H375" s="58"/>
      <c r="I37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TS391SNL-ND</v>
      </c>
      <c r="J37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16.78</v>
      </c>
      <c r="K37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(TS391SNL-ND)</v>
      </c>
      <c r="M375" s="57" t="s">
        <v>2204</v>
      </c>
      <c r="N375" s="59">
        <v>16.78</v>
      </c>
      <c r="O375" s="61" t="str">
        <f>IF(Table1[[#This Row],[Digikey]]="","", HYPERLINK(Table1[[#This Row],[Destination - Digikey]],_xlfn.CONCAT("Link (",Table1[[#This Row],[Digikey]],")")))</f>
        <v>Link (TS391SNL-ND)</v>
      </c>
      <c r="P375" s="62" t="str">
        <f>_xlfn.CONCAT("https://www.digikey.ch/products/en?keywords=",Table1[[#This Row],[Digikey]])</f>
        <v>https://www.digikey.ch/products/en?keywords=TS391SNL-ND</v>
      </c>
      <c r="Q375" s="57"/>
      <c r="R375" s="59"/>
      <c r="S375" s="61" t="str">
        <f>IF(Table1[[#This Row],[Farnell]]="","", HYPERLINK(Table1[[#This Row],[Destination - Farnell]],_xlfn.CONCAT("Link (",Table1[[#This Row],[Farnell]],")")))</f>
        <v/>
      </c>
      <c r="T375" s="62" t="str">
        <f>_xlfn.CONCAT("https://ch.farnell.com/fr-CH/",Table1[[#This Row],[Farnell]])</f>
        <v>https://ch.farnell.com/fr-CH/</v>
      </c>
      <c r="U375" s="57"/>
      <c r="V375" s="59"/>
      <c r="W375" s="61" t="str">
        <f>IF(Table1[[#This Row],[Distrelec]]="","", HYPERLINK(Table1[[#This Row],[Destination - Distrelec]],_xlfn.CONCAT("Link (",Table1[[#This Row],[Distrelec]],")")))</f>
        <v/>
      </c>
      <c r="X375" s="62" t="str">
        <f>_xlfn.CONCAT("https://www.distrelec.ch/search?q=",Table1[[#This Row],[Distrelec]])</f>
        <v>https://www.distrelec.ch/search?q=</v>
      </c>
      <c r="Y375" s="57"/>
      <c r="Z375" s="59"/>
      <c r="AA375" s="61" t="str">
        <f>IF(Table1[[#This Row],[Conrad]]="","", HYPERLINK(Table1[[#This Row],[Destination - Conrad]],_xlfn.CONCAT("Link (",Table1[[#This Row],[Conrad]],")")))</f>
        <v/>
      </c>
      <c r="AB375" s="62"/>
      <c r="AC375" s="57"/>
      <c r="AD375" s="59"/>
      <c r="AE375" s="61" t="str">
        <f>IF(Table1[[#This Row],[Mouser]]="","", HYPERLINK(Table1[[#This Row],[Destination - Mouser]],_xlfn.CONCAT("Link (",Table1[[#This Row],[Mouser]],")")))</f>
        <v/>
      </c>
      <c r="AF375" s="62" t="str">
        <f>_xlfn.CONCAT("https://www.mouser.ch/ProductDetail/",Table1[[#This Row],[Mouser]])</f>
        <v>https://www.mouser.ch/ProductDetail/</v>
      </c>
      <c r="AG375" s="57"/>
      <c r="AH375" s="59"/>
      <c r="AI375" s="61" t="str">
        <f>IF(Table1[[#This Row],[Bauhaus]]="","", HYPERLINK(Table1[[#This Row],[Destination - Bauhaus]],_xlfn.CONCAT("Link (",Table1[[#This Row],[Bauhaus]],")")))</f>
        <v/>
      </c>
      <c r="AJ375" s="62" t="str">
        <f>_xlfn.CONCAT("https://www.bauhaus.ch/fr/search?query=",Table1[[#This Row],[Bauhaus]])</f>
        <v>https://www.bauhaus.ch/fr/search?query=</v>
      </c>
      <c r="AK375" s="59"/>
      <c r="AL375" s="59"/>
      <c r="AM375" s="61" t="str">
        <f>IF(Table1[[#This Row],[BricoEtLoisirs]]="","", HYPERLINK(Table1[[#This Row],[Destination - BricoEtLoisirs]],_xlfn.CONCAT("Link (",Table1[[#This Row],[BricoEtLoisirs]],")")))</f>
        <v/>
      </c>
      <c r="AN375" s="62" t="str">
        <f>_xlfn.CONCAT("https://bricoetloisirs.ch/p/",Table1[[#This Row],[BricoEtLoisirs]])</f>
        <v>https://bricoetloisirs.ch/p/</v>
      </c>
      <c r="AO375" s="57"/>
      <c r="AP375" s="59"/>
      <c r="AQ375" s="61" t="str">
        <f>IF(Table1[[#This Row],[Aliexpress]]="","", HYPERLINK(Table1[[#This Row],[Destination - Aliexpress]],_xlfn.CONCAT("Link (",Table1[[#This Row],[Aliexpress]],")")))</f>
        <v/>
      </c>
      <c r="AR375" s="62" t="str">
        <f>_xlfn.CONCAT("https://www.aliexpress.com/item/",Table1[[#This Row],[Aliexpress]],".html")</f>
        <v>https://www.aliexpress.com/item/.html</v>
      </c>
      <c r="AS375" s="57"/>
      <c r="AT375" s="59"/>
      <c r="AU375" s="61" t="str">
        <f>IF(Table1[[#This Row],[Banggood]]="","", HYPERLINK(Table1[[#This Row],[Destination - Banggood]],_xlfn.CONCAT("Link (",Table1[[#This Row],[Banggood]],")")))</f>
        <v/>
      </c>
      <c r="AV375" s="62" t="str">
        <f>_xlfn.CONCAT("https://www.banggood.com/search/",Table1[[#This Row],[Banggood]],".html")</f>
        <v>https://www.banggood.com/search/.html</v>
      </c>
      <c r="AW375" s="59" t="str">
        <f>IF(Table1[[#This Row],[Other]]&lt;&gt;"","Other","")</f>
        <v/>
      </c>
      <c r="AX375" s="57"/>
      <c r="AY375" s="59"/>
      <c r="AZ375" s="61" t="str">
        <f>IF(Table1[[#This Row],[Other]]="","",IF(Table1[[#This Row],[Destination - Other]]="","",HYPERLINK(Table1[[#This Row],[Destination - Other]],_xlfn.CONCAT("Link ("&amp;Table1[[#This Row],[Other]]&amp;")"))))</f>
        <v/>
      </c>
      <c r="BA375" s="59"/>
      <c r="BB375" s="58" t="str">
        <f>IF(AND( Table1[[#This Row],[Auto Order]]=1,Table1[[#This Row],[Obsolete]]=""),IF(Table1[[#This Row],[In stock]]&lt;Table1[[#This Row],[Min in stock]],1,""),"")</f>
        <v/>
      </c>
      <c r="BC375" s="64"/>
      <c r="BD375" s="66" t="str">
        <f>IF(Table1[[#This Row],[Obsolete]],Table1[[#This Row],[Art. Number]],"")</f>
        <v/>
      </c>
    </row>
    <row r="376" spans="1:56" x14ac:dyDescent="0.25">
      <c r="A376" s="65" t="s">
        <v>2206</v>
      </c>
      <c r="B376" s="57" t="s">
        <v>2201</v>
      </c>
      <c r="C376" s="57" t="s">
        <v>97</v>
      </c>
      <c r="D376" s="57" t="s">
        <v>2207</v>
      </c>
      <c r="E376" s="57" t="s">
        <v>2203</v>
      </c>
      <c r="F376" s="58">
        <v>0</v>
      </c>
      <c r="G376" s="58"/>
      <c r="H376" s="58"/>
      <c r="I37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TS391SNL50-ND</v>
      </c>
      <c r="J37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17.77</v>
      </c>
      <c r="K37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(TS391SNL50-ND)</v>
      </c>
      <c r="M376" s="57" t="s">
        <v>2208</v>
      </c>
      <c r="N376" s="59">
        <v>17.77</v>
      </c>
      <c r="O376" s="61" t="str">
        <f>IF(Table1[[#This Row],[Digikey]]="","", HYPERLINK(Table1[[#This Row],[Destination - Digikey]],_xlfn.CONCAT("Link (",Table1[[#This Row],[Digikey]],")")))</f>
        <v>Link (TS391SNL50-ND)</v>
      </c>
      <c r="P376" s="62" t="str">
        <f>_xlfn.CONCAT("https://www.digikey.ch/products/en?keywords=",Table1[[#This Row],[Digikey]])</f>
        <v>https://www.digikey.ch/products/en?keywords=TS391SNL50-ND</v>
      </c>
      <c r="Q376" s="57"/>
      <c r="R376" s="59"/>
      <c r="S376" s="61" t="str">
        <f>IF(Table1[[#This Row],[Farnell]]="","", HYPERLINK(Table1[[#This Row],[Destination - Farnell]],_xlfn.CONCAT("Link (",Table1[[#This Row],[Farnell]],")")))</f>
        <v/>
      </c>
      <c r="T376" s="62" t="str">
        <f>_xlfn.CONCAT("https://ch.farnell.com/fr-CH/",Table1[[#This Row],[Farnell]])</f>
        <v>https://ch.farnell.com/fr-CH/</v>
      </c>
      <c r="U376" s="57"/>
      <c r="V376" s="59"/>
      <c r="W376" s="61" t="str">
        <f>IF(Table1[[#This Row],[Distrelec]]="","", HYPERLINK(Table1[[#This Row],[Destination - Distrelec]],_xlfn.CONCAT("Link (",Table1[[#This Row],[Distrelec]],")")))</f>
        <v/>
      </c>
      <c r="X376" s="62" t="str">
        <f>_xlfn.CONCAT("https://www.distrelec.ch/search?q=",Table1[[#This Row],[Distrelec]])</f>
        <v>https://www.distrelec.ch/search?q=</v>
      </c>
      <c r="Y376" s="57"/>
      <c r="Z376" s="59"/>
      <c r="AA376" s="61" t="str">
        <f>IF(Table1[[#This Row],[Conrad]]="","", HYPERLINK(Table1[[#This Row],[Destination - Conrad]],_xlfn.CONCAT("Link (",Table1[[#This Row],[Conrad]],")")))</f>
        <v/>
      </c>
      <c r="AB376" s="62"/>
      <c r="AC376" s="57"/>
      <c r="AD376" s="59"/>
      <c r="AE376" s="61" t="str">
        <f>IF(Table1[[#This Row],[Mouser]]="","", HYPERLINK(Table1[[#This Row],[Destination - Mouser]],_xlfn.CONCAT("Link (",Table1[[#This Row],[Mouser]],")")))</f>
        <v/>
      </c>
      <c r="AF376" s="62" t="str">
        <f>_xlfn.CONCAT("https://www.mouser.ch/ProductDetail/",Table1[[#This Row],[Mouser]])</f>
        <v>https://www.mouser.ch/ProductDetail/</v>
      </c>
      <c r="AG376" s="57"/>
      <c r="AH376" s="59"/>
      <c r="AI376" s="61" t="str">
        <f>IF(Table1[[#This Row],[Bauhaus]]="","", HYPERLINK(Table1[[#This Row],[Destination - Bauhaus]],_xlfn.CONCAT("Link (",Table1[[#This Row],[Bauhaus]],")")))</f>
        <v/>
      </c>
      <c r="AJ376" s="62" t="str">
        <f>_xlfn.CONCAT("https://www.bauhaus.ch/fr/search?query=",Table1[[#This Row],[Bauhaus]])</f>
        <v>https://www.bauhaus.ch/fr/search?query=</v>
      </c>
      <c r="AK376" s="59"/>
      <c r="AL376" s="59"/>
      <c r="AM376" s="61" t="str">
        <f>IF(Table1[[#This Row],[BricoEtLoisirs]]="","", HYPERLINK(Table1[[#This Row],[Destination - BricoEtLoisirs]],_xlfn.CONCAT("Link (",Table1[[#This Row],[BricoEtLoisirs]],")")))</f>
        <v/>
      </c>
      <c r="AN376" s="62" t="str">
        <f>_xlfn.CONCAT("https://bricoetloisirs.ch/p/",Table1[[#This Row],[BricoEtLoisirs]])</f>
        <v>https://bricoetloisirs.ch/p/</v>
      </c>
      <c r="AO376" s="57"/>
      <c r="AP376" s="59"/>
      <c r="AQ376" s="61" t="str">
        <f>IF(Table1[[#This Row],[Aliexpress]]="","", HYPERLINK(Table1[[#This Row],[Destination - Aliexpress]],_xlfn.CONCAT("Link (",Table1[[#This Row],[Aliexpress]],")")))</f>
        <v/>
      </c>
      <c r="AR376" s="62" t="str">
        <f>_xlfn.CONCAT("https://www.aliexpress.com/item/",Table1[[#This Row],[Aliexpress]],".html")</f>
        <v>https://www.aliexpress.com/item/.html</v>
      </c>
      <c r="AS376" s="57"/>
      <c r="AT376" s="59"/>
      <c r="AU376" s="61" t="str">
        <f>IF(Table1[[#This Row],[Banggood]]="","", HYPERLINK(Table1[[#This Row],[Destination - Banggood]],_xlfn.CONCAT("Link (",Table1[[#This Row],[Banggood]],")")))</f>
        <v/>
      </c>
      <c r="AV376" s="62" t="str">
        <f>_xlfn.CONCAT("https://www.banggood.com/search/",Table1[[#This Row],[Banggood]],".html")</f>
        <v>https://www.banggood.com/search/.html</v>
      </c>
      <c r="AW376" s="59" t="str">
        <f>IF(Table1[[#This Row],[Other]]&lt;&gt;"","Other","")</f>
        <v/>
      </c>
      <c r="AX376" s="57"/>
      <c r="AY376" s="59"/>
      <c r="AZ376" s="61" t="str">
        <f>IF(Table1[[#This Row],[Other]]="","",IF(Table1[[#This Row],[Destination - Other]]="","",HYPERLINK(Table1[[#This Row],[Destination - Other]],_xlfn.CONCAT("Link ("&amp;Table1[[#This Row],[Other]]&amp;")"))))</f>
        <v/>
      </c>
      <c r="BA376" s="59"/>
      <c r="BB376" s="58" t="str">
        <f>IF(AND( Table1[[#This Row],[Auto Order]]=1,Table1[[#This Row],[Obsolete]]=""),IF(Table1[[#This Row],[In stock]]&lt;Table1[[#This Row],[Min in stock]],1,""),"")</f>
        <v/>
      </c>
      <c r="BC376" s="64"/>
      <c r="BD376" s="66" t="str">
        <f>IF(Table1[[#This Row],[Obsolete]],Table1[[#This Row],[Art. Number]],"")</f>
        <v/>
      </c>
    </row>
    <row r="377" spans="1:56" x14ac:dyDescent="0.25">
      <c r="A377" s="65" t="s">
        <v>2210</v>
      </c>
      <c r="B377" s="57" t="s">
        <v>313</v>
      </c>
      <c r="C377" s="57" t="s">
        <v>97</v>
      </c>
      <c r="D377" s="57" t="s">
        <v>2211</v>
      </c>
      <c r="E377" s="57" t="s">
        <v>2212</v>
      </c>
      <c r="F377" s="58">
        <v>0</v>
      </c>
      <c r="G377" s="58"/>
      <c r="H377" s="58"/>
      <c r="I37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T0054440599N-ND</v>
      </c>
      <c r="J37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5.05</v>
      </c>
      <c r="K37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(T0054440599N-ND)</v>
      </c>
      <c r="M377" s="57" t="s">
        <v>2213</v>
      </c>
      <c r="N377" s="59">
        <v>5.05</v>
      </c>
      <c r="O377" s="61" t="str">
        <f>IF(Table1[[#This Row],[Digikey]]="","", HYPERLINK(Table1[[#This Row],[Destination - Digikey]],_xlfn.CONCAT("Link (",Table1[[#This Row],[Digikey]],")")))</f>
        <v>Link (T0054440599N-ND)</v>
      </c>
      <c r="P377" s="62" t="str">
        <f>_xlfn.CONCAT("https://www.digikey.ch/products/en?keywords=",Table1[[#This Row],[Digikey]])</f>
        <v>https://www.digikey.ch/products/en?keywords=T0054440599N-ND</v>
      </c>
      <c r="Q377" s="57"/>
      <c r="R377" s="59"/>
      <c r="S377" s="61" t="str">
        <f>IF(Table1[[#This Row],[Farnell]]="","", HYPERLINK(Table1[[#This Row],[Destination - Farnell]],_xlfn.CONCAT("Link (",Table1[[#This Row],[Farnell]],")")))</f>
        <v/>
      </c>
      <c r="T377" s="62" t="str">
        <f>_xlfn.CONCAT("https://ch.farnell.com/fr-CH/",Table1[[#This Row],[Farnell]])</f>
        <v>https://ch.farnell.com/fr-CH/</v>
      </c>
      <c r="U377" s="57"/>
      <c r="V377" s="59"/>
      <c r="W377" s="61" t="str">
        <f>IF(Table1[[#This Row],[Distrelec]]="","", HYPERLINK(Table1[[#This Row],[Destination - Distrelec]],_xlfn.CONCAT("Link (",Table1[[#This Row],[Distrelec]],")")))</f>
        <v/>
      </c>
      <c r="X377" s="62" t="str">
        <f>_xlfn.CONCAT("https://www.distrelec.ch/search?q=",Table1[[#This Row],[Distrelec]])</f>
        <v>https://www.distrelec.ch/search?q=</v>
      </c>
      <c r="Y377" s="57"/>
      <c r="Z377" s="59"/>
      <c r="AA377" s="61" t="str">
        <f>IF(Table1[[#This Row],[Conrad]]="","", HYPERLINK(Table1[[#This Row],[Destination - Conrad]],_xlfn.CONCAT("Link (",Table1[[#This Row],[Conrad]],")")))</f>
        <v/>
      </c>
      <c r="AB377" s="62"/>
      <c r="AC377" s="57"/>
      <c r="AD377" s="59"/>
      <c r="AE377" s="61" t="str">
        <f>IF(Table1[[#This Row],[Mouser]]="","", HYPERLINK(Table1[[#This Row],[Destination - Mouser]],_xlfn.CONCAT("Link (",Table1[[#This Row],[Mouser]],")")))</f>
        <v/>
      </c>
      <c r="AF377" s="62" t="str">
        <f>_xlfn.CONCAT("https://www.mouser.ch/ProductDetail/",Table1[[#This Row],[Mouser]])</f>
        <v>https://www.mouser.ch/ProductDetail/</v>
      </c>
      <c r="AG377" s="57"/>
      <c r="AH377" s="59"/>
      <c r="AI377" s="61" t="str">
        <f>IF(Table1[[#This Row],[Bauhaus]]="","", HYPERLINK(Table1[[#This Row],[Destination - Bauhaus]],_xlfn.CONCAT("Link (",Table1[[#This Row],[Bauhaus]],")")))</f>
        <v/>
      </c>
      <c r="AJ377" s="62" t="str">
        <f>_xlfn.CONCAT("https://www.bauhaus.ch/fr/search?query=",Table1[[#This Row],[Bauhaus]])</f>
        <v>https://www.bauhaus.ch/fr/search?query=</v>
      </c>
      <c r="AK377" s="59"/>
      <c r="AL377" s="59"/>
      <c r="AM377" s="61" t="str">
        <f>IF(Table1[[#This Row],[BricoEtLoisirs]]="","", HYPERLINK(Table1[[#This Row],[Destination - BricoEtLoisirs]],_xlfn.CONCAT("Link (",Table1[[#This Row],[BricoEtLoisirs]],")")))</f>
        <v/>
      </c>
      <c r="AN377" s="62" t="str">
        <f>_xlfn.CONCAT("https://bricoetloisirs.ch/p/",Table1[[#This Row],[BricoEtLoisirs]])</f>
        <v>https://bricoetloisirs.ch/p/</v>
      </c>
      <c r="AO377" s="57"/>
      <c r="AP377" s="59"/>
      <c r="AQ377" s="61" t="str">
        <f>IF(Table1[[#This Row],[Aliexpress]]="","", HYPERLINK(Table1[[#This Row],[Destination - Aliexpress]],_xlfn.CONCAT("Link (",Table1[[#This Row],[Aliexpress]],")")))</f>
        <v/>
      </c>
      <c r="AR377" s="62" t="str">
        <f>_xlfn.CONCAT("https://www.aliexpress.com/item/",Table1[[#This Row],[Aliexpress]],".html")</f>
        <v>https://www.aliexpress.com/item/.html</v>
      </c>
      <c r="AS377" s="57"/>
      <c r="AT377" s="59"/>
      <c r="AU377" s="61" t="str">
        <f>IF(Table1[[#This Row],[Banggood]]="","", HYPERLINK(Table1[[#This Row],[Destination - Banggood]],_xlfn.CONCAT("Link (",Table1[[#This Row],[Banggood]],")")))</f>
        <v/>
      </c>
      <c r="AV377" s="62" t="str">
        <f>_xlfn.CONCAT("https://www.banggood.com/search/",Table1[[#This Row],[Banggood]],".html")</f>
        <v>https://www.banggood.com/search/.html</v>
      </c>
      <c r="AW377" s="59" t="str">
        <f>IF(Table1[[#This Row],[Other]]&lt;&gt;"","Other","")</f>
        <v/>
      </c>
      <c r="AX377" s="57"/>
      <c r="AY377" s="59"/>
      <c r="AZ377" s="61" t="str">
        <f>IF(Table1[[#This Row],[Other]]="","",IF(Table1[[#This Row],[Destination - Other]]="","",HYPERLINK(Table1[[#This Row],[Destination - Other]],_xlfn.CONCAT("Link ("&amp;Table1[[#This Row],[Other]]&amp;")"))))</f>
        <v/>
      </c>
      <c r="BA377" s="59"/>
      <c r="BB377" s="58" t="str">
        <f>IF(AND( Table1[[#This Row],[Auto Order]]=1,Table1[[#This Row],[Obsolete]]=""),IF(Table1[[#This Row],[In stock]]&lt;Table1[[#This Row],[Min in stock]],1,""),"")</f>
        <v/>
      </c>
      <c r="BC377" s="64"/>
      <c r="BD377" s="66" t="str">
        <f>IF(Table1[[#This Row],[Obsolete]],Table1[[#This Row],[Art. Number]],"")</f>
        <v/>
      </c>
    </row>
    <row r="378" spans="1:56" x14ac:dyDescent="0.25">
      <c r="A378" s="65" t="s">
        <v>2215</v>
      </c>
      <c r="B378" s="57" t="s">
        <v>313</v>
      </c>
      <c r="C378" s="57" t="s">
        <v>97</v>
      </c>
      <c r="D378" s="57" t="s">
        <v>2216</v>
      </c>
      <c r="E378" s="57" t="s">
        <v>2212</v>
      </c>
      <c r="F378" s="58">
        <v>0</v>
      </c>
      <c r="G378" s="58"/>
      <c r="H378" s="58"/>
      <c r="I37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T0054440899N-ND</v>
      </c>
      <c r="J37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5.05</v>
      </c>
      <c r="K37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(T0054440899N-ND)</v>
      </c>
      <c r="M378" s="57" t="s">
        <v>2217</v>
      </c>
      <c r="N378" s="59">
        <v>5.05</v>
      </c>
      <c r="O378" s="61" t="str">
        <f>IF(Table1[[#This Row],[Digikey]]="","", HYPERLINK(Table1[[#This Row],[Destination - Digikey]],_xlfn.CONCAT("Link (",Table1[[#This Row],[Digikey]],")")))</f>
        <v>Link (T0054440899N-ND)</v>
      </c>
      <c r="P378" s="62" t="str">
        <f>_xlfn.CONCAT("https://www.digikey.ch/products/en?keywords=",Table1[[#This Row],[Digikey]])</f>
        <v>https://www.digikey.ch/products/en?keywords=T0054440899N-ND</v>
      </c>
      <c r="Q378" s="57"/>
      <c r="R378" s="59"/>
      <c r="S378" s="61" t="str">
        <f>IF(Table1[[#This Row],[Farnell]]="","", HYPERLINK(Table1[[#This Row],[Destination - Farnell]],_xlfn.CONCAT("Link (",Table1[[#This Row],[Farnell]],")")))</f>
        <v/>
      </c>
      <c r="T378" s="62" t="str">
        <f>_xlfn.CONCAT("https://ch.farnell.com/fr-CH/",Table1[[#This Row],[Farnell]])</f>
        <v>https://ch.farnell.com/fr-CH/</v>
      </c>
      <c r="U378" s="57"/>
      <c r="V378" s="59"/>
      <c r="W378" s="61" t="str">
        <f>IF(Table1[[#This Row],[Distrelec]]="","", HYPERLINK(Table1[[#This Row],[Destination - Distrelec]],_xlfn.CONCAT("Link (",Table1[[#This Row],[Distrelec]],")")))</f>
        <v/>
      </c>
      <c r="X378" s="62" t="str">
        <f>_xlfn.CONCAT("https://www.distrelec.ch/search?q=",Table1[[#This Row],[Distrelec]])</f>
        <v>https://www.distrelec.ch/search?q=</v>
      </c>
      <c r="Y378" s="57"/>
      <c r="Z378" s="59"/>
      <c r="AA378" s="61" t="str">
        <f>IF(Table1[[#This Row],[Conrad]]="","", HYPERLINK(Table1[[#This Row],[Destination - Conrad]],_xlfn.CONCAT("Link (",Table1[[#This Row],[Conrad]],")")))</f>
        <v/>
      </c>
      <c r="AB378" s="62"/>
      <c r="AC378" s="57"/>
      <c r="AD378" s="59"/>
      <c r="AE378" s="61" t="str">
        <f>IF(Table1[[#This Row],[Mouser]]="","", HYPERLINK(Table1[[#This Row],[Destination - Mouser]],_xlfn.CONCAT("Link (",Table1[[#This Row],[Mouser]],")")))</f>
        <v/>
      </c>
      <c r="AF378" s="62" t="str">
        <f>_xlfn.CONCAT("https://www.mouser.ch/ProductDetail/",Table1[[#This Row],[Mouser]])</f>
        <v>https://www.mouser.ch/ProductDetail/</v>
      </c>
      <c r="AG378" s="57"/>
      <c r="AH378" s="59"/>
      <c r="AI378" s="61" t="str">
        <f>IF(Table1[[#This Row],[Bauhaus]]="","", HYPERLINK(Table1[[#This Row],[Destination - Bauhaus]],_xlfn.CONCAT("Link (",Table1[[#This Row],[Bauhaus]],")")))</f>
        <v/>
      </c>
      <c r="AJ378" s="62" t="str">
        <f>_xlfn.CONCAT("https://www.bauhaus.ch/fr/search?query=",Table1[[#This Row],[Bauhaus]])</f>
        <v>https://www.bauhaus.ch/fr/search?query=</v>
      </c>
      <c r="AK378" s="59"/>
      <c r="AL378" s="59"/>
      <c r="AM378" s="61" t="str">
        <f>IF(Table1[[#This Row],[BricoEtLoisirs]]="","", HYPERLINK(Table1[[#This Row],[Destination - BricoEtLoisirs]],_xlfn.CONCAT("Link (",Table1[[#This Row],[BricoEtLoisirs]],")")))</f>
        <v/>
      </c>
      <c r="AN378" s="62" t="str">
        <f>_xlfn.CONCAT("https://bricoetloisirs.ch/p/",Table1[[#This Row],[BricoEtLoisirs]])</f>
        <v>https://bricoetloisirs.ch/p/</v>
      </c>
      <c r="AO378" s="57"/>
      <c r="AP378" s="59"/>
      <c r="AQ378" s="61" t="str">
        <f>IF(Table1[[#This Row],[Aliexpress]]="","", HYPERLINK(Table1[[#This Row],[Destination - Aliexpress]],_xlfn.CONCAT("Link (",Table1[[#This Row],[Aliexpress]],")")))</f>
        <v/>
      </c>
      <c r="AR378" s="62" t="str">
        <f>_xlfn.CONCAT("https://www.aliexpress.com/item/",Table1[[#This Row],[Aliexpress]],".html")</f>
        <v>https://www.aliexpress.com/item/.html</v>
      </c>
      <c r="AS378" s="57"/>
      <c r="AT378" s="59"/>
      <c r="AU378" s="61" t="str">
        <f>IF(Table1[[#This Row],[Banggood]]="","", HYPERLINK(Table1[[#This Row],[Destination - Banggood]],_xlfn.CONCAT("Link (",Table1[[#This Row],[Banggood]],")")))</f>
        <v/>
      </c>
      <c r="AV378" s="62" t="str">
        <f>_xlfn.CONCAT("https://www.banggood.com/search/",Table1[[#This Row],[Banggood]],".html")</f>
        <v>https://www.banggood.com/search/.html</v>
      </c>
      <c r="AW378" s="59" t="str">
        <f>IF(Table1[[#This Row],[Other]]&lt;&gt;"","Other","")</f>
        <v/>
      </c>
      <c r="AX378" s="57"/>
      <c r="AY378" s="59"/>
      <c r="AZ378" s="61" t="str">
        <f>IF(Table1[[#This Row],[Other]]="","",IF(Table1[[#This Row],[Destination - Other]]="","",HYPERLINK(Table1[[#This Row],[Destination - Other]],_xlfn.CONCAT("Link ("&amp;Table1[[#This Row],[Other]]&amp;")"))))</f>
        <v/>
      </c>
      <c r="BA378" s="59"/>
      <c r="BB378" s="58" t="str">
        <f>IF(AND( Table1[[#This Row],[Auto Order]]=1,Table1[[#This Row],[Obsolete]]=""),IF(Table1[[#This Row],[In stock]]&lt;Table1[[#This Row],[Min in stock]],1,""),"")</f>
        <v/>
      </c>
      <c r="BC378" s="64"/>
      <c r="BD378" s="66" t="str">
        <f>IF(Table1[[#This Row],[Obsolete]],Table1[[#This Row],[Art. Number]],"")</f>
        <v/>
      </c>
    </row>
    <row r="379" spans="1:56" x14ac:dyDescent="0.25">
      <c r="A379" s="65" t="s">
        <v>2219</v>
      </c>
      <c r="B379" s="57" t="s">
        <v>313</v>
      </c>
      <c r="C379" s="57" t="s">
        <v>97</v>
      </c>
      <c r="D379" s="57" t="s">
        <v>2220</v>
      </c>
      <c r="E379" s="57" t="s">
        <v>2212</v>
      </c>
      <c r="F379" s="58">
        <v>1</v>
      </c>
      <c r="G379" s="58"/>
      <c r="H379" s="58"/>
      <c r="I37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T0054440999N-ND</v>
      </c>
      <c r="J37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5.25</v>
      </c>
      <c r="K37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7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(T0054440999N-ND)</v>
      </c>
      <c r="M379" s="57" t="s">
        <v>2221</v>
      </c>
      <c r="N379" s="59">
        <v>5.25</v>
      </c>
      <c r="O379" s="61" t="str">
        <f>IF(Table1[[#This Row],[Digikey]]="","", HYPERLINK(Table1[[#This Row],[Destination - Digikey]],_xlfn.CONCAT("Link (",Table1[[#This Row],[Digikey]],")")))</f>
        <v>Link (T0054440999N-ND)</v>
      </c>
      <c r="P379" s="62" t="str">
        <f>_xlfn.CONCAT("https://www.digikey.ch/products/en?keywords=",Table1[[#This Row],[Digikey]])</f>
        <v>https://www.digikey.ch/products/en?keywords=T0054440999N-ND</v>
      </c>
      <c r="Q379" s="57"/>
      <c r="R379" s="59"/>
      <c r="S379" s="61" t="str">
        <f>IF(Table1[[#This Row],[Farnell]]="","", HYPERLINK(Table1[[#This Row],[Destination - Farnell]],_xlfn.CONCAT("Link (",Table1[[#This Row],[Farnell]],")")))</f>
        <v/>
      </c>
      <c r="T379" s="62" t="str">
        <f>_xlfn.CONCAT("https://ch.farnell.com/fr-CH/",Table1[[#This Row],[Farnell]])</f>
        <v>https://ch.farnell.com/fr-CH/</v>
      </c>
      <c r="U379" s="57"/>
      <c r="V379" s="59"/>
      <c r="W379" s="61" t="str">
        <f>IF(Table1[[#This Row],[Distrelec]]="","", HYPERLINK(Table1[[#This Row],[Destination - Distrelec]],_xlfn.CONCAT("Link (",Table1[[#This Row],[Distrelec]],")")))</f>
        <v/>
      </c>
      <c r="X379" s="62" t="str">
        <f>_xlfn.CONCAT("https://www.distrelec.ch/search?q=",Table1[[#This Row],[Distrelec]])</f>
        <v>https://www.distrelec.ch/search?q=</v>
      </c>
      <c r="Y379" s="57"/>
      <c r="Z379" s="59"/>
      <c r="AA379" s="61" t="str">
        <f>IF(Table1[[#This Row],[Conrad]]="","", HYPERLINK(Table1[[#This Row],[Destination - Conrad]],_xlfn.CONCAT("Link (",Table1[[#This Row],[Conrad]],")")))</f>
        <v/>
      </c>
      <c r="AB379" s="62"/>
      <c r="AC379" s="57"/>
      <c r="AD379" s="59"/>
      <c r="AE379" s="61" t="str">
        <f>IF(Table1[[#This Row],[Mouser]]="","", HYPERLINK(Table1[[#This Row],[Destination - Mouser]],_xlfn.CONCAT("Link (",Table1[[#This Row],[Mouser]],")")))</f>
        <v/>
      </c>
      <c r="AF379" s="62" t="str">
        <f>_xlfn.CONCAT("https://www.mouser.ch/ProductDetail/",Table1[[#This Row],[Mouser]])</f>
        <v>https://www.mouser.ch/ProductDetail/</v>
      </c>
      <c r="AG379" s="57"/>
      <c r="AH379" s="59"/>
      <c r="AI379" s="61" t="str">
        <f>IF(Table1[[#This Row],[Bauhaus]]="","", HYPERLINK(Table1[[#This Row],[Destination - Bauhaus]],_xlfn.CONCAT("Link (",Table1[[#This Row],[Bauhaus]],")")))</f>
        <v/>
      </c>
      <c r="AJ379" s="62" t="str">
        <f>_xlfn.CONCAT("https://www.bauhaus.ch/fr/search?query=",Table1[[#This Row],[Bauhaus]])</f>
        <v>https://www.bauhaus.ch/fr/search?query=</v>
      </c>
      <c r="AK379" s="59"/>
      <c r="AL379" s="59"/>
      <c r="AM379" s="61" t="str">
        <f>IF(Table1[[#This Row],[BricoEtLoisirs]]="","", HYPERLINK(Table1[[#This Row],[Destination - BricoEtLoisirs]],_xlfn.CONCAT("Link (",Table1[[#This Row],[BricoEtLoisirs]],")")))</f>
        <v/>
      </c>
      <c r="AN379" s="62" t="str">
        <f>_xlfn.CONCAT("https://bricoetloisirs.ch/p/",Table1[[#This Row],[BricoEtLoisirs]])</f>
        <v>https://bricoetloisirs.ch/p/</v>
      </c>
      <c r="AO379" s="57"/>
      <c r="AP379" s="59"/>
      <c r="AQ379" s="61" t="str">
        <f>IF(Table1[[#This Row],[Aliexpress]]="","", HYPERLINK(Table1[[#This Row],[Destination - Aliexpress]],_xlfn.CONCAT("Link (",Table1[[#This Row],[Aliexpress]],")")))</f>
        <v/>
      </c>
      <c r="AR379" s="62" t="str">
        <f>_xlfn.CONCAT("https://www.aliexpress.com/item/",Table1[[#This Row],[Aliexpress]],".html")</f>
        <v>https://www.aliexpress.com/item/.html</v>
      </c>
      <c r="AS379" s="57"/>
      <c r="AT379" s="59"/>
      <c r="AU379" s="61" t="str">
        <f>IF(Table1[[#This Row],[Banggood]]="","", HYPERLINK(Table1[[#This Row],[Destination - Banggood]],_xlfn.CONCAT("Link (",Table1[[#This Row],[Banggood]],")")))</f>
        <v/>
      </c>
      <c r="AV379" s="62" t="str">
        <f>_xlfn.CONCAT("https://www.banggood.com/search/",Table1[[#This Row],[Banggood]],".html")</f>
        <v>https://www.banggood.com/search/.html</v>
      </c>
      <c r="AW379" s="59" t="str">
        <f>IF(Table1[[#This Row],[Other]]&lt;&gt;"","Other","")</f>
        <v/>
      </c>
      <c r="AX379" s="57"/>
      <c r="AY379" s="59"/>
      <c r="AZ379" s="61" t="str">
        <f>IF(Table1[[#This Row],[Other]]="","",IF(Table1[[#This Row],[Destination - Other]]="","",HYPERLINK(Table1[[#This Row],[Destination - Other]],_xlfn.CONCAT("Link ("&amp;Table1[[#This Row],[Other]]&amp;")"))))</f>
        <v/>
      </c>
      <c r="BA379" s="59"/>
      <c r="BB379" s="58" t="str">
        <f>IF(AND( Table1[[#This Row],[Auto Order]]=1,Table1[[#This Row],[Obsolete]]=""),IF(Table1[[#This Row],[In stock]]&lt;Table1[[#This Row],[Min in stock]],1,""),"")</f>
        <v/>
      </c>
      <c r="BC379" s="64"/>
      <c r="BD379" s="66" t="str">
        <f>IF(Table1[[#This Row],[Obsolete]],Table1[[#This Row],[Art. Number]],"")</f>
        <v/>
      </c>
    </row>
    <row r="380" spans="1:56" x14ac:dyDescent="0.25">
      <c r="A380" s="65" t="s">
        <v>2223</v>
      </c>
      <c r="B380" s="57" t="s">
        <v>313</v>
      </c>
      <c r="C380" s="57" t="s">
        <v>97</v>
      </c>
      <c r="D380" s="57" t="s">
        <v>2224</v>
      </c>
      <c r="E380" s="57" t="s">
        <v>2212</v>
      </c>
      <c r="F380" s="58">
        <v>1</v>
      </c>
      <c r="G380" s="58"/>
      <c r="H380" s="58"/>
      <c r="I38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T0054441099N-ND</v>
      </c>
      <c r="J38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4.8499999999999996</v>
      </c>
      <c r="K38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(T0054441099N-ND)</v>
      </c>
      <c r="M380" s="57" t="s">
        <v>2225</v>
      </c>
      <c r="N380" s="59">
        <v>4.8499999999999996</v>
      </c>
      <c r="O380" s="61" t="str">
        <f>IF(Table1[[#This Row],[Digikey]]="","", HYPERLINK(Table1[[#This Row],[Destination - Digikey]],_xlfn.CONCAT("Link (",Table1[[#This Row],[Digikey]],")")))</f>
        <v>Link (T0054441099N-ND)</v>
      </c>
      <c r="P380" s="62" t="str">
        <f>_xlfn.CONCAT("https://www.digikey.ch/products/en?keywords=",Table1[[#This Row],[Digikey]])</f>
        <v>https://www.digikey.ch/products/en?keywords=T0054441099N-ND</v>
      </c>
      <c r="Q380" s="57"/>
      <c r="R380" s="59"/>
      <c r="S380" s="61" t="str">
        <f>IF(Table1[[#This Row],[Farnell]]="","", HYPERLINK(Table1[[#This Row],[Destination - Farnell]],_xlfn.CONCAT("Link (",Table1[[#This Row],[Farnell]],")")))</f>
        <v/>
      </c>
      <c r="T380" s="62" t="str">
        <f>_xlfn.CONCAT("https://ch.farnell.com/fr-CH/",Table1[[#This Row],[Farnell]])</f>
        <v>https://ch.farnell.com/fr-CH/</v>
      </c>
      <c r="U380" s="57"/>
      <c r="V380" s="59"/>
      <c r="W380" s="61" t="str">
        <f>IF(Table1[[#This Row],[Distrelec]]="","", HYPERLINK(Table1[[#This Row],[Destination - Distrelec]],_xlfn.CONCAT("Link (",Table1[[#This Row],[Distrelec]],")")))</f>
        <v/>
      </c>
      <c r="X380" s="62" t="str">
        <f>_xlfn.CONCAT("https://www.distrelec.ch/search?q=",Table1[[#This Row],[Distrelec]])</f>
        <v>https://www.distrelec.ch/search?q=</v>
      </c>
      <c r="Y380" s="57"/>
      <c r="Z380" s="59"/>
      <c r="AA380" s="61" t="str">
        <f>IF(Table1[[#This Row],[Conrad]]="","", HYPERLINK(Table1[[#This Row],[Destination - Conrad]],_xlfn.CONCAT("Link (",Table1[[#This Row],[Conrad]],")")))</f>
        <v/>
      </c>
      <c r="AB380" s="62"/>
      <c r="AC380" s="57"/>
      <c r="AD380" s="59"/>
      <c r="AE380" s="61" t="str">
        <f>IF(Table1[[#This Row],[Mouser]]="","", HYPERLINK(Table1[[#This Row],[Destination - Mouser]],_xlfn.CONCAT("Link (",Table1[[#This Row],[Mouser]],")")))</f>
        <v/>
      </c>
      <c r="AF380" s="62" t="str">
        <f>_xlfn.CONCAT("https://www.mouser.ch/ProductDetail/",Table1[[#This Row],[Mouser]])</f>
        <v>https://www.mouser.ch/ProductDetail/</v>
      </c>
      <c r="AG380" s="57"/>
      <c r="AH380" s="59"/>
      <c r="AI380" s="61" t="str">
        <f>IF(Table1[[#This Row],[Bauhaus]]="","", HYPERLINK(Table1[[#This Row],[Destination - Bauhaus]],_xlfn.CONCAT("Link (",Table1[[#This Row],[Bauhaus]],")")))</f>
        <v/>
      </c>
      <c r="AJ380" s="62" t="str">
        <f>_xlfn.CONCAT("https://www.bauhaus.ch/fr/search?query=",Table1[[#This Row],[Bauhaus]])</f>
        <v>https://www.bauhaus.ch/fr/search?query=</v>
      </c>
      <c r="AK380" s="59"/>
      <c r="AL380" s="59"/>
      <c r="AM380" s="61" t="str">
        <f>IF(Table1[[#This Row],[BricoEtLoisirs]]="","", HYPERLINK(Table1[[#This Row],[Destination - BricoEtLoisirs]],_xlfn.CONCAT("Link (",Table1[[#This Row],[BricoEtLoisirs]],")")))</f>
        <v/>
      </c>
      <c r="AN380" s="62" t="str">
        <f>_xlfn.CONCAT("https://bricoetloisirs.ch/p/",Table1[[#This Row],[BricoEtLoisirs]])</f>
        <v>https://bricoetloisirs.ch/p/</v>
      </c>
      <c r="AO380" s="57"/>
      <c r="AP380" s="59"/>
      <c r="AQ380" s="61" t="str">
        <f>IF(Table1[[#This Row],[Aliexpress]]="","", HYPERLINK(Table1[[#This Row],[Destination - Aliexpress]],_xlfn.CONCAT("Link (",Table1[[#This Row],[Aliexpress]],")")))</f>
        <v/>
      </c>
      <c r="AR380" s="62" t="str">
        <f>_xlfn.CONCAT("https://www.aliexpress.com/item/",Table1[[#This Row],[Aliexpress]],".html")</f>
        <v>https://www.aliexpress.com/item/.html</v>
      </c>
      <c r="AS380" s="57"/>
      <c r="AT380" s="59"/>
      <c r="AU380" s="61" t="str">
        <f>IF(Table1[[#This Row],[Banggood]]="","", HYPERLINK(Table1[[#This Row],[Destination - Banggood]],_xlfn.CONCAT("Link (",Table1[[#This Row],[Banggood]],")")))</f>
        <v/>
      </c>
      <c r="AV380" s="62" t="str">
        <f>_xlfn.CONCAT("https://www.banggood.com/search/",Table1[[#This Row],[Banggood]],".html")</f>
        <v>https://www.banggood.com/search/.html</v>
      </c>
      <c r="AW380" s="59" t="str">
        <f>IF(Table1[[#This Row],[Other]]&lt;&gt;"","Other","")</f>
        <v/>
      </c>
      <c r="AX380" s="57"/>
      <c r="AY380" s="59"/>
      <c r="AZ380" s="61" t="str">
        <f>IF(Table1[[#This Row],[Other]]="","",IF(Table1[[#This Row],[Destination - Other]]="","",HYPERLINK(Table1[[#This Row],[Destination - Other]],_xlfn.CONCAT("Link ("&amp;Table1[[#This Row],[Other]]&amp;")"))))</f>
        <v/>
      </c>
      <c r="BA380" s="59"/>
      <c r="BB380" s="58" t="str">
        <f>IF(AND( Table1[[#This Row],[Auto Order]]=1,Table1[[#This Row],[Obsolete]]=""),IF(Table1[[#This Row],[In stock]]&lt;Table1[[#This Row],[Min in stock]],1,""),"")</f>
        <v/>
      </c>
      <c r="BC380" s="64"/>
      <c r="BD380" s="66" t="str">
        <f>IF(Table1[[#This Row],[Obsolete]],Table1[[#This Row],[Art. Number]],"")</f>
        <v/>
      </c>
    </row>
    <row r="381" spans="1:56" x14ac:dyDescent="0.25">
      <c r="A381" s="65" t="s">
        <v>2227</v>
      </c>
      <c r="B381" s="57" t="s">
        <v>313</v>
      </c>
      <c r="C381" s="57" t="s">
        <v>97</v>
      </c>
      <c r="D381" s="57" t="s">
        <v>2228</v>
      </c>
      <c r="E381" s="57" t="s">
        <v>2212</v>
      </c>
      <c r="F381" s="58">
        <v>1</v>
      </c>
      <c r="G381" s="58"/>
      <c r="H381" s="58"/>
      <c r="I38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CKN10371-ND</v>
      </c>
      <c r="J38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0.53</v>
      </c>
      <c r="K38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(CKN10371-ND)</v>
      </c>
      <c r="M381" s="57" t="s">
        <v>2229</v>
      </c>
      <c r="N381" s="59">
        <v>0.53</v>
      </c>
      <c r="O381" s="61" t="str">
        <f>IF(Table1[[#This Row],[Digikey]]="","", HYPERLINK(Table1[[#This Row],[Destination - Digikey]],_xlfn.CONCAT("Link (",Table1[[#This Row],[Digikey]],")")))</f>
        <v>Link (CKN10371-ND)</v>
      </c>
      <c r="P381" s="62" t="str">
        <f>_xlfn.CONCAT("https://www.digikey.ch/products/en?keywords=",Table1[[#This Row],[Digikey]])</f>
        <v>https://www.digikey.ch/products/en?keywords=CKN10371-ND</v>
      </c>
      <c r="Q381" s="57"/>
      <c r="R381" s="59"/>
      <c r="S381" s="61" t="str">
        <f>IF(Table1[[#This Row],[Farnell]]="","", HYPERLINK(Table1[[#This Row],[Destination - Farnell]],_xlfn.CONCAT("Link (",Table1[[#This Row],[Farnell]],")")))</f>
        <v/>
      </c>
      <c r="T381" s="62" t="str">
        <f>_xlfn.CONCAT("https://ch.farnell.com/fr-CH/",Table1[[#This Row],[Farnell]])</f>
        <v>https://ch.farnell.com/fr-CH/</v>
      </c>
      <c r="U381" s="57"/>
      <c r="V381" s="59"/>
      <c r="W381" s="61" t="str">
        <f>IF(Table1[[#This Row],[Distrelec]]="","", HYPERLINK(Table1[[#This Row],[Destination - Distrelec]],_xlfn.CONCAT("Link (",Table1[[#This Row],[Distrelec]],")")))</f>
        <v/>
      </c>
      <c r="X381" s="62" t="str">
        <f>_xlfn.CONCAT("https://www.distrelec.ch/search?q=",Table1[[#This Row],[Distrelec]])</f>
        <v>https://www.distrelec.ch/search?q=</v>
      </c>
      <c r="Y381" s="57"/>
      <c r="Z381" s="59"/>
      <c r="AA381" s="61" t="str">
        <f>IF(Table1[[#This Row],[Conrad]]="","", HYPERLINK(Table1[[#This Row],[Destination - Conrad]],_xlfn.CONCAT("Link (",Table1[[#This Row],[Conrad]],")")))</f>
        <v/>
      </c>
      <c r="AB381" s="62"/>
      <c r="AC381" s="57"/>
      <c r="AD381" s="59"/>
      <c r="AE381" s="61" t="str">
        <f>IF(Table1[[#This Row],[Mouser]]="","", HYPERLINK(Table1[[#This Row],[Destination - Mouser]],_xlfn.CONCAT("Link (",Table1[[#This Row],[Mouser]],")")))</f>
        <v/>
      </c>
      <c r="AF381" s="62" t="str">
        <f>_xlfn.CONCAT("https://www.mouser.ch/ProductDetail/",Table1[[#This Row],[Mouser]])</f>
        <v>https://www.mouser.ch/ProductDetail/</v>
      </c>
      <c r="AG381" s="57"/>
      <c r="AH381" s="59"/>
      <c r="AI381" s="61" t="str">
        <f>IF(Table1[[#This Row],[Bauhaus]]="","", HYPERLINK(Table1[[#This Row],[Destination - Bauhaus]],_xlfn.CONCAT("Link (",Table1[[#This Row],[Bauhaus]],")")))</f>
        <v/>
      </c>
      <c r="AJ381" s="62" t="str">
        <f>_xlfn.CONCAT("https://www.bauhaus.ch/fr/search?query=",Table1[[#This Row],[Bauhaus]])</f>
        <v>https://www.bauhaus.ch/fr/search?query=</v>
      </c>
      <c r="AK381" s="59"/>
      <c r="AL381" s="59"/>
      <c r="AM381" s="61" t="str">
        <f>IF(Table1[[#This Row],[BricoEtLoisirs]]="","", HYPERLINK(Table1[[#This Row],[Destination - BricoEtLoisirs]],_xlfn.CONCAT("Link (",Table1[[#This Row],[BricoEtLoisirs]],")")))</f>
        <v/>
      </c>
      <c r="AN381" s="62" t="str">
        <f>_xlfn.CONCAT("https://bricoetloisirs.ch/p/",Table1[[#This Row],[BricoEtLoisirs]])</f>
        <v>https://bricoetloisirs.ch/p/</v>
      </c>
      <c r="AO381" s="57"/>
      <c r="AP381" s="59"/>
      <c r="AQ381" s="61" t="str">
        <f>IF(Table1[[#This Row],[Aliexpress]]="","", HYPERLINK(Table1[[#This Row],[Destination - Aliexpress]],_xlfn.CONCAT("Link (",Table1[[#This Row],[Aliexpress]],")")))</f>
        <v/>
      </c>
      <c r="AR381" s="62" t="str">
        <f>_xlfn.CONCAT("https://www.aliexpress.com/item/",Table1[[#This Row],[Aliexpress]],".html")</f>
        <v>https://www.aliexpress.com/item/.html</v>
      </c>
      <c r="AS381" s="57"/>
      <c r="AT381" s="59"/>
      <c r="AU381" s="61" t="str">
        <f>IF(Table1[[#This Row],[Banggood]]="","", HYPERLINK(Table1[[#This Row],[Destination - Banggood]],_xlfn.CONCAT("Link (",Table1[[#This Row],[Banggood]],")")))</f>
        <v/>
      </c>
      <c r="AV381" s="62" t="str">
        <f>_xlfn.CONCAT("https://www.banggood.com/search/",Table1[[#This Row],[Banggood]],".html")</f>
        <v>https://www.banggood.com/search/.html</v>
      </c>
      <c r="AW381" s="59" t="str">
        <f>IF(Table1[[#This Row],[Other]]&lt;&gt;"","Other","")</f>
        <v/>
      </c>
      <c r="AX381" s="57"/>
      <c r="AY381" s="59"/>
      <c r="AZ381" s="61" t="str">
        <f>IF(Table1[[#This Row],[Other]]="","",IF(Table1[[#This Row],[Destination - Other]]="","",HYPERLINK(Table1[[#This Row],[Destination - Other]],_xlfn.CONCAT("Link ("&amp;Table1[[#This Row],[Other]]&amp;")"))))</f>
        <v/>
      </c>
      <c r="BA381" s="59"/>
      <c r="BB381" s="58" t="str">
        <f>IF(AND( Table1[[#This Row],[Auto Order]]=1,Table1[[#This Row],[Obsolete]]=""),IF(Table1[[#This Row],[In stock]]&lt;Table1[[#This Row],[Min in stock]],1,""),"")</f>
        <v/>
      </c>
      <c r="BC381" s="64"/>
      <c r="BD381" s="66" t="str">
        <f>IF(Table1[[#This Row],[Obsolete]],Table1[[#This Row],[Art. Number]],"")</f>
        <v/>
      </c>
    </row>
    <row r="382" spans="1:56" x14ac:dyDescent="0.25">
      <c r="A382" s="65" t="s">
        <v>2232</v>
      </c>
      <c r="B382" s="57" t="s">
        <v>313</v>
      </c>
      <c r="C382" s="57" t="s">
        <v>97</v>
      </c>
      <c r="D382" s="57" t="s">
        <v>2233</v>
      </c>
      <c r="E382" s="57" t="s">
        <v>2212</v>
      </c>
      <c r="F382" s="58">
        <v>1</v>
      </c>
      <c r="G382" s="58"/>
      <c r="H382" s="58"/>
      <c r="I38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T0054444099N-ND</v>
      </c>
      <c r="J38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5.05</v>
      </c>
      <c r="K38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(T0054444099N-ND)</v>
      </c>
      <c r="M382" s="57" t="s">
        <v>2234</v>
      </c>
      <c r="N382" s="59">
        <v>5.05</v>
      </c>
      <c r="O382" s="61" t="str">
        <f>IF(Table1[[#This Row],[Digikey]]="","", HYPERLINK(Table1[[#This Row],[Destination - Digikey]],_xlfn.CONCAT("Link (",Table1[[#This Row],[Digikey]],")")))</f>
        <v>Link (T0054444099N-ND)</v>
      </c>
      <c r="P382" s="62" t="str">
        <f>_xlfn.CONCAT("https://www.digikey.ch/products/en?keywords=",Table1[[#This Row],[Digikey]])</f>
        <v>https://www.digikey.ch/products/en?keywords=T0054444099N-ND</v>
      </c>
      <c r="Q382" s="57"/>
      <c r="R382" s="59"/>
      <c r="S382" s="61" t="str">
        <f>IF(Table1[[#This Row],[Farnell]]="","", HYPERLINK(Table1[[#This Row],[Destination - Farnell]],_xlfn.CONCAT("Link (",Table1[[#This Row],[Farnell]],")")))</f>
        <v/>
      </c>
      <c r="T382" s="62" t="str">
        <f>_xlfn.CONCAT("https://ch.farnell.com/fr-CH/",Table1[[#This Row],[Farnell]])</f>
        <v>https://ch.farnell.com/fr-CH/</v>
      </c>
      <c r="U382" s="57"/>
      <c r="V382" s="59"/>
      <c r="W382" s="61" t="str">
        <f>IF(Table1[[#This Row],[Distrelec]]="","", HYPERLINK(Table1[[#This Row],[Destination - Distrelec]],_xlfn.CONCAT("Link (",Table1[[#This Row],[Distrelec]],")")))</f>
        <v/>
      </c>
      <c r="X382" s="62" t="str">
        <f>_xlfn.CONCAT("https://www.distrelec.ch/search?q=",Table1[[#This Row],[Distrelec]])</f>
        <v>https://www.distrelec.ch/search?q=</v>
      </c>
      <c r="Y382" s="57"/>
      <c r="Z382" s="59"/>
      <c r="AA382" s="61" t="str">
        <f>IF(Table1[[#This Row],[Conrad]]="","", HYPERLINK(Table1[[#This Row],[Destination - Conrad]],_xlfn.CONCAT("Link (",Table1[[#This Row],[Conrad]],")")))</f>
        <v/>
      </c>
      <c r="AB382" s="62"/>
      <c r="AC382" s="57"/>
      <c r="AD382" s="59"/>
      <c r="AE382" s="61" t="str">
        <f>IF(Table1[[#This Row],[Mouser]]="","", HYPERLINK(Table1[[#This Row],[Destination - Mouser]],_xlfn.CONCAT("Link (",Table1[[#This Row],[Mouser]],")")))</f>
        <v/>
      </c>
      <c r="AF382" s="62" t="str">
        <f>_xlfn.CONCAT("https://www.mouser.ch/ProductDetail/",Table1[[#This Row],[Mouser]])</f>
        <v>https://www.mouser.ch/ProductDetail/</v>
      </c>
      <c r="AG382" s="57"/>
      <c r="AH382" s="59"/>
      <c r="AI382" s="61" t="str">
        <f>IF(Table1[[#This Row],[Bauhaus]]="","", HYPERLINK(Table1[[#This Row],[Destination - Bauhaus]],_xlfn.CONCAT("Link (",Table1[[#This Row],[Bauhaus]],")")))</f>
        <v/>
      </c>
      <c r="AJ382" s="62" t="str">
        <f>_xlfn.CONCAT("https://www.bauhaus.ch/fr/search?query=",Table1[[#This Row],[Bauhaus]])</f>
        <v>https://www.bauhaus.ch/fr/search?query=</v>
      </c>
      <c r="AK382" s="59"/>
      <c r="AL382" s="59"/>
      <c r="AM382" s="61" t="str">
        <f>IF(Table1[[#This Row],[BricoEtLoisirs]]="","", HYPERLINK(Table1[[#This Row],[Destination - BricoEtLoisirs]],_xlfn.CONCAT("Link (",Table1[[#This Row],[BricoEtLoisirs]],")")))</f>
        <v/>
      </c>
      <c r="AN382" s="62" t="str">
        <f>_xlfn.CONCAT("https://bricoetloisirs.ch/p/",Table1[[#This Row],[BricoEtLoisirs]])</f>
        <v>https://bricoetloisirs.ch/p/</v>
      </c>
      <c r="AO382" s="57"/>
      <c r="AP382" s="59"/>
      <c r="AQ382" s="61" t="str">
        <f>IF(Table1[[#This Row],[Aliexpress]]="","", HYPERLINK(Table1[[#This Row],[Destination - Aliexpress]],_xlfn.CONCAT("Link (",Table1[[#This Row],[Aliexpress]],")")))</f>
        <v/>
      </c>
      <c r="AR382" s="62" t="str">
        <f>_xlfn.CONCAT("https://www.aliexpress.com/item/",Table1[[#This Row],[Aliexpress]],".html")</f>
        <v>https://www.aliexpress.com/item/.html</v>
      </c>
      <c r="AS382" s="57"/>
      <c r="AT382" s="59"/>
      <c r="AU382" s="61" t="str">
        <f>IF(Table1[[#This Row],[Banggood]]="","", HYPERLINK(Table1[[#This Row],[Destination - Banggood]],_xlfn.CONCAT("Link (",Table1[[#This Row],[Banggood]],")")))</f>
        <v/>
      </c>
      <c r="AV382" s="62" t="str">
        <f>_xlfn.CONCAT("https://www.banggood.com/search/",Table1[[#This Row],[Banggood]],".html")</f>
        <v>https://www.banggood.com/search/.html</v>
      </c>
      <c r="AW382" s="59" t="str">
        <f>IF(Table1[[#This Row],[Other]]&lt;&gt;"","Other","")</f>
        <v/>
      </c>
      <c r="AX382" s="57"/>
      <c r="AY382" s="59"/>
      <c r="AZ382" s="61" t="str">
        <f>IF(Table1[[#This Row],[Other]]="","",IF(Table1[[#This Row],[Destination - Other]]="","",HYPERLINK(Table1[[#This Row],[Destination - Other]],_xlfn.CONCAT("Link ("&amp;Table1[[#This Row],[Other]]&amp;")"))))</f>
        <v/>
      </c>
      <c r="BA382" s="59"/>
      <c r="BB382" s="58" t="str">
        <f>IF(AND( Table1[[#This Row],[Auto Order]]=1,Table1[[#This Row],[Obsolete]]=""),IF(Table1[[#This Row],[In stock]]&lt;Table1[[#This Row],[Min in stock]],1,""),"")</f>
        <v/>
      </c>
      <c r="BC382" s="64"/>
      <c r="BD382" s="66" t="str">
        <f>IF(Table1[[#This Row],[Obsolete]],Table1[[#This Row],[Art. Number]],"")</f>
        <v/>
      </c>
    </row>
    <row r="383" spans="1:56" x14ac:dyDescent="0.25">
      <c r="A383" s="65" t="s">
        <v>232</v>
      </c>
      <c r="B383" s="57" t="s">
        <v>449</v>
      </c>
      <c r="C383" s="57" t="s">
        <v>450</v>
      </c>
      <c r="D383" s="57" t="s">
        <v>2453</v>
      </c>
      <c r="E383" s="57" t="s">
        <v>475</v>
      </c>
      <c r="F383" s="58">
        <v>6</v>
      </c>
      <c r="G383" s="58"/>
      <c r="H383" s="58"/>
      <c r="I38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36-25521-ND</v>
      </c>
      <c r="J38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0.47</v>
      </c>
      <c r="K38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(36-25521-ND)</v>
      </c>
      <c r="M383" s="57" t="s">
        <v>476</v>
      </c>
      <c r="N383" s="59">
        <v>0.47</v>
      </c>
      <c r="O383" s="61" t="str">
        <f>IF(Table1[[#This Row],[Digikey]]="","", HYPERLINK(Table1[[#This Row],[Destination - Digikey]],_xlfn.CONCAT("Link (",Table1[[#This Row],[Digikey]],")")))</f>
        <v>Link (36-25521-ND)</v>
      </c>
      <c r="P383" s="62" t="str">
        <f>_xlfn.CONCAT("https://www.digikey.ch/products/en?keywords=",Table1[[#This Row],[Digikey]])</f>
        <v>https://www.digikey.ch/products/en?keywords=36-25521-ND</v>
      </c>
      <c r="Q383" s="57"/>
      <c r="R383" s="59"/>
      <c r="S383" s="61" t="str">
        <f>IF(Table1[[#This Row],[Farnell]]="","", HYPERLINK(Table1[[#This Row],[Destination - Farnell]],_xlfn.CONCAT("Link (",Table1[[#This Row],[Farnell]],")")))</f>
        <v/>
      </c>
      <c r="T383" s="62" t="str">
        <f>_xlfn.CONCAT("https://ch.farnell.com/fr-CH/",Table1[[#This Row],[Farnell]])</f>
        <v>https://ch.farnell.com/fr-CH/</v>
      </c>
      <c r="U383" s="57"/>
      <c r="V383" s="59"/>
      <c r="W383" s="61" t="str">
        <f>IF(Table1[[#This Row],[Distrelec]]="","", HYPERLINK(Table1[[#This Row],[Destination - Distrelec]],_xlfn.CONCAT("Link (",Table1[[#This Row],[Distrelec]],")")))</f>
        <v/>
      </c>
      <c r="X383" s="62" t="str">
        <f>_xlfn.CONCAT("https://www.distrelec.ch/search?q=",Table1[[#This Row],[Distrelec]])</f>
        <v>https://www.distrelec.ch/search?q=</v>
      </c>
      <c r="Y383" s="57"/>
      <c r="Z383" s="59"/>
      <c r="AA383" s="61" t="str">
        <f>IF(Table1[[#This Row],[Conrad]]="","", HYPERLINK(Table1[[#This Row],[Destination - Conrad]],_xlfn.CONCAT("Link (",Table1[[#This Row],[Conrad]],")")))</f>
        <v/>
      </c>
      <c r="AB383" s="62"/>
      <c r="AC383" s="57"/>
      <c r="AD383" s="59"/>
      <c r="AE383" s="61" t="str">
        <f>IF(Table1[[#This Row],[Mouser]]="","", HYPERLINK(Table1[[#This Row],[Destination - Mouser]],_xlfn.CONCAT("Link (",Table1[[#This Row],[Mouser]],")")))</f>
        <v/>
      </c>
      <c r="AF383" s="62" t="str">
        <f>_xlfn.CONCAT("https://www.mouser.ch/ProductDetail/",Table1[[#This Row],[Mouser]])</f>
        <v>https://www.mouser.ch/ProductDetail/</v>
      </c>
      <c r="AG383" s="57"/>
      <c r="AH383" s="59"/>
      <c r="AI383" s="61" t="str">
        <f>IF(Table1[[#This Row],[Bauhaus]]="","", HYPERLINK(Table1[[#This Row],[Destination - Bauhaus]],_xlfn.CONCAT("Link (",Table1[[#This Row],[Bauhaus]],")")))</f>
        <v/>
      </c>
      <c r="AJ383" s="62" t="str">
        <f>_xlfn.CONCAT("https://www.bauhaus.ch/fr/search?query=",Table1[[#This Row],[Bauhaus]])</f>
        <v>https://www.bauhaus.ch/fr/search?query=</v>
      </c>
      <c r="AK383" s="59"/>
      <c r="AL383" s="59"/>
      <c r="AM383" s="61" t="str">
        <f>IF(Table1[[#This Row],[BricoEtLoisirs]]="","", HYPERLINK(Table1[[#This Row],[Destination - BricoEtLoisirs]],_xlfn.CONCAT("Link (",Table1[[#This Row],[BricoEtLoisirs]],")")))</f>
        <v/>
      </c>
      <c r="AN383" s="62" t="str">
        <f>_xlfn.CONCAT("https://bricoetloisirs.ch/p/",Table1[[#This Row],[BricoEtLoisirs]])</f>
        <v>https://bricoetloisirs.ch/p/</v>
      </c>
      <c r="AO383" s="57"/>
      <c r="AP383" s="59"/>
      <c r="AQ383" s="61" t="str">
        <f>IF(Table1[[#This Row],[Aliexpress]]="","", HYPERLINK(Table1[[#This Row],[Destination - Aliexpress]],_xlfn.CONCAT("Link (",Table1[[#This Row],[Aliexpress]],")")))</f>
        <v/>
      </c>
      <c r="AR383" s="62" t="str">
        <f>_xlfn.CONCAT("https://www.aliexpress.com/item/",Table1[[#This Row],[Aliexpress]],".html")</f>
        <v>https://www.aliexpress.com/item/.html</v>
      </c>
      <c r="AS383" s="57"/>
      <c r="AT383" s="59"/>
      <c r="AU383" s="61" t="str">
        <f>IF(Table1[[#This Row],[Banggood]]="","", HYPERLINK(Table1[[#This Row],[Destination - Banggood]],_xlfn.CONCAT("Link (",Table1[[#This Row],[Banggood]],")")))</f>
        <v/>
      </c>
      <c r="AV383" s="62" t="str">
        <f>_xlfn.CONCAT("https://www.banggood.com/search/",Table1[[#This Row],[Banggood]],".html")</f>
        <v>https://www.banggood.com/search/.html</v>
      </c>
      <c r="AW383" s="59" t="str">
        <f>IF(Table1[[#This Row],[Other]]&lt;&gt;"","Other","")</f>
        <v/>
      </c>
      <c r="AX383" s="57"/>
      <c r="AY383" s="59"/>
      <c r="AZ383" s="61" t="str">
        <f>IF(Table1[[#This Row],[Other]]="","",IF(Table1[[#This Row],[Destination - Other]]="","",HYPERLINK(Table1[[#This Row],[Destination - Other]],_xlfn.CONCAT("Link ("&amp;Table1[[#This Row],[Other]]&amp;")"))))</f>
        <v/>
      </c>
      <c r="BA383" s="59"/>
      <c r="BB383" s="58" t="str">
        <f>IF(AND( Table1[[#This Row],[Auto Order]]=1,Table1[[#This Row],[Obsolete]]=""),IF(Table1[[#This Row],[In stock]]&lt;Table1[[#This Row],[Min in stock]],1,""),"")</f>
        <v/>
      </c>
      <c r="BC383" s="64"/>
      <c r="BD383" s="66" t="str">
        <f>IF(Table1[[#This Row],[Obsolete]],Table1[[#This Row],[Art. Number]],"")</f>
        <v/>
      </c>
    </row>
    <row r="384" spans="1:56" x14ac:dyDescent="0.25">
      <c r="A384" s="65" t="s">
        <v>2238</v>
      </c>
      <c r="B384" s="57" t="s">
        <v>352</v>
      </c>
      <c r="C384" s="57" t="s">
        <v>97</v>
      </c>
      <c r="D384" s="57" t="s">
        <v>2239</v>
      </c>
      <c r="E384" s="57" t="s">
        <v>2240</v>
      </c>
      <c r="F384" s="58">
        <v>19</v>
      </c>
      <c r="G384" s="58">
        <v>2</v>
      </c>
      <c r="H384" s="58">
        <v>1</v>
      </c>
      <c r="I38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A120350-ND</v>
      </c>
      <c r="J38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0.28000000000000003</v>
      </c>
      <c r="K38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(A120350-ND)</v>
      </c>
      <c r="M384" s="57" t="s">
        <v>2241</v>
      </c>
      <c r="N384" s="59">
        <v>0.28000000000000003</v>
      </c>
      <c r="O384" s="61" t="str">
        <f>IF(Table1[[#This Row],[Digikey]]="","", HYPERLINK(Table1[[#This Row],[Destination - Digikey]],_xlfn.CONCAT("Link (",Table1[[#This Row],[Digikey]],")")))</f>
        <v>Link (A120350-ND)</v>
      </c>
      <c r="P384" s="62" t="str">
        <f>_xlfn.CONCAT("https://www.digikey.ch/products/en?keywords=",Table1[[#This Row],[Digikey]])</f>
        <v>https://www.digikey.ch/products/en?keywords=A120350-ND</v>
      </c>
      <c r="Q384" s="57"/>
      <c r="R384" s="59"/>
      <c r="S384" s="61" t="str">
        <f>IF(Table1[[#This Row],[Farnell]]="","", HYPERLINK(Table1[[#This Row],[Destination - Farnell]],_xlfn.CONCAT("Link (",Table1[[#This Row],[Farnell]],")")))</f>
        <v/>
      </c>
      <c r="T384" s="62" t="str">
        <f>_xlfn.CONCAT("https://ch.farnell.com/fr-CH/",Table1[[#This Row],[Farnell]])</f>
        <v>https://ch.farnell.com/fr-CH/</v>
      </c>
      <c r="U384" s="57"/>
      <c r="V384" s="59"/>
      <c r="W384" s="61" t="str">
        <f>IF(Table1[[#This Row],[Distrelec]]="","", HYPERLINK(Table1[[#This Row],[Destination - Distrelec]],_xlfn.CONCAT("Link (",Table1[[#This Row],[Distrelec]],")")))</f>
        <v/>
      </c>
      <c r="X384" s="62" t="str">
        <f>_xlfn.CONCAT("https://www.distrelec.ch/search?q=",Table1[[#This Row],[Distrelec]])</f>
        <v>https://www.distrelec.ch/search?q=</v>
      </c>
      <c r="Y384" s="57"/>
      <c r="Z384" s="59"/>
      <c r="AA384" s="61" t="str">
        <f>IF(Table1[[#This Row],[Conrad]]="","", HYPERLINK(Table1[[#This Row],[Destination - Conrad]],_xlfn.CONCAT("Link (",Table1[[#This Row],[Conrad]],")")))</f>
        <v/>
      </c>
      <c r="AB384" s="62"/>
      <c r="AC384" s="57"/>
      <c r="AD384" s="59"/>
      <c r="AE384" s="61" t="str">
        <f>IF(Table1[[#This Row],[Mouser]]="","", HYPERLINK(Table1[[#This Row],[Destination - Mouser]],_xlfn.CONCAT("Link (",Table1[[#This Row],[Mouser]],")")))</f>
        <v/>
      </c>
      <c r="AF384" s="62" t="str">
        <f>_xlfn.CONCAT("https://www.mouser.ch/ProductDetail/",Table1[[#This Row],[Mouser]])</f>
        <v>https://www.mouser.ch/ProductDetail/</v>
      </c>
      <c r="AG384" s="57"/>
      <c r="AH384" s="59"/>
      <c r="AI384" s="61" t="str">
        <f>IF(Table1[[#This Row],[Bauhaus]]="","", HYPERLINK(Table1[[#This Row],[Destination - Bauhaus]],_xlfn.CONCAT("Link (",Table1[[#This Row],[Bauhaus]],")")))</f>
        <v/>
      </c>
      <c r="AJ384" s="62" t="str">
        <f>_xlfn.CONCAT("https://www.bauhaus.ch/fr/search?query=",Table1[[#This Row],[Bauhaus]])</f>
        <v>https://www.bauhaus.ch/fr/search?query=</v>
      </c>
      <c r="AK384" s="59"/>
      <c r="AL384" s="59"/>
      <c r="AM384" s="61" t="str">
        <f>IF(Table1[[#This Row],[BricoEtLoisirs]]="","", HYPERLINK(Table1[[#This Row],[Destination - BricoEtLoisirs]],_xlfn.CONCAT("Link (",Table1[[#This Row],[BricoEtLoisirs]],")")))</f>
        <v/>
      </c>
      <c r="AN384" s="62" t="str">
        <f>_xlfn.CONCAT("https://bricoetloisirs.ch/p/",Table1[[#This Row],[BricoEtLoisirs]])</f>
        <v>https://bricoetloisirs.ch/p/</v>
      </c>
      <c r="AO384" s="57"/>
      <c r="AP384" s="59"/>
      <c r="AQ384" s="61" t="str">
        <f>IF(Table1[[#This Row],[Aliexpress]]="","", HYPERLINK(Table1[[#This Row],[Destination - Aliexpress]],_xlfn.CONCAT("Link (",Table1[[#This Row],[Aliexpress]],")")))</f>
        <v/>
      </c>
      <c r="AR384" s="62" t="str">
        <f>_xlfn.CONCAT("https://www.aliexpress.com/item/",Table1[[#This Row],[Aliexpress]],".html")</f>
        <v>https://www.aliexpress.com/item/.html</v>
      </c>
      <c r="AS384" s="57"/>
      <c r="AT384" s="59"/>
      <c r="AU384" s="61" t="str">
        <f>IF(Table1[[#This Row],[Banggood]]="","", HYPERLINK(Table1[[#This Row],[Destination - Banggood]],_xlfn.CONCAT("Link (",Table1[[#This Row],[Banggood]],")")))</f>
        <v/>
      </c>
      <c r="AV384" s="62" t="str">
        <f>_xlfn.CONCAT("https://www.banggood.com/search/",Table1[[#This Row],[Banggood]],".html")</f>
        <v>https://www.banggood.com/search/.html</v>
      </c>
      <c r="AW384" s="59" t="str">
        <f>IF(Table1[[#This Row],[Other]]&lt;&gt;"","Other","")</f>
        <v/>
      </c>
      <c r="AX384" s="57"/>
      <c r="AY384" s="59"/>
      <c r="AZ384" s="61" t="str">
        <f>IF(Table1[[#This Row],[Other]]="","",IF(Table1[[#This Row],[Destination - Other]]="","",HYPERLINK(Table1[[#This Row],[Destination - Other]],_xlfn.CONCAT("Link ("&amp;Table1[[#This Row],[Other]]&amp;")"))))</f>
        <v/>
      </c>
      <c r="BA384" s="59"/>
      <c r="BB384" s="58" t="str">
        <f>IF(AND( Table1[[#This Row],[Auto Order]]=1,Table1[[#This Row],[Obsolete]]=""),IF(Table1[[#This Row],[In stock]]&lt;Table1[[#This Row],[Min in stock]],1,""),"")</f>
        <v/>
      </c>
      <c r="BC384" s="64"/>
      <c r="BD384" s="66" t="str">
        <f>IF(Table1[[#This Row],[Obsolete]],Table1[[#This Row],[Art. Number]],"")</f>
        <v/>
      </c>
    </row>
    <row r="385" spans="1:56" x14ac:dyDescent="0.25">
      <c r="A385" s="65" t="s">
        <v>2244</v>
      </c>
      <c r="B385" s="57" t="s">
        <v>717</v>
      </c>
      <c r="C385" s="57" t="s">
        <v>97</v>
      </c>
      <c r="D385" s="57" t="s">
        <v>2245</v>
      </c>
      <c r="E385" s="57" t="s">
        <v>2240</v>
      </c>
      <c r="F385" s="58">
        <v>10</v>
      </c>
      <c r="G385" s="58">
        <v>2</v>
      </c>
      <c r="H385" s="58">
        <v>1</v>
      </c>
      <c r="I38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3M5475-ND</v>
      </c>
      <c r="J38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0.61</v>
      </c>
      <c r="K38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(3M5475-ND)</v>
      </c>
      <c r="M385" s="57" t="s">
        <v>2246</v>
      </c>
      <c r="N385" s="59">
        <v>0.61</v>
      </c>
      <c r="O385" s="61" t="str">
        <f>IF(Table1[[#This Row],[Digikey]]="","", HYPERLINK(Table1[[#This Row],[Destination - Digikey]],_xlfn.CONCAT("Link (",Table1[[#This Row],[Digikey]],")")))</f>
        <v>Link (3M5475-ND)</v>
      </c>
      <c r="P385" s="62" t="str">
        <f>_xlfn.CONCAT("https://www.digikey.ch/products/en?keywords=",Table1[[#This Row],[Digikey]])</f>
        <v>https://www.digikey.ch/products/en?keywords=3M5475-ND</v>
      </c>
      <c r="Q385" s="57"/>
      <c r="R385" s="59"/>
      <c r="S385" s="61" t="str">
        <f>IF(Table1[[#This Row],[Farnell]]="","", HYPERLINK(Table1[[#This Row],[Destination - Farnell]],_xlfn.CONCAT("Link (",Table1[[#This Row],[Farnell]],")")))</f>
        <v/>
      </c>
      <c r="T385" s="62" t="str">
        <f>_xlfn.CONCAT("https://ch.farnell.com/fr-CH/",Table1[[#This Row],[Farnell]])</f>
        <v>https://ch.farnell.com/fr-CH/</v>
      </c>
      <c r="U385" s="57"/>
      <c r="V385" s="59"/>
      <c r="W385" s="61" t="str">
        <f>IF(Table1[[#This Row],[Distrelec]]="","", HYPERLINK(Table1[[#This Row],[Destination - Distrelec]],_xlfn.CONCAT("Link (",Table1[[#This Row],[Distrelec]],")")))</f>
        <v/>
      </c>
      <c r="X385" s="62" t="str">
        <f>_xlfn.CONCAT("https://www.distrelec.ch/search?q=",Table1[[#This Row],[Distrelec]])</f>
        <v>https://www.distrelec.ch/search?q=</v>
      </c>
      <c r="Y385" s="57"/>
      <c r="Z385" s="59"/>
      <c r="AA385" s="61" t="str">
        <f>IF(Table1[[#This Row],[Conrad]]="","", HYPERLINK(Table1[[#This Row],[Destination - Conrad]],_xlfn.CONCAT("Link (",Table1[[#This Row],[Conrad]],")")))</f>
        <v/>
      </c>
      <c r="AB385" s="62"/>
      <c r="AC385" s="57"/>
      <c r="AD385" s="59"/>
      <c r="AE385" s="61" t="str">
        <f>IF(Table1[[#This Row],[Mouser]]="","", HYPERLINK(Table1[[#This Row],[Destination - Mouser]],_xlfn.CONCAT("Link (",Table1[[#This Row],[Mouser]],")")))</f>
        <v/>
      </c>
      <c r="AF385" s="62" t="str">
        <f>_xlfn.CONCAT("https://www.mouser.ch/ProductDetail/",Table1[[#This Row],[Mouser]])</f>
        <v>https://www.mouser.ch/ProductDetail/</v>
      </c>
      <c r="AG385" s="57"/>
      <c r="AH385" s="59"/>
      <c r="AI385" s="61" t="str">
        <f>IF(Table1[[#This Row],[Bauhaus]]="","", HYPERLINK(Table1[[#This Row],[Destination - Bauhaus]],_xlfn.CONCAT("Link (",Table1[[#This Row],[Bauhaus]],")")))</f>
        <v/>
      </c>
      <c r="AJ385" s="62" t="str">
        <f>_xlfn.CONCAT("https://www.bauhaus.ch/fr/search?query=",Table1[[#This Row],[Bauhaus]])</f>
        <v>https://www.bauhaus.ch/fr/search?query=</v>
      </c>
      <c r="AK385" s="59"/>
      <c r="AL385" s="59"/>
      <c r="AM385" s="61" t="str">
        <f>IF(Table1[[#This Row],[BricoEtLoisirs]]="","", HYPERLINK(Table1[[#This Row],[Destination - BricoEtLoisirs]],_xlfn.CONCAT("Link (",Table1[[#This Row],[BricoEtLoisirs]],")")))</f>
        <v/>
      </c>
      <c r="AN385" s="62" t="str">
        <f>_xlfn.CONCAT("https://bricoetloisirs.ch/p/",Table1[[#This Row],[BricoEtLoisirs]])</f>
        <v>https://bricoetloisirs.ch/p/</v>
      </c>
      <c r="AO385" s="57"/>
      <c r="AP385" s="59"/>
      <c r="AQ385" s="61" t="str">
        <f>IF(Table1[[#This Row],[Aliexpress]]="","", HYPERLINK(Table1[[#This Row],[Destination - Aliexpress]],_xlfn.CONCAT("Link (",Table1[[#This Row],[Aliexpress]],")")))</f>
        <v/>
      </c>
      <c r="AR385" s="62" t="str">
        <f>_xlfn.CONCAT("https://www.aliexpress.com/item/",Table1[[#This Row],[Aliexpress]],".html")</f>
        <v>https://www.aliexpress.com/item/.html</v>
      </c>
      <c r="AS385" s="57"/>
      <c r="AT385" s="59"/>
      <c r="AU385" s="61" t="str">
        <f>IF(Table1[[#This Row],[Banggood]]="","", HYPERLINK(Table1[[#This Row],[Destination - Banggood]],_xlfn.CONCAT("Link (",Table1[[#This Row],[Banggood]],")")))</f>
        <v/>
      </c>
      <c r="AV385" s="62" t="str">
        <f>_xlfn.CONCAT("https://www.banggood.com/search/",Table1[[#This Row],[Banggood]],".html")</f>
        <v>https://www.banggood.com/search/.html</v>
      </c>
      <c r="AW385" s="59" t="str">
        <f>IF(Table1[[#This Row],[Other]]&lt;&gt;"","Other","")</f>
        <v/>
      </c>
      <c r="AX385" s="57"/>
      <c r="AY385" s="59"/>
      <c r="AZ385" s="61" t="str">
        <f>IF(Table1[[#This Row],[Other]]="","",IF(Table1[[#This Row],[Destination - Other]]="","",HYPERLINK(Table1[[#This Row],[Destination - Other]],_xlfn.CONCAT("Link ("&amp;Table1[[#This Row],[Other]]&amp;")"))))</f>
        <v/>
      </c>
      <c r="BA385" s="59"/>
      <c r="BB385" s="58" t="str">
        <f>IF(AND( Table1[[#This Row],[Auto Order]]=1,Table1[[#This Row],[Obsolete]]=""),IF(Table1[[#This Row],[In stock]]&lt;Table1[[#This Row],[Min in stock]],1,""),"")</f>
        <v/>
      </c>
      <c r="BC385" s="64"/>
      <c r="BD385" s="66" t="str">
        <f>IF(Table1[[#This Row],[Obsolete]],Table1[[#This Row],[Art. Number]],"")</f>
        <v/>
      </c>
    </row>
    <row r="386" spans="1:56" x14ac:dyDescent="0.25">
      <c r="A386" s="65" t="s">
        <v>2249</v>
      </c>
      <c r="B386" s="57" t="s">
        <v>300</v>
      </c>
      <c r="C386" s="57" t="s">
        <v>97</v>
      </c>
      <c r="D386" s="57" t="s">
        <v>2250</v>
      </c>
      <c r="E386" s="57" t="s">
        <v>2240</v>
      </c>
      <c r="F386" s="58">
        <v>15</v>
      </c>
      <c r="G386" s="58">
        <v>2</v>
      </c>
      <c r="H386" s="58">
        <v>1</v>
      </c>
      <c r="I38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2678574</v>
      </c>
      <c r="J38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0.26500000000000001</v>
      </c>
      <c r="K38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Farnell</v>
      </c>
      <c r="L38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(2678574)</v>
      </c>
      <c r="M386" s="57"/>
      <c r="N386" s="59"/>
      <c r="O386" s="61" t="str">
        <f>IF(Table1[[#This Row],[Digikey]]="","", HYPERLINK(Table1[[#This Row],[Destination - Digikey]],_xlfn.CONCAT("Link (",Table1[[#This Row],[Digikey]],")")))</f>
        <v/>
      </c>
      <c r="P386" s="62" t="str">
        <f>_xlfn.CONCAT("https://www.digikey.ch/products/en?keywords=",Table1[[#This Row],[Digikey]])</f>
        <v>https://www.digikey.ch/products/en?keywords=</v>
      </c>
      <c r="Q386" s="57" t="s">
        <v>2430</v>
      </c>
      <c r="R386" s="59">
        <v>0.26500000000000001</v>
      </c>
      <c r="S386" s="61" t="str">
        <f>IF(Table1[[#This Row],[Farnell]]="","", HYPERLINK(Table1[[#This Row],[Destination - Farnell]],_xlfn.CONCAT("Link (",Table1[[#This Row],[Farnell]],")")))</f>
        <v>Link (2678574)</v>
      </c>
      <c r="T386" s="62" t="str">
        <f>_xlfn.CONCAT("https://ch.farnell.com/fr-CH/",Table1[[#This Row],[Farnell]])</f>
        <v>https://ch.farnell.com/fr-CH/2678574</v>
      </c>
      <c r="U386" s="57"/>
      <c r="V386" s="59"/>
      <c r="W386" s="61" t="str">
        <f>IF(Table1[[#This Row],[Distrelec]]="","", HYPERLINK(Table1[[#This Row],[Destination - Distrelec]],_xlfn.CONCAT("Link (",Table1[[#This Row],[Distrelec]],")")))</f>
        <v/>
      </c>
      <c r="X386" s="62" t="str">
        <f>_xlfn.CONCAT("https://www.distrelec.ch/search?q=",Table1[[#This Row],[Distrelec]])</f>
        <v>https://www.distrelec.ch/search?q=</v>
      </c>
      <c r="Y386" s="57"/>
      <c r="Z386" s="59"/>
      <c r="AA386" s="61" t="str">
        <f>IF(Table1[[#This Row],[Conrad]]="","", HYPERLINK(Table1[[#This Row],[Destination - Conrad]],_xlfn.CONCAT("Link (",Table1[[#This Row],[Conrad]],")")))</f>
        <v/>
      </c>
      <c r="AB386" s="62"/>
      <c r="AC386" s="57"/>
      <c r="AD386" s="59"/>
      <c r="AE386" s="61" t="str">
        <f>IF(Table1[[#This Row],[Mouser]]="","", HYPERLINK(Table1[[#This Row],[Destination - Mouser]],_xlfn.CONCAT("Link (",Table1[[#This Row],[Mouser]],")")))</f>
        <v/>
      </c>
      <c r="AF386" s="62" t="str">
        <f>_xlfn.CONCAT("https://www.mouser.ch/ProductDetail/",Table1[[#This Row],[Mouser]])</f>
        <v>https://www.mouser.ch/ProductDetail/</v>
      </c>
      <c r="AG386" s="57"/>
      <c r="AH386" s="59"/>
      <c r="AI386" s="61" t="str">
        <f>IF(Table1[[#This Row],[Bauhaus]]="","", HYPERLINK(Table1[[#This Row],[Destination - Bauhaus]],_xlfn.CONCAT("Link (",Table1[[#This Row],[Bauhaus]],")")))</f>
        <v/>
      </c>
      <c r="AJ386" s="62" t="str">
        <f>_xlfn.CONCAT("https://www.bauhaus.ch/fr/search?query=",Table1[[#This Row],[Bauhaus]])</f>
        <v>https://www.bauhaus.ch/fr/search?query=</v>
      </c>
      <c r="AK386" s="59"/>
      <c r="AL386" s="59"/>
      <c r="AM386" s="61" t="str">
        <f>IF(Table1[[#This Row],[BricoEtLoisirs]]="","", HYPERLINK(Table1[[#This Row],[Destination - BricoEtLoisirs]],_xlfn.CONCAT("Link (",Table1[[#This Row],[BricoEtLoisirs]],")")))</f>
        <v/>
      </c>
      <c r="AN386" s="62" t="str">
        <f>_xlfn.CONCAT("https://bricoetloisirs.ch/p/",Table1[[#This Row],[BricoEtLoisirs]])</f>
        <v>https://bricoetloisirs.ch/p/</v>
      </c>
      <c r="AO386" s="57"/>
      <c r="AP386" s="59"/>
      <c r="AQ386" s="61" t="str">
        <f>IF(Table1[[#This Row],[Aliexpress]]="","", HYPERLINK(Table1[[#This Row],[Destination - Aliexpress]],_xlfn.CONCAT("Link (",Table1[[#This Row],[Aliexpress]],")")))</f>
        <v/>
      </c>
      <c r="AR386" s="62" t="str">
        <f>_xlfn.CONCAT("https://www.aliexpress.com/item/",Table1[[#This Row],[Aliexpress]],".html")</f>
        <v>https://www.aliexpress.com/item/.html</v>
      </c>
      <c r="AS386" s="57"/>
      <c r="AT386" s="59"/>
      <c r="AU386" s="61" t="str">
        <f>IF(Table1[[#This Row],[Banggood]]="","", HYPERLINK(Table1[[#This Row],[Destination - Banggood]],_xlfn.CONCAT("Link (",Table1[[#This Row],[Banggood]],")")))</f>
        <v/>
      </c>
      <c r="AV386" s="62" t="str">
        <f>_xlfn.CONCAT("https://www.banggood.com/search/",Table1[[#This Row],[Banggood]],".html")</f>
        <v>https://www.banggood.com/search/.html</v>
      </c>
      <c r="AW386" s="59" t="str">
        <f>IF(Table1[[#This Row],[Other]]&lt;&gt;"","Other","")</f>
        <v/>
      </c>
      <c r="AX386" s="57"/>
      <c r="AY386" s="59"/>
      <c r="AZ386" s="61" t="str">
        <f>IF(Table1[[#This Row],[Other]]="","",IF(Table1[[#This Row],[Destination - Other]]="","",HYPERLINK(Table1[[#This Row],[Destination - Other]],_xlfn.CONCAT("Link ("&amp;Table1[[#This Row],[Other]]&amp;")"))))</f>
        <v/>
      </c>
      <c r="BA386" s="59"/>
      <c r="BB386" s="58" t="str">
        <f>IF(AND( Table1[[#This Row],[Auto Order]]=1,Table1[[#This Row],[Obsolete]]=""),IF(Table1[[#This Row],[In stock]]&lt;Table1[[#This Row],[Min in stock]],1,""),"")</f>
        <v/>
      </c>
      <c r="BC386" s="64"/>
      <c r="BD386" s="66" t="str">
        <f>IF(Table1[[#This Row],[Obsolete]],Table1[[#This Row],[Art. Number]],"")</f>
        <v/>
      </c>
    </row>
    <row r="387" spans="1:56" x14ac:dyDescent="0.25">
      <c r="A387" s="65" t="s">
        <v>922</v>
      </c>
      <c r="B387" s="57" t="s">
        <v>923</v>
      </c>
      <c r="C387" s="57" t="s">
        <v>924</v>
      </c>
      <c r="D387" s="57" t="s">
        <v>925</v>
      </c>
      <c r="E387" s="57" t="s">
        <v>926</v>
      </c>
      <c r="F387" s="58">
        <v>4</v>
      </c>
      <c r="G387" s="58">
        <v>2</v>
      </c>
      <c r="H387" s="58">
        <v>1</v>
      </c>
      <c r="I38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1-1825059-3-ND</v>
      </c>
      <c r="J38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0.85</v>
      </c>
      <c r="K38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(1-1825059-3-ND)</v>
      </c>
      <c r="M387" s="57" t="s">
        <v>927</v>
      </c>
      <c r="N387" s="59">
        <v>0.85</v>
      </c>
      <c r="O387" s="61" t="str">
        <f>IF(Table1[[#This Row],[Digikey]]="","", HYPERLINK(Table1[[#This Row],[Destination - Digikey]],_xlfn.CONCAT("Link (",Table1[[#This Row],[Digikey]],")")))</f>
        <v>Link (1-1825059-3-ND)</v>
      </c>
      <c r="P387" s="62" t="str">
        <f>_xlfn.CONCAT("https://www.digikey.ch/products/en?keywords=",Table1[[#This Row],[Digikey]])</f>
        <v>https://www.digikey.ch/products/en?keywords=1-1825059-3-ND</v>
      </c>
      <c r="Q387" s="57"/>
      <c r="R387" s="59"/>
      <c r="S387" s="61" t="str">
        <f>IF(Table1[[#This Row],[Farnell]]="","", HYPERLINK(Table1[[#This Row],[Destination - Farnell]],_xlfn.CONCAT("Link (",Table1[[#This Row],[Farnell]],")")))</f>
        <v/>
      </c>
      <c r="T387" s="62" t="str">
        <f>_xlfn.CONCAT("https://ch.farnell.com/fr-CH/",Table1[[#This Row],[Farnell]])</f>
        <v>https://ch.farnell.com/fr-CH/</v>
      </c>
      <c r="U387" s="57"/>
      <c r="V387" s="59"/>
      <c r="W387" s="61" t="str">
        <f>IF(Table1[[#This Row],[Distrelec]]="","", HYPERLINK(Table1[[#This Row],[Destination - Distrelec]],_xlfn.CONCAT("Link (",Table1[[#This Row],[Distrelec]],")")))</f>
        <v/>
      </c>
      <c r="X387" s="62" t="str">
        <f>_xlfn.CONCAT("https://www.distrelec.ch/search?q=",Table1[[#This Row],[Distrelec]])</f>
        <v>https://www.distrelec.ch/search?q=</v>
      </c>
      <c r="Y387" s="57"/>
      <c r="Z387" s="59"/>
      <c r="AA387" s="61" t="str">
        <f>IF(Table1[[#This Row],[Conrad]]="","", HYPERLINK(Table1[[#This Row],[Destination - Conrad]],_xlfn.CONCAT("Link (",Table1[[#This Row],[Conrad]],")")))</f>
        <v/>
      </c>
      <c r="AB387" s="62"/>
      <c r="AC387" s="57"/>
      <c r="AD387" s="59"/>
      <c r="AE387" s="61" t="str">
        <f>IF(Table1[[#This Row],[Mouser]]="","", HYPERLINK(Table1[[#This Row],[Destination - Mouser]],_xlfn.CONCAT("Link (",Table1[[#This Row],[Mouser]],")")))</f>
        <v/>
      </c>
      <c r="AF387" s="62" t="str">
        <f>_xlfn.CONCAT("https://www.mouser.ch/ProductDetail/",Table1[[#This Row],[Mouser]])</f>
        <v>https://www.mouser.ch/ProductDetail/</v>
      </c>
      <c r="AG387" s="57"/>
      <c r="AH387" s="59"/>
      <c r="AI387" s="61" t="str">
        <f>IF(Table1[[#This Row],[Bauhaus]]="","", HYPERLINK(Table1[[#This Row],[Destination - Bauhaus]],_xlfn.CONCAT("Link (",Table1[[#This Row],[Bauhaus]],")")))</f>
        <v/>
      </c>
      <c r="AJ387" s="62" t="str">
        <f>_xlfn.CONCAT("https://www.bauhaus.ch/fr/search?query=",Table1[[#This Row],[Bauhaus]])</f>
        <v>https://www.bauhaus.ch/fr/search?query=</v>
      </c>
      <c r="AK387" s="59"/>
      <c r="AL387" s="59"/>
      <c r="AM387" s="61" t="str">
        <f>IF(Table1[[#This Row],[BricoEtLoisirs]]="","", HYPERLINK(Table1[[#This Row],[Destination - BricoEtLoisirs]],_xlfn.CONCAT("Link (",Table1[[#This Row],[BricoEtLoisirs]],")")))</f>
        <v/>
      </c>
      <c r="AN387" s="62" t="str">
        <f>_xlfn.CONCAT("https://bricoetloisirs.ch/p/",Table1[[#This Row],[BricoEtLoisirs]])</f>
        <v>https://bricoetloisirs.ch/p/</v>
      </c>
      <c r="AO387" s="57"/>
      <c r="AP387" s="59"/>
      <c r="AQ387" s="61" t="str">
        <f>IF(Table1[[#This Row],[Aliexpress]]="","", HYPERLINK(Table1[[#This Row],[Destination - Aliexpress]],_xlfn.CONCAT("Link (",Table1[[#This Row],[Aliexpress]],")")))</f>
        <v/>
      </c>
      <c r="AR387" s="62" t="str">
        <f>_xlfn.CONCAT("https://www.aliexpress.com/item/",Table1[[#This Row],[Aliexpress]],".html")</f>
        <v>https://www.aliexpress.com/item/.html</v>
      </c>
      <c r="AS387" s="57"/>
      <c r="AT387" s="59"/>
      <c r="AU387" s="61" t="str">
        <f>IF(Table1[[#This Row],[Banggood]]="","", HYPERLINK(Table1[[#This Row],[Destination - Banggood]],_xlfn.CONCAT("Link (",Table1[[#This Row],[Banggood]],")")))</f>
        <v/>
      </c>
      <c r="AV387" s="62" t="str">
        <f>_xlfn.CONCAT("https://www.banggood.com/search/",Table1[[#This Row],[Banggood]],".html")</f>
        <v>https://www.banggood.com/search/.html</v>
      </c>
      <c r="AW387" s="59" t="str">
        <f>IF(Table1[[#This Row],[Other]]&lt;&gt;"","Other","")</f>
        <v/>
      </c>
      <c r="AX387" s="57"/>
      <c r="AY387" s="59"/>
      <c r="AZ387" s="61" t="str">
        <f>IF(Table1[[#This Row],[Other]]="","",IF(Table1[[#This Row],[Destination - Other]]="","",HYPERLINK(Table1[[#This Row],[Destination - Other]],_xlfn.CONCAT("Link ("&amp;Table1[[#This Row],[Other]]&amp;")"))))</f>
        <v/>
      </c>
      <c r="BA387" s="59"/>
      <c r="BB387" s="58" t="str">
        <f>IF(AND( Table1[[#This Row],[Auto Order]]=1,Table1[[#This Row],[Obsolete]]=""),IF(Table1[[#This Row],[In stock]]&lt;Table1[[#This Row],[Min in stock]],1,""),"")</f>
        <v/>
      </c>
      <c r="BC387" s="64"/>
      <c r="BD387" s="66" t="str">
        <f>IF(Table1[[#This Row],[Obsolete]],Table1[[#This Row],[Art. Number]],"")</f>
        <v/>
      </c>
    </row>
    <row r="388" spans="1:56" x14ac:dyDescent="0.25">
      <c r="A388" s="65" t="s">
        <v>59</v>
      </c>
      <c r="B388" s="57" t="s">
        <v>929</v>
      </c>
      <c r="C388" s="57" t="s">
        <v>924</v>
      </c>
      <c r="D388" s="57" t="s">
        <v>930</v>
      </c>
      <c r="E388" s="57" t="s">
        <v>926</v>
      </c>
      <c r="F388" s="58">
        <v>2</v>
      </c>
      <c r="G388" s="58">
        <v>2</v>
      </c>
      <c r="H388" s="58">
        <v>1</v>
      </c>
      <c r="I38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679-3547-ND</v>
      </c>
      <c r="J38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1.39</v>
      </c>
      <c r="K38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(679-3547-ND)</v>
      </c>
      <c r="M388" s="57" t="s">
        <v>931</v>
      </c>
      <c r="N388" s="59">
        <v>1.39</v>
      </c>
      <c r="O388" s="61" t="str">
        <f>IF(Table1[[#This Row],[Digikey]]="","", HYPERLINK(Table1[[#This Row],[Destination - Digikey]],_xlfn.CONCAT("Link (",Table1[[#This Row],[Digikey]],")")))</f>
        <v>Link (679-3547-ND)</v>
      </c>
      <c r="P388" s="62" t="str">
        <f>_xlfn.CONCAT("https://www.digikey.ch/products/en?keywords=",Table1[[#This Row],[Digikey]])</f>
        <v>https://www.digikey.ch/products/en?keywords=679-3547-ND</v>
      </c>
      <c r="Q388" s="57"/>
      <c r="R388" s="59"/>
      <c r="S388" s="61" t="str">
        <f>IF(Table1[[#This Row],[Farnell]]="","", HYPERLINK(Table1[[#This Row],[Destination - Farnell]],_xlfn.CONCAT("Link (",Table1[[#This Row],[Farnell]],")")))</f>
        <v/>
      </c>
      <c r="T388" s="62" t="str">
        <f>_xlfn.CONCAT("https://ch.farnell.com/fr-CH/",Table1[[#This Row],[Farnell]])</f>
        <v>https://ch.farnell.com/fr-CH/</v>
      </c>
      <c r="U388" s="57"/>
      <c r="V388" s="59"/>
      <c r="W388" s="61" t="str">
        <f>IF(Table1[[#This Row],[Distrelec]]="","", HYPERLINK(Table1[[#This Row],[Destination - Distrelec]],_xlfn.CONCAT("Link (",Table1[[#This Row],[Distrelec]],")")))</f>
        <v/>
      </c>
      <c r="X388" s="62" t="str">
        <f>_xlfn.CONCAT("https://www.distrelec.ch/search?q=",Table1[[#This Row],[Distrelec]])</f>
        <v>https://www.distrelec.ch/search?q=</v>
      </c>
      <c r="Y388" s="57"/>
      <c r="Z388" s="59"/>
      <c r="AA388" s="61" t="str">
        <f>IF(Table1[[#This Row],[Conrad]]="","", HYPERLINK(Table1[[#This Row],[Destination - Conrad]],_xlfn.CONCAT("Link (",Table1[[#This Row],[Conrad]],")")))</f>
        <v/>
      </c>
      <c r="AB388" s="62"/>
      <c r="AC388" s="57"/>
      <c r="AD388" s="59"/>
      <c r="AE388" s="61" t="str">
        <f>IF(Table1[[#This Row],[Mouser]]="","", HYPERLINK(Table1[[#This Row],[Destination - Mouser]],_xlfn.CONCAT("Link (",Table1[[#This Row],[Mouser]],")")))</f>
        <v/>
      </c>
      <c r="AF388" s="62" t="str">
        <f>_xlfn.CONCAT("https://www.mouser.ch/ProductDetail/",Table1[[#This Row],[Mouser]])</f>
        <v>https://www.mouser.ch/ProductDetail/</v>
      </c>
      <c r="AG388" s="57"/>
      <c r="AH388" s="59"/>
      <c r="AI388" s="61" t="str">
        <f>IF(Table1[[#This Row],[Bauhaus]]="","", HYPERLINK(Table1[[#This Row],[Destination - Bauhaus]],_xlfn.CONCAT("Link (",Table1[[#This Row],[Bauhaus]],")")))</f>
        <v/>
      </c>
      <c r="AJ388" s="62" t="str">
        <f>_xlfn.CONCAT("https://www.bauhaus.ch/fr/search?query=",Table1[[#This Row],[Bauhaus]])</f>
        <v>https://www.bauhaus.ch/fr/search?query=</v>
      </c>
      <c r="AK388" s="59"/>
      <c r="AL388" s="59"/>
      <c r="AM388" s="61" t="str">
        <f>IF(Table1[[#This Row],[BricoEtLoisirs]]="","", HYPERLINK(Table1[[#This Row],[Destination - BricoEtLoisirs]],_xlfn.CONCAT("Link (",Table1[[#This Row],[BricoEtLoisirs]],")")))</f>
        <v/>
      </c>
      <c r="AN388" s="62" t="str">
        <f>_xlfn.CONCAT("https://bricoetloisirs.ch/p/",Table1[[#This Row],[BricoEtLoisirs]])</f>
        <v>https://bricoetloisirs.ch/p/</v>
      </c>
      <c r="AO388" s="57"/>
      <c r="AP388" s="59"/>
      <c r="AQ388" s="61" t="str">
        <f>IF(Table1[[#This Row],[Aliexpress]]="","", HYPERLINK(Table1[[#This Row],[Destination - Aliexpress]],_xlfn.CONCAT("Link (",Table1[[#This Row],[Aliexpress]],")")))</f>
        <v/>
      </c>
      <c r="AR388" s="62" t="str">
        <f>_xlfn.CONCAT("https://www.aliexpress.com/item/",Table1[[#This Row],[Aliexpress]],".html")</f>
        <v>https://www.aliexpress.com/item/.html</v>
      </c>
      <c r="AS388" s="57"/>
      <c r="AT388" s="59"/>
      <c r="AU388" s="61" t="str">
        <f>IF(Table1[[#This Row],[Banggood]]="","", HYPERLINK(Table1[[#This Row],[Destination - Banggood]],_xlfn.CONCAT("Link (",Table1[[#This Row],[Banggood]],")")))</f>
        <v/>
      </c>
      <c r="AV388" s="62" t="str">
        <f>_xlfn.CONCAT("https://www.banggood.com/search/",Table1[[#This Row],[Banggood]],".html")</f>
        <v>https://www.banggood.com/search/.html</v>
      </c>
      <c r="AW388" s="59" t="str">
        <f>IF(Table1[[#This Row],[Other]]&lt;&gt;"","Other","")</f>
        <v/>
      </c>
      <c r="AX388" s="57"/>
      <c r="AY388" s="59"/>
      <c r="AZ388" s="61" t="str">
        <f>IF(Table1[[#This Row],[Other]]="","",IF(Table1[[#This Row],[Destination - Other]]="","",HYPERLINK(Table1[[#This Row],[Destination - Other]],_xlfn.CONCAT("Link ("&amp;Table1[[#This Row],[Other]]&amp;")"))))</f>
        <v/>
      </c>
      <c r="BA388" s="59"/>
      <c r="BB388" s="58" t="str">
        <f>IF(AND( Table1[[#This Row],[Auto Order]]=1,Table1[[#This Row],[Obsolete]]=""),IF(Table1[[#This Row],[In stock]]&lt;Table1[[#This Row],[Min in stock]],1,""),"")</f>
        <v/>
      </c>
      <c r="BC388" s="64"/>
      <c r="BD388" s="66" t="str">
        <f>IF(Table1[[#This Row],[Obsolete]],Table1[[#This Row],[Art. Number]],"")</f>
        <v/>
      </c>
    </row>
    <row r="389" spans="1:56" x14ac:dyDescent="0.25">
      <c r="A389" s="65" t="s">
        <v>2262</v>
      </c>
      <c r="B389" s="57" t="s">
        <v>2263</v>
      </c>
      <c r="C389" s="57" t="s">
        <v>97</v>
      </c>
      <c r="D389" s="57" t="s">
        <v>2264</v>
      </c>
      <c r="E389" s="57" t="s">
        <v>926</v>
      </c>
      <c r="F389" s="58">
        <v>0</v>
      </c>
      <c r="G389" s="58"/>
      <c r="H389" s="58"/>
      <c r="I38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CKN10371-ND</v>
      </c>
      <c r="J38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0.53</v>
      </c>
      <c r="K38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8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(CKN10371-ND)</v>
      </c>
      <c r="M389" s="57" t="s">
        <v>2229</v>
      </c>
      <c r="N389" s="59">
        <v>0.53</v>
      </c>
      <c r="O389" s="61" t="str">
        <f>IF(Table1[[#This Row],[Digikey]]="","", HYPERLINK(Table1[[#This Row],[Destination - Digikey]],_xlfn.CONCAT("Link (",Table1[[#This Row],[Digikey]],")")))</f>
        <v>Link (CKN10371-ND)</v>
      </c>
      <c r="P389" s="62" t="str">
        <f>_xlfn.CONCAT("https://www.digikey.ch/products/en?keywords=",Table1[[#This Row],[Digikey]])</f>
        <v>https://www.digikey.ch/products/en?keywords=CKN10371-ND</v>
      </c>
      <c r="Q389" s="57"/>
      <c r="R389" s="59"/>
      <c r="S389" s="61" t="str">
        <f>IF(Table1[[#This Row],[Farnell]]="","", HYPERLINK(Table1[[#This Row],[Destination - Farnell]],_xlfn.CONCAT("Link (",Table1[[#This Row],[Farnell]],")")))</f>
        <v/>
      </c>
      <c r="T389" s="62" t="str">
        <f>_xlfn.CONCAT("https://ch.farnell.com/fr-CH/",Table1[[#This Row],[Farnell]])</f>
        <v>https://ch.farnell.com/fr-CH/</v>
      </c>
      <c r="U389" s="57"/>
      <c r="V389" s="59"/>
      <c r="W389" s="61" t="str">
        <f>IF(Table1[[#This Row],[Distrelec]]="","", HYPERLINK(Table1[[#This Row],[Destination - Distrelec]],_xlfn.CONCAT("Link (",Table1[[#This Row],[Distrelec]],")")))</f>
        <v/>
      </c>
      <c r="X389" s="62" t="str">
        <f>_xlfn.CONCAT("https://www.distrelec.ch/search?q=",Table1[[#This Row],[Distrelec]])</f>
        <v>https://www.distrelec.ch/search?q=</v>
      </c>
      <c r="Y389" s="57"/>
      <c r="Z389" s="59"/>
      <c r="AA389" s="61" t="str">
        <f>IF(Table1[[#This Row],[Conrad]]="","", HYPERLINK(Table1[[#This Row],[Destination - Conrad]],_xlfn.CONCAT("Link (",Table1[[#This Row],[Conrad]],")")))</f>
        <v/>
      </c>
      <c r="AB389" s="62"/>
      <c r="AC389" s="57"/>
      <c r="AD389" s="59"/>
      <c r="AE389" s="61" t="str">
        <f>IF(Table1[[#This Row],[Mouser]]="","", HYPERLINK(Table1[[#This Row],[Destination - Mouser]],_xlfn.CONCAT("Link (",Table1[[#This Row],[Mouser]],")")))</f>
        <v/>
      </c>
      <c r="AF389" s="62" t="str">
        <f>_xlfn.CONCAT("https://www.mouser.ch/ProductDetail/",Table1[[#This Row],[Mouser]])</f>
        <v>https://www.mouser.ch/ProductDetail/</v>
      </c>
      <c r="AG389" s="57"/>
      <c r="AH389" s="59"/>
      <c r="AI389" s="61" t="str">
        <f>IF(Table1[[#This Row],[Bauhaus]]="","", HYPERLINK(Table1[[#This Row],[Destination - Bauhaus]],_xlfn.CONCAT("Link (",Table1[[#This Row],[Bauhaus]],")")))</f>
        <v/>
      </c>
      <c r="AJ389" s="62" t="str">
        <f>_xlfn.CONCAT("https://www.bauhaus.ch/fr/search?query=",Table1[[#This Row],[Bauhaus]])</f>
        <v>https://www.bauhaus.ch/fr/search?query=</v>
      </c>
      <c r="AK389" s="59"/>
      <c r="AL389" s="59"/>
      <c r="AM389" s="61" t="str">
        <f>IF(Table1[[#This Row],[BricoEtLoisirs]]="","", HYPERLINK(Table1[[#This Row],[Destination - BricoEtLoisirs]],_xlfn.CONCAT("Link (",Table1[[#This Row],[BricoEtLoisirs]],")")))</f>
        <v/>
      </c>
      <c r="AN389" s="62" t="str">
        <f>_xlfn.CONCAT("https://bricoetloisirs.ch/p/",Table1[[#This Row],[BricoEtLoisirs]])</f>
        <v>https://bricoetloisirs.ch/p/</v>
      </c>
      <c r="AO389" s="57"/>
      <c r="AP389" s="59"/>
      <c r="AQ389" s="61" t="str">
        <f>IF(Table1[[#This Row],[Aliexpress]]="","", HYPERLINK(Table1[[#This Row],[Destination - Aliexpress]],_xlfn.CONCAT("Link (",Table1[[#This Row],[Aliexpress]],")")))</f>
        <v/>
      </c>
      <c r="AR389" s="62" t="str">
        <f>_xlfn.CONCAT("https://www.aliexpress.com/item/",Table1[[#This Row],[Aliexpress]],".html")</f>
        <v>https://www.aliexpress.com/item/.html</v>
      </c>
      <c r="AS389" s="57"/>
      <c r="AT389" s="59"/>
      <c r="AU389" s="61" t="str">
        <f>IF(Table1[[#This Row],[Banggood]]="","", HYPERLINK(Table1[[#This Row],[Destination - Banggood]],_xlfn.CONCAT("Link (",Table1[[#This Row],[Banggood]],")")))</f>
        <v/>
      </c>
      <c r="AV389" s="62" t="str">
        <f>_xlfn.CONCAT("https://www.banggood.com/search/",Table1[[#This Row],[Banggood]],".html")</f>
        <v>https://www.banggood.com/search/.html</v>
      </c>
      <c r="AW389" s="59" t="str">
        <f>IF(Table1[[#This Row],[Other]]&lt;&gt;"","Other","")</f>
        <v/>
      </c>
      <c r="AX389" s="57"/>
      <c r="AY389" s="59"/>
      <c r="AZ389" s="61" t="str">
        <f>IF(Table1[[#This Row],[Other]]="","",IF(Table1[[#This Row],[Destination - Other]]="","",HYPERLINK(Table1[[#This Row],[Destination - Other]],_xlfn.CONCAT("Link ("&amp;Table1[[#This Row],[Other]]&amp;")"))))</f>
        <v/>
      </c>
      <c r="BA389" s="59"/>
      <c r="BB389" s="58" t="str">
        <f>IF(AND( Table1[[#This Row],[Auto Order]]=1,Table1[[#This Row],[Obsolete]]=""),IF(Table1[[#This Row],[In stock]]&lt;Table1[[#This Row],[Min in stock]],1,""),"")</f>
        <v/>
      </c>
      <c r="BC389" s="64"/>
      <c r="BD389" s="66" t="str">
        <f>IF(Table1[[#This Row],[Obsolete]],Table1[[#This Row],[Art. Number]],"")</f>
        <v/>
      </c>
    </row>
    <row r="390" spans="1:56" x14ac:dyDescent="0.25">
      <c r="A390" s="65" t="s">
        <v>2266</v>
      </c>
      <c r="B390" s="57" t="s">
        <v>2267</v>
      </c>
      <c r="C390" s="57" t="s">
        <v>97</v>
      </c>
      <c r="D390" s="57" t="s">
        <v>2268</v>
      </c>
      <c r="E390" s="57" t="s">
        <v>926</v>
      </c>
      <c r="F390" s="58">
        <v>1</v>
      </c>
      <c r="G390" s="58"/>
      <c r="H390" s="58"/>
      <c r="I39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RND 210-00494</v>
      </c>
      <c r="J39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2.1800000000000002</v>
      </c>
      <c r="K39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39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(RND 210-00494)</v>
      </c>
      <c r="M390" s="57"/>
      <c r="N390" s="59"/>
      <c r="O390" s="61" t="str">
        <f>IF(Table1[[#This Row],[Digikey]]="","", HYPERLINK(Table1[[#This Row],[Destination - Digikey]],_xlfn.CONCAT("Link (",Table1[[#This Row],[Digikey]],")")))</f>
        <v/>
      </c>
      <c r="P390" s="62" t="str">
        <f>_xlfn.CONCAT("https://www.digikey.ch/products/en?keywords=",Table1[[#This Row],[Digikey]])</f>
        <v>https://www.digikey.ch/products/en?keywords=</v>
      </c>
      <c r="Q390" s="57"/>
      <c r="R390" s="59"/>
      <c r="S390" s="61" t="str">
        <f>IF(Table1[[#This Row],[Farnell]]="","", HYPERLINK(Table1[[#This Row],[Destination - Farnell]],_xlfn.CONCAT("Link (",Table1[[#This Row],[Farnell]],")")))</f>
        <v/>
      </c>
      <c r="T390" s="62" t="str">
        <f>_xlfn.CONCAT("https://ch.farnell.com/fr-CH/",Table1[[#This Row],[Farnell]])</f>
        <v>https://ch.farnell.com/fr-CH/</v>
      </c>
      <c r="U390" s="57" t="s">
        <v>2269</v>
      </c>
      <c r="V390" s="59">
        <v>2.1800000000000002</v>
      </c>
      <c r="W390" s="61" t="str">
        <f>IF(Table1[[#This Row],[Distrelec]]="","", HYPERLINK(Table1[[#This Row],[Destination - Distrelec]],_xlfn.CONCAT("Link (",Table1[[#This Row],[Distrelec]],")")))</f>
        <v>Link (RND 210-00494)</v>
      </c>
      <c r="X390" s="62" t="str">
        <f>_xlfn.CONCAT("https://www.distrelec.ch/search?q=",Table1[[#This Row],[Distrelec]])</f>
        <v>https://www.distrelec.ch/search?q=RND 210-00494</v>
      </c>
      <c r="Y390" s="57"/>
      <c r="Z390" s="59"/>
      <c r="AA390" s="61" t="str">
        <f>IF(Table1[[#This Row],[Conrad]]="","", HYPERLINK(Table1[[#This Row],[Destination - Conrad]],_xlfn.CONCAT("Link (",Table1[[#This Row],[Conrad]],")")))</f>
        <v/>
      </c>
      <c r="AB390" s="62"/>
      <c r="AC390" s="57"/>
      <c r="AD390" s="59"/>
      <c r="AE390" s="61" t="str">
        <f>IF(Table1[[#This Row],[Mouser]]="","", HYPERLINK(Table1[[#This Row],[Destination - Mouser]],_xlfn.CONCAT("Link (",Table1[[#This Row],[Mouser]],")")))</f>
        <v/>
      </c>
      <c r="AF390" s="62" t="str">
        <f>_xlfn.CONCAT("https://www.mouser.ch/ProductDetail/",Table1[[#This Row],[Mouser]])</f>
        <v>https://www.mouser.ch/ProductDetail/</v>
      </c>
      <c r="AG390" s="57"/>
      <c r="AH390" s="59"/>
      <c r="AI390" s="61" t="str">
        <f>IF(Table1[[#This Row],[Bauhaus]]="","", HYPERLINK(Table1[[#This Row],[Destination - Bauhaus]],_xlfn.CONCAT("Link (",Table1[[#This Row],[Bauhaus]],")")))</f>
        <v/>
      </c>
      <c r="AJ390" s="62" t="str">
        <f>_xlfn.CONCAT("https://www.bauhaus.ch/fr/search?query=",Table1[[#This Row],[Bauhaus]])</f>
        <v>https://www.bauhaus.ch/fr/search?query=</v>
      </c>
      <c r="AK390" s="59"/>
      <c r="AL390" s="59"/>
      <c r="AM390" s="61" t="str">
        <f>IF(Table1[[#This Row],[BricoEtLoisirs]]="","", HYPERLINK(Table1[[#This Row],[Destination - BricoEtLoisirs]],_xlfn.CONCAT("Link (",Table1[[#This Row],[BricoEtLoisirs]],")")))</f>
        <v/>
      </c>
      <c r="AN390" s="62" t="str">
        <f>_xlfn.CONCAT("https://bricoetloisirs.ch/p/",Table1[[#This Row],[BricoEtLoisirs]])</f>
        <v>https://bricoetloisirs.ch/p/</v>
      </c>
      <c r="AO390" s="57"/>
      <c r="AP390" s="59"/>
      <c r="AQ390" s="61" t="str">
        <f>IF(Table1[[#This Row],[Aliexpress]]="","", HYPERLINK(Table1[[#This Row],[Destination - Aliexpress]],_xlfn.CONCAT("Link (",Table1[[#This Row],[Aliexpress]],")")))</f>
        <v/>
      </c>
      <c r="AR390" s="62" t="str">
        <f>_xlfn.CONCAT("https://www.aliexpress.com/item/",Table1[[#This Row],[Aliexpress]],".html")</f>
        <v>https://www.aliexpress.com/item/.html</v>
      </c>
      <c r="AS390" s="57"/>
      <c r="AT390" s="59"/>
      <c r="AU390" s="61" t="str">
        <f>IF(Table1[[#This Row],[Banggood]]="","", HYPERLINK(Table1[[#This Row],[Destination - Banggood]],_xlfn.CONCAT("Link (",Table1[[#This Row],[Banggood]],")")))</f>
        <v/>
      </c>
      <c r="AV390" s="62" t="str">
        <f>_xlfn.CONCAT("https://www.banggood.com/search/",Table1[[#This Row],[Banggood]],".html")</f>
        <v>https://www.banggood.com/search/.html</v>
      </c>
      <c r="AW390" s="59" t="str">
        <f>IF(Table1[[#This Row],[Other]]&lt;&gt;"","Other","")</f>
        <v/>
      </c>
      <c r="AX390" s="57"/>
      <c r="AY390" s="59"/>
      <c r="AZ390" s="61" t="str">
        <f>IF(Table1[[#This Row],[Other]]="","",IF(Table1[[#This Row],[Destination - Other]]="","",HYPERLINK(Table1[[#This Row],[Destination - Other]],_xlfn.CONCAT("Link ("&amp;Table1[[#This Row],[Other]]&amp;")"))))</f>
        <v/>
      </c>
      <c r="BA390" s="59"/>
      <c r="BB390" s="58" t="str">
        <f>IF(AND( Table1[[#This Row],[Auto Order]]=1,Table1[[#This Row],[Obsolete]]=""),IF(Table1[[#This Row],[In stock]]&lt;Table1[[#This Row],[Min in stock]],1,""),"")</f>
        <v/>
      </c>
      <c r="BC390" s="64"/>
      <c r="BD390" s="66" t="str">
        <f>IF(Table1[[#This Row],[Obsolete]],Table1[[#This Row],[Art. Number]],"")</f>
        <v/>
      </c>
    </row>
    <row r="391" spans="1:56" x14ac:dyDescent="0.25">
      <c r="A391" s="65" t="s">
        <v>2434</v>
      </c>
      <c r="B391" s="57" t="s">
        <v>508</v>
      </c>
      <c r="C391" s="57" t="s">
        <v>97</v>
      </c>
      <c r="D391" s="57" t="s">
        <v>2271</v>
      </c>
      <c r="E391" s="57" t="s">
        <v>2272</v>
      </c>
      <c r="F391" s="58">
        <v>0</v>
      </c>
      <c r="G391" s="58"/>
      <c r="H391" s="58"/>
      <c r="I39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WM9999-ND</v>
      </c>
      <c r="J39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56.67</v>
      </c>
      <c r="K39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(WM9999-ND)</v>
      </c>
      <c r="M391" s="57" t="s">
        <v>2273</v>
      </c>
      <c r="N391" s="59">
        <v>56.67</v>
      </c>
      <c r="O391" s="61" t="str">
        <f>IF(Table1[[#This Row],[Digikey]]="","", HYPERLINK(Table1[[#This Row],[Destination - Digikey]],_xlfn.CONCAT("Link (",Table1[[#This Row],[Digikey]],")")))</f>
        <v>Link (WM9999-ND)</v>
      </c>
      <c r="P391" s="62" t="str">
        <f>_xlfn.CONCAT("https://www.digikey.ch/products/en?keywords=",Table1[[#This Row],[Digikey]])</f>
        <v>https://www.digikey.ch/products/en?keywords=WM9999-ND</v>
      </c>
      <c r="Q391" s="57"/>
      <c r="R391" s="59"/>
      <c r="S391" s="61" t="str">
        <f>IF(Table1[[#This Row],[Farnell]]="","", HYPERLINK(Table1[[#This Row],[Destination - Farnell]],_xlfn.CONCAT("Link (",Table1[[#This Row],[Farnell]],")")))</f>
        <v/>
      </c>
      <c r="T391" s="62" t="str">
        <f>_xlfn.CONCAT("https://ch.farnell.com/fr-CH/",Table1[[#This Row],[Farnell]])</f>
        <v>https://ch.farnell.com/fr-CH/</v>
      </c>
      <c r="U391" s="57"/>
      <c r="V391" s="59"/>
      <c r="W391" s="61" t="str">
        <f>IF(Table1[[#This Row],[Distrelec]]="","", HYPERLINK(Table1[[#This Row],[Destination - Distrelec]],_xlfn.CONCAT("Link (",Table1[[#This Row],[Distrelec]],")")))</f>
        <v/>
      </c>
      <c r="X391" s="62" t="str">
        <f>_xlfn.CONCAT("https://www.distrelec.ch/search?q=",Table1[[#This Row],[Distrelec]])</f>
        <v>https://www.distrelec.ch/search?q=</v>
      </c>
      <c r="Y391" s="57"/>
      <c r="Z391" s="59"/>
      <c r="AA391" s="61" t="str">
        <f>IF(Table1[[#This Row],[Conrad]]="","", HYPERLINK(Table1[[#This Row],[Destination - Conrad]],_xlfn.CONCAT("Link (",Table1[[#This Row],[Conrad]],")")))</f>
        <v/>
      </c>
      <c r="AB391" s="62"/>
      <c r="AC391" s="57"/>
      <c r="AD391" s="59"/>
      <c r="AE391" s="61" t="str">
        <f>IF(Table1[[#This Row],[Mouser]]="","", HYPERLINK(Table1[[#This Row],[Destination - Mouser]],_xlfn.CONCAT("Link (",Table1[[#This Row],[Mouser]],")")))</f>
        <v/>
      </c>
      <c r="AF391" s="62" t="str">
        <f>_xlfn.CONCAT("https://www.mouser.ch/ProductDetail/",Table1[[#This Row],[Mouser]])</f>
        <v>https://www.mouser.ch/ProductDetail/</v>
      </c>
      <c r="AG391" s="57"/>
      <c r="AH391" s="59"/>
      <c r="AI391" s="61" t="str">
        <f>IF(Table1[[#This Row],[Bauhaus]]="","", HYPERLINK(Table1[[#This Row],[Destination - Bauhaus]],_xlfn.CONCAT("Link (",Table1[[#This Row],[Bauhaus]],")")))</f>
        <v/>
      </c>
      <c r="AJ391" s="62" t="str">
        <f>_xlfn.CONCAT("https://www.bauhaus.ch/fr/search?query=",Table1[[#This Row],[Bauhaus]])</f>
        <v>https://www.bauhaus.ch/fr/search?query=</v>
      </c>
      <c r="AK391" s="59"/>
      <c r="AL391" s="59"/>
      <c r="AM391" s="61" t="str">
        <f>IF(Table1[[#This Row],[BricoEtLoisirs]]="","", HYPERLINK(Table1[[#This Row],[Destination - BricoEtLoisirs]],_xlfn.CONCAT("Link (",Table1[[#This Row],[BricoEtLoisirs]],")")))</f>
        <v/>
      </c>
      <c r="AN391" s="62" t="str">
        <f>_xlfn.CONCAT("https://bricoetloisirs.ch/p/",Table1[[#This Row],[BricoEtLoisirs]])</f>
        <v>https://bricoetloisirs.ch/p/</v>
      </c>
      <c r="AO391" s="57"/>
      <c r="AP391" s="59"/>
      <c r="AQ391" s="61" t="str">
        <f>IF(Table1[[#This Row],[Aliexpress]]="","", HYPERLINK(Table1[[#This Row],[Destination - Aliexpress]],_xlfn.CONCAT("Link (",Table1[[#This Row],[Aliexpress]],")")))</f>
        <v/>
      </c>
      <c r="AR391" s="62" t="str">
        <f>_xlfn.CONCAT("https://www.aliexpress.com/item/",Table1[[#This Row],[Aliexpress]],".html")</f>
        <v>https://www.aliexpress.com/item/.html</v>
      </c>
      <c r="AS391" s="57"/>
      <c r="AT391" s="59"/>
      <c r="AU391" s="61" t="str">
        <f>IF(Table1[[#This Row],[Banggood]]="","", HYPERLINK(Table1[[#This Row],[Destination - Banggood]],_xlfn.CONCAT("Link (",Table1[[#This Row],[Banggood]],")")))</f>
        <v/>
      </c>
      <c r="AV391" s="62" t="str">
        <f>_xlfn.CONCAT("https://www.banggood.com/search/",Table1[[#This Row],[Banggood]],".html")</f>
        <v>https://www.banggood.com/search/.html</v>
      </c>
      <c r="AW391" s="59" t="str">
        <f>IF(Table1[[#This Row],[Other]]&lt;&gt;"","Other","")</f>
        <v/>
      </c>
      <c r="AX391" s="57"/>
      <c r="AY391" s="59"/>
      <c r="AZ391" s="61" t="str">
        <f>IF(Table1[[#This Row],[Other]]="","",IF(Table1[[#This Row],[Destination - Other]]="","",HYPERLINK(Table1[[#This Row],[Destination - Other]],_xlfn.CONCAT("Link ("&amp;Table1[[#This Row],[Other]]&amp;")"))))</f>
        <v/>
      </c>
      <c r="BA391" s="59"/>
      <c r="BB391" s="58" t="str">
        <f>IF(AND( Table1[[#This Row],[Auto Order]]=1,Table1[[#This Row],[Obsolete]]=""),IF(Table1[[#This Row],[In stock]]&lt;Table1[[#This Row],[Min in stock]],1,""),"")</f>
        <v/>
      </c>
      <c r="BC391" s="64"/>
      <c r="BD391" s="66" t="str">
        <f>IF(Table1[[#This Row],[Obsolete]],Table1[[#This Row],[Art. Number]],"")</f>
        <v/>
      </c>
    </row>
    <row r="392" spans="1:56" x14ac:dyDescent="0.25">
      <c r="A392" s="65" t="s">
        <v>2275</v>
      </c>
      <c r="B392" s="57" t="s">
        <v>2276</v>
      </c>
      <c r="C392" s="57" t="s">
        <v>97</v>
      </c>
      <c r="D392" s="57" t="s">
        <v>2277</v>
      </c>
      <c r="E392" s="57" t="s">
        <v>2272</v>
      </c>
      <c r="F392" s="58">
        <v>1</v>
      </c>
      <c r="G392" s="58"/>
      <c r="H392" s="58"/>
      <c r="I39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1558118 - 62</v>
      </c>
      <c r="J39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399.95</v>
      </c>
      <c r="K39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Conrad</v>
      </c>
      <c r="L39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(1558118 - 62)</v>
      </c>
      <c r="M392" s="57"/>
      <c r="N392" s="59"/>
      <c r="O392" s="61" t="str">
        <f>IF(Table1[[#This Row],[Digikey]]="","", HYPERLINK(Table1[[#This Row],[Destination - Digikey]],_xlfn.CONCAT("Link (",Table1[[#This Row],[Digikey]],")")))</f>
        <v/>
      </c>
      <c r="P392" s="62" t="str">
        <f>_xlfn.CONCAT("https://www.digikey.ch/products/en?keywords=",Table1[[#This Row],[Digikey]])</f>
        <v>https://www.digikey.ch/products/en?keywords=</v>
      </c>
      <c r="Q392" s="57"/>
      <c r="R392" s="59"/>
      <c r="S392" s="61" t="str">
        <f>IF(Table1[[#This Row],[Farnell]]="","", HYPERLINK(Table1[[#This Row],[Destination - Farnell]],_xlfn.CONCAT("Link (",Table1[[#This Row],[Farnell]],")")))</f>
        <v/>
      </c>
      <c r="T392" s="62" t="str">
        <f>_xlfn.CONCAT("https://ch.farnell.com/fr-CH/",Table1[[#This Row],[Farnell]])</f>
        <v>https://ch.farnell.com/fr-CH/</v>
      </c>
      <c r="U392" s="57"/>
      <c r="V392" s="59"/>
      <c r="W392" s="61" t="str">
        <f>IF(Table1[[#This Row],[Distrelec]]="","", HYPERLINK(Table1[[#This Row],[Destination - Distrelec]],_xlfn.CONCAT("Link (",Table1[[#This Row],[Distrelec]],")")))</f>
        <v/>
      </c>
      <c r="X392" s="62" t="str">
        <f>_xlfn.CONCAT("https://www.distrelec.ch/search?q=",Table1[[#This Row],[Distrelec]])</f>
        <v>https://www.distrelec.ch/search?q=</v>
      </c>
      <c r="Y392" s="57" t="s">
        <v>2278</v>
      </c>
      <c r="Z392" s="59">
        <v>399.95</v>
      </c>
      <c r="AA392" s="61" t="str">
        <f>IF(Table1[[#This Row],[Conrad]]="","", HYPERLINK(Table1[[#This Row],[Destination - Conrad]],_xlfn.CONCAT("Link (",Table1[[#This Row],[Conrad]],")")))</f>
        <v>Link (1558118 - 62)</v>
      </c>
      <c r="AB392" s="62"/>
      <c r="AC392" s="57"/>
      <c r="AD392" s="59"/>
      <c r="AE392" s="61" t="str">
        <f>IF(Table1[[#This Row],[Mouser]]="","", HYPERLINK(Table1[[#This Row],[Destination - Mouser]],_xlfn.CONCAT("Link (",Table1[[#This Row],[Mouser]],")")))</f>
        <v/>
      </c>
      <c r="AF392" s="62" t="str">
        <f>_xlfn.CONCAT("https://www.mouser.ch/ProductDetail/",Table1[[#This Row],[Mouser]])</f>
        <v>https://www.mouser.ch/ProductDetail/</v>
      </c>
      <c r="AG392" s="57"/>
      <c r="AH392" s="59"/>
      <c r="AI392" s="61" t="str">
        <f>IF(Table1[[#This Row],[Bauhaus]]="","", HYPERLINK(Table1[[#This Row],[Destination - Bauhaus]],_xlfn.CONCAT("Link (",Table1[[#This Row],[Bauhaus]],")")))</f>
        <v/>
      </c>
      <c r="AJ392" s="62" t="str">
        <f>_xlfn.CONCAT("https://www.bauhaus.ch/fr/search?query=",Table1[[#This Row],[Bauhaus]])</f>
        <v>https://www.bauhaus.ch/fr/search?query=</v>
      </c>
      <c r="AK392" s="59"/>
      <c r="AL392" s="59"/>
      <c r="AM392" s="61" t="str">
        <f>IF(Table1[[#This Row],[BricoEtLoisirs]]="","", HYPERLINK(Table1[[#This Row],[Destination - BricoEtLoisirs]],_xlfn.CONCAT("Link (",Table1[[#This Row],[BricoEtLoisirs]],")")))</f>
        <v/>
      </c>
      <c r="AN392" s="62" t="str">
        <f>_xlfn.CONCAT("https://bricoetloisirs.ch/p/",Table1[[#This Row],[BricoEtLoisirs]])</f>
        <v>https://bricoetloisirs.ch/p/</v>
      </c>
      <c r="AO392" s="57"/>
      <c r="AP392" s="59"/>
      <c r="AQ392" s="61" t="str">
        <f>IF(Table1[[#This Row],[Aliexpress]]="","", HYPERLINK(Table1[[#This Row],[Destination - Aliexpress]],_xlfn.CONCAT("Link (",Table1[[#This Row],[Aliexpress]],")")))</f>
        <v/>
      </c>
      <c r="AR392" s="62" t="str">
        <f>_xlfn.CONCAT("https://www.aliexpress.com/item/",Table1[[#This Row],[Aliexpress]],".html")</f>
        <v>https://www.aliexpress.com/item/.html</v>
      </c>
      <c r="AS392" s="57"/>
      <c r="AT392" s="59"/>
      <c r="AU392" s="61" t="str">
        <f>IF(Table1[[#This Row],[Banggood]]="","", HYPERLINK(Table1[[#This Row],[Destination - Banggood]],_xlfn.CONCAT("Link (",Table1[[#This Row],[Banggood]],")")))</f>
        <v/>
      </c>
      <c r="AV392" s="62" t="str">
        <f>_xlfn.CONCAT("https://www.banggood.com/search/",Table1[[#This Row],[Banggood]],".html")</f>
        <v>https://www.banggood.com/search/.html</v>
      </c>
      <c r="AW392" s="59" t="str">
        <f>IF(Table1[[#This Row],[Other]]&lt;&gt;"","Other","")</f>
        <v/>
      </c>
      <c r="AX392" s="57"/>
      <c r="AY392" s="59"/>
      <c r="AZ392" s="61" t="str">
        <f>IF(Table1[[#This Row],[Other]]="","",IF(Table1[[#This Row],[Destination - Other]]="","",HYPERLINK(Table1[[#This Row],[Destination - Other]],_xlfn.CONCAT("Link ("&amp;Table1[[#This Row],[Other]]&amp;")"))))</f>
        <v/>
      </c>
      <c r="BA392" s="59"/>
      <c r="BB392" s="58" t="str">
        <f>IF(AND( Table1[[#This Row],[Auto Order]]=1,Table1[[#This Row],[Obsolete]]=""),IF(Table1[[#This Row],[In stock]]&lt;Table1[[#This Row],[Min in stock]],1,""),"")</f>
        <v/>
      </c>
      <c r="BC392" s="64"/>
      <c r="BD392" s="66" t="str">
        <f>IF(Table1[[#This Row],[Obsolete]],Table1[[#This Row],[Art. Number]],"")</f>
        <v/>
      </c>
    </row>
    <row r="393" spans="1:56" x14ac:dyDescent="0.25">
      <c r="A393" s="65" t="s">
        <v>2280</v>
      </c>
      <c r="B393" s="57" t="s">
        <v>2281</v>
      </c>
      <c r="C393" s="57" t="s">
        <v>97</v>
      </c>
      <c r="D393" s="57" t="s">
        <v>2282</v>
      </c>
      <c r="E393" s="57" t="s">
        <v>2272</v>
      </c>
      <c r="F393" s="58">
        <v>0</v>
      </c>
      <c r="G393" s="58"/>
      <c r="H393" s="58"/>
      <c r="I393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301-18-567</v>
      </c>
      <c r="J393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14.6</v>
      </c>
      <c r="K393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Distrelec</v>
      </c>
      <c r="L393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(301-18-567)</v>
      </c>
      <c r="M393" s="57"/>
      <c r="N393" s="59"/>
      <c r="O393" s="61" t="str">
        <f>IF(Table1[[#This Row],[Digikey]]="","", HYPERLINK(Table1[[#This Row],[Destination - Digikey]],_xlfn.CONCAT("Link (",Table1[[#This Row],[Digikey]],")")))</f>
        <v/>
      </c>
      <c r="P393" s="62" t="str">
        <f>_xlfn.CONCAT("https://www.digikey.ch/products/en?keywords=",Table1[[#This Row],[Digikey]])</f>
        <v>https://www.digikey.ch/products/en?keywords=</v>
      </c>
      <c r="Q393" s="57"/>
      <c r="R393" s="59"/>
      <c r="S393" s="61" t="str">
        <f>IF(Table1[[#This Row],[Farnell]]="","", HYPERLINK(Table1[[#This Row],[Destination - Farnell]],_xlfn.CONCAT("Link (",Table1[[#This Row],[Farnell]],")")))</f>
        <v/>
      </c>
      <c r="T393" s="62" t="str">
        <f>_xlfn.CONCAT("https://ch.farnell.com/fr-CH/",Table1[[#This Row],[Farnell]])</f>
        <v>https://ch.farnell.com/fr-CH/</v>
      </c>
      <c r="U393" s="57" t="s">
        <v>2283</v>
      </c>
      <c r="V393" s="59">
        <v>14.6</v>
      </c>
      <c r="W393" s="61" t="str">
        <f>IF(Table1[[#This Row],[Distrelec]]="","", HYPERLINK(Table1[[#This Row],[Destination - Distrelec]],_xlfn.CONCAT("Link (",Table1[[#This Row],[Distrelec]],")")))</f>
        <v>Link (301-18-567)</v>
      </c>
      <c r="X393" s="62" t="str">
        <f>_xlfn.CONCAT("https://www.distrelec.ch/search?q=",Table1[[#This Row],[Distrelec]])</f>
        <v>https://www.distrelec.ch/search?q=301-18-567</v>
      </c>
      <c r="Y393" s="57"/>
      <c r="Z393" s="59"/>
      <c r="AA393" s="61" t="str">
        <f>IF(Table1[[#This Row],[Conrad]]="","", HYPERLINK(Table1[[#This Row],[Destination - Conrad]],_xlfn.CONCAT("Link (",Table1[[#This Row],[Conrad]],")")))</f>
        <v/>
      </c>
      <c r="AB393" s="62"/>
      <c r="AC393" s="57"/>
      <c r="AD393" s="59"/>
      <c r="AE393" s="61" t="str">
        <f>IF(Table1[[#This Row],[Mouser]]="","", HYPERLINK(Table1[[#This Row],[Destination - Mouser]],_xlfn.CONCAT("Link (",Table1[[#This Row],[Mouser]],")")))</f>
        <v/>
      </c>
      <c r="AF393" s="62" t="str">
        <f>_xlfn.CONCAT("https://www.mouser.ch/ProductDetail/",Table1[[#This Row],[Mouser]])</f>
        <v>https://www.mouser.ch/ProductDetail/</v>
      </c>
      <c r="AG393" s="57"/>
      <c r="AH393" s="59"/>
      <c r="AI393" s="61" t="str">
        <f>IF(Table1[[#This Row],[Bauhaus]]="","", HYPERLINK(Table1[[#This Row],[Destination - Bauhaus]],_xlfn.CONCAT("Link (",Table1[[#This Row],[Bauhaus]],")")))</f>
        <v/>
      </c>
      <c r="AJ393" s="62" t="str">
        <f>_xlfn.CONCAT("https://www.bauhaus.ch/fr/search?query=",Table1[[#This Row],[Bauhaus]])</f>
        <v>https://www.bauhaus.ch/fr/search?query=</v>
      </c>
      <c r="AK393" s="59"/>
      <c r="AL393" s="59"/>
      <c r="AM393" s="61" t="str">
        <f>IF(Table1[[#This Row],[BricoEtLoisirs]]="","", HYPERLINK(Table1[[#This Row],[Destination - BricoEtLoisirs]],_xlfn.CONCAT("Link (",Table1[[#This Row],[BricoEtLoisirs]],")")))</f>
        <v/>
      </c>
      <c r="AN393" s="62" t="str">
        <f>_xlfn.CONCAT("https://bricoetloisirs.ch/p/",Table1[[#This Row],[BricoEtLoisirs]])</f>
        <v>https://bricoetloisirs.ch/p/</v>
      </c>
      <c r="AO393" s="57"/>
      <c r="AP393" s="59"/>
      <c r="AQ393" s="61" t="str">
        <f>IF(Table1[[#This Row],[Aliexpress]]="","", HYPERLINK(Table1[[#This Row],[Destination - Aliexpress]],_xlfn.CONCAT("Link (",Table1[[#This Row],[Aliexpress]],")")))</f>
        <v/>
      </c>
      <c r="AR393" s="62" t="str">
        <f>_xlfn.CONCAT("https://www.aliexpress.com/item/",Table1[[#This Row],[Aliexpress]],".html")</f>
        <v>https://www.aliexpress.com/item/.html</v>
      </c>
      <c r="AS393" s="57"/>
      <c r="AT393" s="59"/>
      <c r="AU393" s="61" t="str">
        <f>IF(Table1[[#This Row],[Banggood]]="","", HYPERLINK(Table1[[#This Row],[Destination - Banggood]],_xlfn.CONCAT("Link (",Table1[[#This Row],[Banggood]],")")))</f>
        <v/>
      </c>
      <c r="AV393" s="62" t="str">
        <f>_xlfn.CONCAT("https://www.banggood.com/search/",Table1[[#This Row],[Banggood]],".html")</f>
        <v>https://www.banggood.com/search/.html</v>
      </c>
      <c r="AW393" s="59" t="str">
        <f>IF(Table1[[#This Row],[Other]]&lt;&gt;"","Other","")</f>
        <v/>
      </c>
      <c r="AX393" s="57"/>
      <c r="AY393" s="59"/>
      <c r="AZ393" s="61" t="str">
        <f>IF(Table1[[#This Row],[Other]]="","",IF(Table1[[#This Row],[Destination - Other]]="","",HYPERLINK(Table1[[#This Row],[Destination - Other]],_xlfn.CONCAT("Link ("&amp;Table1[[#This Row],[Other]]&amp;")"))))</f>
        <v/>
      </c>
      <c r="BA393" s="59"/>
      <c r="BB393" s="58" t="str">
        <f>IF(AND( Table1[[#This Row],[Auto Order]]=1,Table1[[#This Row],[Obsolete]]=""),IF(Table1[[#This Row],[In stock]]&lt;Table1[[#This Row],[Min in stock]],1,""),"")</f>
        <v/>
      </c>
      <c r="BC393" s="64"/>
      <c r="BD393" s="66" t="str">
        <f>IF(Table1[[#This Row],[Obsolete]],Table1[[#This Row],[Art. Number]],"")</f>
        <v/>
      </c>
    </row>
    <row r="394" spans="1:56" x14ac:dyDescent="0.25">
      <c r="A394" s="65" t="s">
        <v>2285</v>
      </c>
      <c r="B394" s="57" t="s">
        <v>313</v>
      </c>
      <c r="C394" s="57" t="s">
        <v>97</v>
      </c>
      <c r="D394" s="57" t="s">
        <v>2454</v>
      </c>
      <c r="E394" s="57" t="s">
        <v>2272</v>
      </c>
      <c r="F394" s="58">
        <v>1</v>
      </c>
      <c r="G394" s="58"/>
      <c r="H394" s="58"/>
      <c r="I394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578-XHT412</v>
      </c>
      <c r="J394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9.17</v>
      </c>
      <c r="K394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Mouser</v>
      </c>
      <c r="L394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(578-XHT412)</v>
      </c>
      <c r="M394" s="57"/>
      <c r="N394" s="59"/>
      <c r="O394" s="61" t="str">
        <f>IF(Table1[[#This Row],[Digikey]]="","", HYPERLINK(Table1[[#This Row],[Destination - Digikey]],_xlfn.CONCAT("Link (",Table1[[#This Row],[Digikey]],")")))</f>
        <v/>
      </c>
      <c r="P394" s="62" t="str">
        <f>_xlfn.CONCAT("https://www.digikey.ch/products/en?keywords=",Table1[[#This Row],[Digikey]])</f>
        <v>https://www.digikey.ch/products/en?keywords=</v>
      </c>
      <c r="Q394" s="57"/>
      <c r="R394" s="59"/>
      <c r="S394" s="61" t="str">
        <f>IF(Table1[[#This Row],[Farnell]]="","", HYPERLINK(Table1[[#This Row],[Destination - Farnell]],_xlfn.CONCAT("Link (",Table1[[#This Row],[Farnell]],")")))</f>
        <v/>
      </c>
      <c r="T394" s="62" t="str">
        <f>_xlfn.CONCAT("https://ch.farnell.com/fr-CH/",Table1[[#This Row],[Farnell]])</f>
        <v>https://ch.farnell.com/fr-CH/</v>
      </c>
      <c r="U394" s="57"/>
      <c r="V394" s="59"/>
      <c r="W394" s="61" t="str">
        <f>IF(Table1[[#This Row],[Distrelec]]="","", HYPERLINK(Table1[[#This Row],[Destination - Distrelec]],_xlfn.CONCAT("Link (",Table1[[#This Row],[Distrelec]],")")))</f>
        <v/>
      </c>
      <c r="X394" s="62" t="str">
        <f>_xlfn.CONCAT("https://www.distrelec.ch/search?q=",Table1[[#This Row],[Distrelec]])</f>
        <v>https://www.distrelec.ch/search?q=</v>
      </c>
      <c r="Y394" s="57"/>
      <c r="Z394" s="59"/>
      <c r="AA394" s="61" t="str">
        <f>IF(Table1[[#This Row],[Conrad]]="","", HYPERLINK(Table1[[#This Row],[Destination - Conrad]],_xlfn.CONCAT("Link (",Table1[[#This Row],[Conrad]],")")))</f>
        <v/>
      </c>
      <c r="AB394" s="62"/>
      <c r="AC394" s="57" t="s">
        <v>2286</v>
      </c>
      <c r="AD394" s="59">
        <v>9.17</v>
      </c>
      <c r="AE394" s="61" t="str">
        <f>IF(Table1[[#This Row],[Mouser]]="","", HYPERLINK(Table1[[#This Row],[Destination - Mouser]],_xlfn.CONCAT("Link (",Table1[[#This Row],[Mouser]],")")))</f>
        <v>Link (578-XHT412)</v>
      </c>
      <c r="AF394" s="62" t="str">
        <f>_xlfn.CONCAT("https://www.mouser.ch/ProductDetail/",Table1[[#This Row],[Mouser]])</f>
        <v>https://www.mouser.ch/ProductDetail/578-XHT412</v>
      </c>
      <c r="AG394" s="57"/>
      <c r="AH394" s="59"/>
      <c r="AI394" s="61" t="str">
        <f>IF(Table1[[#This Row],[Bauhaus]]="","", HYPERLINK(Table1[[#This Row],[Destination - Bauhaus]],_xlfn.CONCAT("Link (",Table1[[#This Row],[Bauhaus]],")")))</f>
        <v/>
      </c>
      <c r="AJ394" s="62" t="str">
        <f>_xlfn.CONCAT("https://www.bauhaus.ch/fr/search?query=",Table1[[#This Row],[Bauhaus]])</f>
        <v>https://www.bauhaus.ch/fr/search?query=</v>
      </c>
      <c r="AK394" s="59"/>
      <c r="AL394" s="59"/>
      <c r="AM394" s="61" t="str">
        <f>IF(Table1[[#This Row],[BricoEtLoisirs]]="","", HYPERLINK(Table1[[#This Row],[Destination - BricoEtLoisirs]],_xlfn.CONCAT("Link (",Table1[[#This Row],[BricoEtLoisirs]],")")))</f>
        <v/>
      </c>
      <c r="AN394" s="62" t="str">
        <f>_xlfn.CONCAT("https://bricoetloisirs.ch/p/",Table1[[#This Row],[BricoEtLoisirs]])</f>
        <v>https://bricoetloisirs.ch/p/</v>
      </c>
      <c r="AO394" s="57"/>
      <c r="AP394" s="59"/>
      <c r="AQ394" s="61" t="str">
        <f>IF(Table1[[#This Row],[Aliexpress]]="","", HYPERLINK(Table1[[#This Row],[Destination - Aliexpress]],_xlfn.CONCAT("Link (",Table1[[#This Row],[Aliexpress]],")")))</f>
        <v/>
      </c>
      <c r="AR394" s="62" t="str">
        <f>_xlfn.CONCAT("https://www.aliexpress.com/item/",Table1[[#This Row],[Aliexpress]],".html")</f>
        <v>https://www.aliexpress.com/item/.html</v>
      </c>
      <c r="AS394" s="57"/>
      <c r="AT394" s="59"/>
      <c r="AU394" s="61" t="str">
        <f>IF(Table1[[#This Row],[Banggood]]="","", HYPERLINK(Table1[[#This Row],[Destination - Banggood]],_xlfn.CONCAT("Link (",Table1[[#This Row],[Banggood]],")")))</f>
        <v/>
      </c>
      <c r="AV394" s="62" t="str">
        <f>_xlfn.CONCAT("https://www.banggood.com/search/",Table1[[#This Row],[Banggood]],".html")</f>
        <v>https://www.banggood.com/search/.html</v>
      </c>
      <c r="AW394" s="59" t="str">
        <f>IF(Table1[[#This Row],[Other]]&lt;&gt;"","Other","")</f>
        <v/>
      </c>
      <c r="AX394" s="57"/>
      <c r="AY394" s="59"/>
      <c r="AZ394" s="61" t="str">
        <f>IF(Table1[[#This Row],[Other]]="","",IF(Table1[[#This Row],[Destination - Other]]="","",HYPERLINK(Table1[[#This Row],[Destination - Other]],_xlfn.CONCAT("Link ("&amp;Table1[[#This Row],[Other]]&amp;")"))))</f>
        <v/>
      </c>
      <c r="BA394" s="59"/>
      <c r="BB394" s="58" t="str">
        <f>IF(AND( Table1[[#This Row],[Auto Order]]=1,Table1[[#This Row],[Obsolete]]=""),IF(Table1[[#This Row],[In stock]]&lt;Table1[[#This Row],[Min in stock]],1,""),"")</f>
        <v/>
      </c>
      <c r="BC394" s="64"/>
      <c r="BD394" s="66" t="str">
        <f>IF(Table1[[#This Row],[Obsolete]],Table1[[#This Row],[Art. Number]],"")</f>
        <v/>
      </c>
    </row>
    <row r="395" spans="1:56" x14ac:dyDescent="0.25">
      <c r="A395" s="65" t="s">
        <v>22</v>
      </c>
      <c r="B395" s="57" t="s">
        <v>695</v>
      </c>
      <c r="C395" s="57" t="s">
        <v>2288</v>
      </c>
      <c r="D395" s="57" t="s">
        <v>2289</v>
      </c>
      <c r="E395" s="57" t="s">
        <v>2290</v>
      </c>
      <c r="F395" s="58">
        <v>12</v>
      </c>
      <c r="G395" s="58">
        <v>10</v>
      </c>
      <c r="H395" s="58">
        <v>1</v>
      </c>
      <c r="I395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FDN337NCT-ND</v>
      </c>
      <c r="J395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0.55000000000000004</v>
      </c>
      <c r="K395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5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(FDN337NCT-ND)</v>
      </c>
      <c r="M395" s="57" t="s">
        <v>2291</v>
      </c>
      <c r="N395" s="59">
        <v>0.55000000000000004</v>
      </c>
      <c r="O395" s="61" t="str">
        <f>IF(Table1[[#This Row],[Digikey]]="","", HYPERLINK(Table1[[#This Row],[Destination - Digikey]],_xlfn.CONCAT("Link (",Table1[[#This Row],[Digikey]],")")))</f>
        <v>Link (FDN337NCT-ND)</v>
      </c>
      <c r="P395" s="62" t="str">
        <f>_xlfn.CONCAT("https://www.digikey.ch/products/en?keywords=",Table1[[#This Row],[Digikey]])</f>
        <v>https://www.digikey.ch/products/en?keywords=FDN337NCT-ND</v>
      </c>
      <c r="Q395" s="57"/>
      <c r="R395" s="59"/>
      <c r="S395" s="61" t="str">
        <f>IF(Table1[[#This Row],[Farnell]]="","", HYPERLINK(Table1[[#This Row],[Destination - Farnell]],_xlfn.CONCAT("Link (",Table1[[#This Row],[Farnell]],")")))</f>
        <v/>
      </c>
      <c r="T395" s="62" t="str">
        <f>_xlfn.CONCAT("https://ch.farnell.com/fr-CH/",Table1[[#This Row],[Farnell]])</f>
        <v>https://ch.farnell.com/fr-CH/</v>
      </c>
      <c r="U395" s="57"/>
      <c r="V395" s="59"/>
      <c r="W395" s="61" t="str">
        <f>IF(Table1[[#This Row],[Distrelec]]="","", HYPERLINK(Table1[[#This Row],[Destination - Distrelec]],_xlfn.CONCAT("Link (",Table1[[#This Row],[Distrelec]],")")))</f>
        <v/>
      </c>
      <c r="X395" s="62" t="str">
        <f>_xlfn.CONCAT("https://www.distrelec.ch/search?q=",Table1[[#This Row],[Distrelec]])</f>
        <v>https://www.distrelec.ch/search?q=</v>
      </c>
      <c r="Y395" s="57"/>
      <c r="Z395" s="59"/>
      <c r="AA395" s="61" t="str">
        <f>IF(Table1[[#This Row],[Conrad]]="","", HYPERLINK(Table1[[#This Row],[Destination - Conrad]],_xlfn.CONCAT("Link (",Table1[[#This Row],[Conrad]],")")))</f>
        <v/>
      </c>
      <c r="AB395" s="62"/>
      <c r="AC395" s="57"/>
      <c r="AD395" s="59"/>
      <c r="AE395" s="61" t="str">
        <f>IF(Table1[[#This Row],[Mouser]]="","", HYPERLINK(Table1[[#This Row],[Destination - Mouser]],_xlfn.CONCAT("Link (",Table1[[#This Row],[Mouser]],")")))</f>
        <v/>
      </c>
      <c r="AF395" s="62" t="str">
        <f>_xlfn.CONCAT("https://www.mouser.ch/ProductDetail/",Table1[[#This Row],[Mouser]])</f>
        <v>https://www.mouser.ch/ProductDetail/</v>
      </c>
      <c r="AG395" s="57"/>
      <c r="AH395" s="59"/>
      <c r="AI395" s="61" t="str">
        <f>IF(Table1[[#This Row],[Bauhaus]]="","", HYPERLINK(Table1[[#This Row],[Destination - Bauhaus]],_xlfn.CONCAT("Link (",Table1[[#This Row],[Bauhaus]],")")))</f>
        <v/>
      </c>
      <c r="AJ395" s="62" t="str">
        <f>_xlfn.CONCAT("https://www.bauhaus.ch/fr/search?query=",Table1[[#This Row],[Bauhaus]])</f>
        <v>https://www.bauhaus.ch/fr/search?query=</v>
      </c>
      <c r="AK395" s="59"/>
      <c r="AL395" s="59"/>
      <c r="AM395" s="61" t="str">
        <f>IF(Table1[[#This Row],[BricoEtLoisirs]]="","", HYPERLINK(Table1[[#This Row],[Destination - BricoEtLoisirs]],_xlfn.CONCAT("Link (",Table1[[#This Row],[BricoEtLoisirs]],")")))</f>
        <v/>
      </c>
      <c r="AN395" s="62" t="str">
        <f>_xlfn.CONCAT("https://bricoetloisirs.ch/p/",Table1[[#This Row],[BricoEtLoisirs]])</f>
        <v>https://bricoetloisirs.ch/p/</v>
      </c>
      <c r="AO395" s="57"/>
      <c r="AP395" s="59"/>
      <c r="AQ395" s="61" t="str">
        <f>IF(Table1[[#This Row],[Aliexpress]]="","", HYPERLINK(Table1[[#This Row],[Destination - Aliexpress]],_xlfn.CONCAT("Link (",Table1[[#This Row],[Aliexpress]],")")))</f>
        <v/>
      </c>
      <c r="AR395" s="62" t="str">
        <f>_xlfn.CONCAT("https://www.aliexpress.com/item/",Table1[[#This Row],[Aliexpress]],".html")</f>
        <v>https://www.aliexpress.com/item/.html</v>
      </c>
      <c r="AS395" s="57"/>
      <c r="AT395" s="59"/>
      <c r="AU395" s="61" t="str">
        <f>IF(Table1[[#This Row],[Banggood]]="","", HYPERLINK(Table1[[#This Row],[Destination - Banggood]],_xlfn.CONCAT("Link (",Table1[[#This Row],[Banggood]],")")))</f>
        <v/>
      </c>
      <c r="AV395" s="62" t="str">
        <f>_xlfn.CONCAT("https://www.banggood.com/search/",Table1[[#This Row],[Banggood]],".html")</f>
        <v>https://www.banggood.com/search/.html</v>
      </c>
      <c r="AW395" s="59" t="str">
        <f>IF(Table1[[#This Row],[Other]]&lt;&gt;"","Other","")</f>
        <v/>
      </c>
      <c r="AX395" s="57"/>
      <c r="AY395" s="59"/>
      <c r="AZ395" s="61" t="str">
        <f>IF(Table1[[#This Row],[Other]]="","",IF(Table1[[#This Row],[Destination - Other]]="","",HYPERLINK(Table1[[#This Row],[Destination - Other]],_xlfn.CONCAT("Link ("&amp;Table1[[#This Row],[Other]]&amp;")"))))</f>
        <v/>
      </c>
      <c r="BA395" s="59"/>
      <c r="BB395" s="58" t="str">
        <f>IF(AND( Table1[[#This Row],[Auto Order]]=1,Table1[[#This Row],[Obsolete]]=""),IF(Table1[[#This Row],[In stock]]&lt;Table1[[#This Row],[Min in stock]],1,""),"")</f>
        <v/>
      </c>
      <c r="BC395" s="64"/>
      <c r="BD395" s="66" t="str">
        <f>IF(Table1[[#This Row],[Obsolete]],Table1[[#This Row],[Art. Number]],"")</f>
        <v/>
      </c>
    </row>
    <row r="396" spans="1:56" x14ac:dyDescent="0.25">
      <c r="A396" s="65" t="s">
        <v>21</v>
      </c>
      <c r="B396" s="57" t="s">
        <v>717</v>
      </c>
      <c r="C396" s="57" t="s">
        <v>2294</v>
      </c>
      <c r="D396" s="57" t="s">
        <v>2295</v>
      </c>
      <c r="E396" s="57" t="s">
        <v>2290</v>
      </c>
      <c r="F396" s="58">
        <v>18</v>
      </c>
      <c r="G396" s="58">
        <v>10</v>
      </c>
      <c r="H396" s="58">
        <v>1</v>
      </c>
      <c r="I396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SI2333CDS-T1-GE3CT-ND</v>
      </c>
      <c r="J396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0.56999999999999995</v>
      </c>
      <c r="K396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6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(SI2333CDS-T1-GE3CT-ND)</v>
      </c>
      <c r="M396" s="57" t="s">
        <v>2296</v>
      </c>
      <c r="N396" s="59">
        <v>0.56999999999999995</v>
      </c>
      <c r="O396" s="61" t="str">
        <f>IF(Table1[[#This Row],[Digikey]]="","", HYPERLINK(Table1[[#This Row],[Destination - Digikey]],_xlfn.CONCAT("Link (",Table1[[#This Row],[Digikey]],")")))</f>
        <v>Link (SI2333CDS-T1-GE3CT-ND)</v>
      </c>
      <c r="P396" s="62" t="str">
        <f>_xlfn.CONCAT("https://www.digikey.ch/products/en?keywords=",Table1[[#This Row],[Digikey]])</f>
        <v>https://www.digikey.ch/products/en?keywords=SI2333CDS-T1-GE3CT-ND</v>
      </c>
      <c r="Q396" s="57"/>
      <c r="R396" s="59"/>
      <c r="S396" s="61" t="str">
        <f>IF(Table1[[#This Row],[Farnell]]="","", HYPERLINK(Table1[[#This Row],[Destination - Farnell]],_xlfn.CONCAT("Link (",Table1[[#This Row],[Farnell]],")")))</f>
        <v/>
      </c>
      <c r="T396" s="62" t="str">
        <f>_xlfn.CONCAT("https://ch.farnell.com/fr-CH/",Table1[[#This Row],[Farnell]])</f>
        <v>https://ch.farnell.com/fr-CH/</v>
      </c>
      <c r="U396" s="57"/>
      <c r="V396" s="59"/>
      <c r="W396" s="61" t="str">
        <f>IF(Table1[[#This Row],[Distrelec]]="","", HYPERLINK(Table1[[#This Row],[Destination - Distrelec]],_xlfn.CONCAT("Link (",Table1[[#This Row],[Distrelec]],")")))</f>
        <v/>
      </c>
      <c r="X396" s="62" t="str">
        <f>_xlfn.CONCAT("https://www.distrelec.ch/search?q=",Table1[[#This Row],[Distrelec]])</f>
        <v>https://www.distrelec.ch/search?q=</v>
      </c>
      <c r="Y396" s="57"/>
      <c r="Z396" s="59"/>
      <c r="AA396" s="61" t="str">
        <f>IF(Table1[[#This Row],[Conrad]]="","", HYPERLINK(Table1[[#This Row],[Destination - Conrad]],_xlfn.CONCAT("Link (",Table1[[#This Row],[Conrad]],")")))</f>
        <v/>
      </c>
      <c r="AB396" s="62"/>
      <c r="AC396" s="57"/>
      <c r="AD396" s="59"/>
      <c r="AE396" s="61" t="str">
        <f>IF(Table1[[#This Row],[Mouser]]="","", HYPERLINK(Table1[[#This Row],[Destination - Mouser]],_xlfn.CONCAT("Link (",Table1[[#This Row],[Mouser]],")")))</f>
        <v/>
      </c>
      <c r="AF396" s="62" t="str">
        <f>_xlfn.CONCAT("https://www.mouser.ch/ProductDetail/",Table1[[#This Row],[Mouser]])</f>
        <v>https://www.mouser.ch/ProductDetail/</v>
      </c>
      <c r="AG396" s="57"/>
      <c r="AH396" s="59"/>
      <c r="AI396" s="61" t="str">
        <f>IF(Table1[[#This Row],[Bauhaus]]="","", HYPERLINK(Table1[[#This Row],[Destination - Bauhaus]],_xlfn.CONCAT("Link (",Table1[[#This Row],[Bauhaus]],")")))</f>
        <v/>
      </c>
      <c r="AJ396" s="62" t="str">
        <f>_xlfn.CONCAT("https://www.bauhaus.ch/fr/search?query=",Table1[[#This Row],[Bauhaus]])</f>
        <v>https://www.bauhaus.ch/fr/search?query=</v>
      </c>
      <c r="AK396" s="59"/>
      <c r="AL396" s="59"/>
      <c r="AM396" s="61" t="str">
        <f>IF(Table1[[#This Row],[BricoEtLoisirs]]="","", HYPERLINK(Table1[[#This Row],[Destination - BricoEtLoisirs]],_xlfn.CONCAT("Link (",Table1[[#This Row],[BricoEtLoisirs]],")")))</f>
        <v/>
      </c>
      <c r="AN396" s="62" t="str">
        <f>_xlfn.CONCAT("https://bricoetloisirs.ch/p/",Table1[[#This Row],[BricoEtLoisirs]])</f>
        <v>https://bricoetloisirs.ch/p/</v>
      </c>
      <c r="AO396" s="57"/>
      <c r="AP396" s="59"/>
      <c r="AQ396" s="61" t="str">
        <f>IF(Table1[[#This Row],[Aliexpress]]="","", HYPERLINK(Table1[[#This Row],[Destination - Aliexpress]],_xlfn.CONCAT("Link (",Table1[[#This Row],[Aliexpress]],")")))</f>
        <v/>
      </c>
      <c r="AR396" s="62" t="str">
        <f>_xlfn.CONCAT("https://www.aliexpress.com/item/",Table1[[#This Row],[Aliexpress]],".html")</f>
        <v>https://www.aliexpress.com/item/.html</v>
      </c>
      <c r="AS396" s="57"/>
      <c r="AT396" s="59"/>
      <c r="AU396" s="61" t="str">
        <f>IF(Table1[[#This Row],[Banggood]]="","", HYPERLINK(Table1[[#This Row],[Destination - Banggood]],_xlfn.CONCAT("Link (",Table1[[#This Row],[Banggood]],")")))</f>
        <v/>
      </c>
      <c r="AV396" s="62" t="str">
        <f>_xlfn.CONCAT("https://www.banggood.com/search/",Table1[[#This Row],[Banggood]],".html")</f>
        <v>https://www.banggood.com/search/.html</v>
      </c>
      <c r="AW396" s="59" t="str">
        <f>IF(Table1[[#This Row],[Other]]&lt;&gt;"","Other","")</f>
        <v/>
      </c>
      <c r="AX396" s="57"/>
      <c r="AY396" s="59"/>
      <c r="AZ396" s="61" t="str">
        <f>IF(Table1[[#This Row],[Other]]="","",IF(Table1[[#This Row],[Destination - Other]]="","",HYPERLINK(Table1[[#This Row],[Destination - Other]],_xlfn.CONCAT("Link ("&amp;Table1[[#This Row],[Other]]&amp;")"))))</f>
        <v/>
      </c>
      <c r="BA396" s="59"/>
      <c r="BB396" s="58" t="str">
        <f>IF(AND( Table1[[#This Row],[Auto Order]]=1,Table1[[#This Row],[Obsolete]]=""),IF(Table1[[#This Row],[In stock]]&lt;Table1[[#This Row],[Min in stock]],1,""),"")</f>
        <v/>
      </c>
      <c r="BC396" s="64"/>
      <c r="BD396" s="66" t="str">
        <f>IF(Table1[[#This Row],[Obsolete]],Table1[[#This Row],[Art. Number]],"")</f>
        <v/>
      </c>
    </row>
    <row r="397" spans="1:56" x14ac:dyDescent="0.25">
      <c r="A397" s="65" t="s">
        <v>2299</v>
      </c>
      <c r="B397" s="57" t="s">
        <v>2300</v>
      </c>
      <c r="C397" s="57" t="s">
        <v>97</v>
      </c>
      <c r="D397" s="57" t="s">
        <v>2301</v>
      </c>
      <c r="E397" s="57" t="s">
        <v>2290</v>
      </c>
      <c r="F397" s="58">
        <v>0</v>
      </c>
      <c r="G397" s="58"/>
      <c r="H397" s="58"/>
      <c r="I397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SI2342DS-T1-GE3CT-ND</v>
      </c>
      <c r="J397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0.53</v>
      </c>
      <c r="K397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7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(SI2342DS-T1-GE3CT-ND)</v>
      </c>
      <c r="M397" s="57" t="s">
        <v>2302</v>
      </c>
      <c r="N397" s="59">
        <v>0.53</v>
      </c>
      <c r="O397" s="61" t="str">
        <f>IF(Table1[[#This Row],[Digikey]]="","", HYPERLINK(Table1[[#This Row],[Destination - Digikey]],_xlfn.CONCAT("Link (",Table1[[#This Row],[Digikey]],")")))</f>
        <v>Link (SI2342DS-T1-GE3CT-ND)</v>
      </c>
      <c r="P397" s="62" t="str">
        <f>_xlfn.CONCAT("https://www.digikey.ch/products/en?keywords=",Table1[[#This Row],[Digikey]])</f>
        <v>https://www.digikey.ch/products/en?keywords=SI2342DS-T1-GE3CT-ND</v>
      </c>
      <c r="Q397" s="57"/>
      <c r="R397" s="59"/>
      <c r="S397" s="61" t="str">
        <f>IF(Table1[[#This Row],[Farnell]]="","", HYPERLINK(Table1[[#This Row],[Destination - Farnell]],_xlfn.CONCAT("Link (",Table1[[#This Row],[Farnell]],")")))</f>
        <v/>
      </c>
      <c r="T397" s="62" t="str">
        <f>_xlfn.CONCAT("https://ch.farnell.com/fr-CH/",Table1[[#This Row],[Farnell]])</f>
        <v>https://ch.farnell.com/fr-CH/</v>
      </c>
      <c r="U397" s="57"/>
      <c r="V397" s="59"/>
      <c r="W397" s="61" t="str">
        <f>IF(Table1[[#This Row],[Distrelec]]="","", HYPERLINK(Table1[[#This Row],[Destination - Distrelec]],_xlfn.CONCAT("Link (",Table1[[#This Row],[Distrelec]],")")))</f>
        <v/>
      </c>
      <c r="X397" s="62" t="str">
        <f>_xlfn.CONCAT("https://www.distrelec.ch/search?q=",Table1[[#This Row],[Distrelec]])</f>
        <v>https://www.distrelec.ch/search?q=</v>
      </c>
      <c r="Y397" s="57"/>
      <c r="Z397" s="59"/>
      <c r="AA397" s="61" t="str">
        <f>IF(Table1[[#This Row],[Conrad]]="","", HYPERLINK(Table1[[#This Row],[Destination - Conrad]],_xlfn.CONCAT("Link (",Table1[[#This Row],[Conrad]],")")))</f>
        <v/>
      </c>
      <c r="AB397" s="62"/>
      <c r="AC397" s="57"/>
      <c r="AD397" s="59"/>
      <c r="AE397" s="61" t="str">
        <f>IF(Table1[[#This Row],[Mouser]]="","", HYPERLINK(Table1[[#This Row],[Destination - Mouser]],_xlfn.CONCAT("Link (",Table1[[#This Row],[Mouser]],")")))</f>
        <v/>
      </c>
      <c r="AF397" s="62" t="str">
        <f>_xlfn.CONCAT("https://www.mouser.ch/ProductDetail/",Table1[[#This Row],[Mouser]])</f>
        <v>https://www.mouser.ch/ProductDetail/</v>
      </c>
      <c r="AG397" s="57"/>
      <c r="AH397" s="59"/>
      <c r="AI397" s="61" t="str">
        <f>IF(Table1[[#This Row],[Bauhaus]]="","", HYPERLINK(Table1[[#This Row],[Destination - Bauhaus]],_xlfn.CONCAT("Link (",Table1[[#This Row],[Bauhaus]],")")))</f>
        <v/>
      </c>
      <c r="AJ397" s="62" t="str">
        <f>_xlfn.CONCAT("https://www.bauhaus.ch/fr/search?query=",Table1[[#This Row],[Bauhaus]])</f>
        <v>https://www.bauhaus.ch/fr/search?query=</v>
      </c>
      <c r="AK397" s="59"/>
      <c r="AL397" s="59"/>
      <c r="AM397" s="61" t="str">
        <f>IF(Table1[[#This Row],[BricoEtLoisirs]]="","", HYPERLINK(Table1[[#This Row],[Destination - BricoEtLoisirs]],_xlfn.CONCAT("Link (",Table1[[#This Row],[BricoEtLoisirs]],")")))</f>
        <v/>
      </c>
      <c r="AN397" s="62" t="str">
        <f>_xlfn.CONCAT("https://bricoetloisirs.ch/p/",Table1[[#This Row],[BricoEtLoisirs]])</f>
        <v>https://bricoetloisirs.ch/p/</v>
      </c>
      <c r="AO397" s="57"/>
      <c r="AP397" s="59"/>
      <c r="AQ397" s="61" t="str">
        <f>IF(Table1[[#This Row],[Aliexpress]]="","", HYPERLINK(Table1[[#This Row],[Destination - Aliexpress]],_xlfn.CONCAT("Link (",Table1[[#This Row],[Aliexpress]],")")))</f>
        <v/>
      </c>
      <c r="AR397" s="62" t="str">
        <f>_xlfn.CONCAT("https://www.aliexpress.com/item/",Table1[[#This Row],[Aliexpress]],".html")</f>
        <v>https://www.aliexpress.com/item/.html</v>
      </c>
      <c r="AS397" s="57"/>
      <c r="AT397" s="59"/>
      <c r="AU397" s="61" t="str">
        <f>IF(Table1[[#This Row],[Banggood]]="","", HYPERLINK(Table1[[#This Row],[Destination - Banggood]],_xlfn.CONCAT("Link (",Table1[[#This Row],[Banggood]],")")))</f>
        <v/>
      </c>
      <c r="AV397" s="62" t="str">
        <f>_xlfn.CONCAT("https://www.banggood.com/search/",Table1[[#This Row],[Banggood]],".html")</f>
        <v>https://www.banggood.com/search/.html</v>
      </c>
      <c r="AW397" s="59" t="str">
        <f>IF(Table1[[#This Row],[Other]]&lt;&gt;"","Other","")</f>
        <v/>
      </c>
      <c r="AX397" s="57"/>
      <c r="AY397" s="59"/>
      <c r="AZ397" s="61" t="str">
        <f>IF(Table1[[#This Row],[Other]]="","",IF(Table1[[#This Row],[Destination - Other]]="","",HYPERLINK(Table1[[#This Row],[Destination - Other]],_xlfn.CONCAT("Link ("&amp;Table1[[#This Row],[Other]]&amp;")"))))</f>
        <v/>
      </c>
      <c r="BA397" s="59"/>
      <c r="BB397" s="58" t="str">
        <f>IF(AND( Table1[[#This Row],[Auto Order]]=1,Table1[[#This Row],[Obsolete]]=""),IF(Table1[[#This Row],[In stock]]&lt;Table1[[#This Row],[Min in stock]],1,""),"")</f>
        <v/>
      </c>
      <c r="BC397" s="64"/>
      <c r="BD397" s="66" t="str">
        <f>IF(Table1[[#This Row],[Obsolete]],Table1[[#This Row],[Art. Number]],"")</f>
        <v/>
      </c>
    </row>
    <row r="398" spans="1:56" x14ac:dyDescent="0.25">
      <c r="A398" s="65" t="s">
        <v>20</v>
      </c>
      <c r="B398" s="57" t="s">
        <v>975</v>
      </c>
      <c r="C398" s="57" t="s">
        <v>924</v>
      </c>
      <c r="D398" s="57" t="s">
        <v>976</v>
      </c>
      <c r="E398" s="57" t="s">
        <v>977</v>
      </c>
      <c r="F398" s="58">
        <v>0</v>
      </c>
      <c r="G398" s="58"/>
      <c r="H398" s="58"/>
      <c r="I398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3006P-1-100LF-ND</v>
      </c>
      <c r="J398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2.08</v>
      </c>
      <c r="K398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8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(3006P-1-100LF-ND)</v>
      </c>
      <c r="M398" s="57" t="s">
        <v>978</v>
      </c>
      <c r="N398" s="59">
        <v>2.08</v>
      </c>
      <c r="O398" s="61" t="str">
        <f>IF(Table1[[#This Row],[Digikey]]="","", HYPERLINK(Table1[[#This Row],[Destination - Digikey]],_xlfn.CONCAT("Link (",Table1[[#This Row],[Digikey]],")")))</f>
        <v>Link (3006P-1-100LF-ND)</v>
      </c>
      <c r="P398" s="62" t="str">
        <f>_xlfn.CONCAT("https://www.digikey.ch/products/en?keywords=",Table1[[#This Row],[Digikey]])</f>
        <v>https://www.digikey.ch/products/en?keywords=3006P-1-100LF-ND</v>
      </c>
      <c r="Q398" s="57"/>
      <c r="R398" s="59"/>
      <c r="S398" s="61" t="str">
        <f>IF(Table1[[#This Row],[Farnell]]="","", HYPERLINK(Table1[[#This Row],[Destination - Farnell]],_xlfn.CONCAT("Link (",Table1[[#This Row],[Farnell]],")")))</f>
        <v/>
      </c>
      <c r="T398" s="62" t="str">
        <f>_xlfn.CONCAT("https://ch.farnell.com/fr-CH/",Table1[[#This Row],[Farnell]])</f>
        <v>https://ch.farnell.com/fr-CH/</v>
      </c>
      <c r="U398" s="57"/>
      <c r="V398" s="59"/>
      <c r="W398" s="61" t="str">
        <f>IF(Table1[[#This Row],[Distrelec]]="","", HYPERLINK(Table1[[#This Row],[Destination - Distrelec]],_xlfn.CONCAT("Link (",Table1[[#This Row],[Distrelec]],")")))</f>
        <v/>
      </c>
      <c r="X398" s="62" t="str">
        <f>_xlfn.CONCAT("https://www.distrelec.ch/search?q=",Table1[[#This Row],[Distrelec]])</f>
        <v>https://www.distrelec.ch/search?q=</v>
      </c>
      <c r="Y398" s="57"/>
      <c r="Z398" s="59"/>
      <c r="AA398" s="61" t="str">
        <f>IF(Table1[[#This Row],[Conrad]]="","", HYPERLINK(Table1[[#This Row],[Destination - Conrad]],_xlfn.CONCAT("Link (",Table1[[#This Row],[Conrad]],")")))</f>
        <v/>
      </c>
      <c r="AB398" s="62"/>
      <c r="AC398" s="57"/>
      <c r="AD398" s="59"/>
      <c r="AE398" s="61" t="str">
        <f>IF(Table1[[#This Row],[Mouser]]="","", HYPERLINK(Table1[[#This Row],[Destination - Mouser]],_xlfn.CONCAT("Link (",Table1[[#This Row],[Mouser]],")")))</f>
        <v/>
      </c>
      <c r="AF398" s="62" t="str">
        <f>_xlfn.CONCAT("https://www.mouser.ch/ProductDetail/",Table1[[#This Row],[Mouser]])</f>
        <v>https://www.mouser.ch/ProductDetail/</v>
      </c>
      <c r="AG398" s="57"/>
      <c r="AH398" s="59"/>
      <c r="AI398" s="61" t="str">
        <f>IF(Table1[[#This Row],[Bauhaus]]="","", HYPERLINK(Table1[[#This Row],[Destination - Bauhaus]],_xlfn.CONCAT("Link (",Table1[[#This Row],[Bauhaus]],")")))</f>
        <v/>
      </c>
      <c r="AJ398" s="62" t="str">
        <f>_xlfn.CONCAT("https://www.bauhaus.ch/fr/search?query=",Table1[[#This Row],[Bauhaus]])</f>
        <v>https://www.bauhaus.ch/fr/search?query=</v>
      </c>
      <c r="AK398" s="59"/>
      <c r="AL398" s="59"/>
      <c r="AM398" s="61" t="str">
        <f>IF(Table1[[#This Row],[BricoEtLoisirs]]="","", HYPERLINK(Table1[[#This Row],[Destination - BricoEtLoisirs]],_xlfn.CONCAT("Link (",Table1[[#This Row],[BricoEtLoisirs]],")")))</f>
        <v/>
      </c>
      <c r="AN398" s="62" t="str">
        <f>_xlfn.CONCAT("https://bricoetloisirs.ch/p/",Table1[[#This Row],[BricoEtLoisirs]])</f>
        <v>https://bricoetloisirs.ch/p/</v>
      </c>
      <c r="AO398" s="57"/>
      <c r="AP398" s="59"/>
      <c r="AQ398" s="61" t="str">
        <f>IF(Table1[[#This Row],[Aliexpress]]="","", HYPERLINK(Table1[[#This Row],[Destination - Aliexpress]],_xlfn.CONCAT("Link (",Table1[[#This Row],[Aliexpress]],")")))</f>
        <v/>
      </c>
      <c r="AR398" s="62" t="str">
        <f>_xlfn.CONCAT("https://www.aliexpress.com/item/",Table1[[#This Row],[Aliexpress]],".html")</f>
        <v>https://www.aliexpress.com/item/.html</v>
      </c>
      <c r="AS398" s="57"/>
      <c r="AT398" s="59"/>
      <c r="AU398" s="61" t="str">
        <f>IF(Table1[[#This Row],[Banggood]]="","", HYPERLINK(Table1[[#This Row],[Destination - Banggood]],_xlfn.CONCAT("Link (",Table1[[#This Row],[Banggood]],")")))</f>
        <v/>
      </c>
      <c r="AV398" s="62" t="str">
        <f>_xlfn.CONCAT("https://www.banggood.com/search/",Table1[[#This Row],[Banggood]],".html")</f>
        <v>https://www.banggood.com/search/.html</v>
      </c>
      <c r="AW398" s="59" t="str">
        <f>IF(Table1[[#This Row],[Other]]&lt;&gt;"","Other","")</f>
        <v/>
      </c>
      <c r="AX398" s="57"/>
      <c r="AY398" s="59"/>
      <c r="AZ398" s="61" t="str">
        <f>IF(Table1[[#This Row],[Other]]="","",IF(Table1[[#This Row],[Destination - Other]]="","",HYPERLINK(Table1[[#This Row],[Destination - Other]],_xlfn.CONCAT("Link ("&amp;Table1[[#This Row],[Other]]&amp;")"))))</f>
        <v/>
      </c>
      <c r="BA398" s="59"/>
      <c r="BB398" s="58" t="str">
        <f>IF(AND( Table1[[#This Row],[Auto Order]]=1,Table1[[#This Row],[Obsolete]]=""),IF(Table1[[#This Row],[In stock]]&lt;Table1[[#This Row],[Min in stock]],1,""),"")</f>
        <v/>
      </c>
      <c r="BC398" s="64"/>
      <c r="BD398" s="66" t="str">
        <f>IF(Table1[[#This Row],[Obsolete]],Table1[[#This Row],[Art. Number]],"")</f>
        <v/>
      </c>
    </row>
    <row r="399" spans="1:56" x14ac:dyDescent="0.25">
      <c r="A399" s="65" t="s">
        <v>23</v>
      </c>
      <c r="B399" s="57" t="s">
        <v>1006</v>
      </c>
      <c r="C399" s="57" t="s">
        <v>924</v>
      </c>
      <c r="D399" s="57" t="s">
        <v>1007</v>
      </c>
      <c r="E399" s="57" t="s">
        <v>977</v>
      </c>
      <c r="F399" s="58">
        <v>2</v>
      </c>
      <c r="G399" s="58"/>
      <c r="H399" s="58"/>
      <c r="I399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T93XA-100K-ND</v>
      </c>
      <c r="J399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1.81</v>
      </c>
      <c r="K399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399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(T93XA-100K-ND)</v>
      </c>
      <c r="M399" s="57" t="s">
        <v>1008</v>
      </c>
      <c r="N399" s="59">
        <v>1.81</v>
      </c>
      <c r="O399" s="61" t="str">
        <f>IF(Table1[[#This Row],[Digikey]]="","", HYPERLINK(Table1[[#This Row],[Destination - Digikey]],_xlfn.CONCAT("Link (",Table1[[#This Row],[Digikey]],")")))</f>
        <v>Link (T93XA-100K-ND)</v>
      </c>
      <c r="P399" s="62" t="str">
        <f>_xlfn.CONCAT("https://www.digikey.ch/products/en?keywords=",Table1[[#This Row],[Digikey]])</f>
        <v>https://www.digikey.ch/products/en?keywords=T93XA-100K-ND</v>
      </c>
      <c r="Q399" s="57"/>
      <c r="R399" s="59"/>
      <c r="S399" s="61" t="str">
        <f>IF(Table1[[#This Row],[Farnell]]="","", HYPERLINK(Table1[[#This Row],[Destination - Farnell]],_xlfn.CONCAT("Link (",Table1[[#This Row],[Farnell]],")")))</f>
        <v/>
      </c>
      <c r="T399" s="62" t="str">
        <f>_xlfn.CONCAT("https://ch.farnell.com/fr-CH/",Table1[[#This Row],[Farnell]])</f>
        <v>https://ch.farnell.com/fr-CH/</v>
      </c>
      <c r="U399" s="57"/>
      <c r="V399" s="59"/>
      <c r="W399" s="61" t="str">
        <f>IF(Table1[[#This Row],[Distrelec]]="","", HYPERLINK(Table1[[#This Row],[Destination - Distrelec]],_xlfn.CONCAT("Link (",Table1[[#This Row],[Distrelec]],")")))</f>
        <v/>
      </c>
      <c r="X399" s="62" t="str">
        <f>_xlfn.CONCAT("https://www.distrelec.ch/search?q=",Table1[[#This Row],[Distrelec]])</f>
        <v>https://www.distrelec.ch/search?q=</v>
      </c>
      <c r="Y399" s="57"/>
      <c r="Z399" s="59"/>
      <c r="AA399" s="61" t="str">
        <f>IF(Table1[[#This Row],[Conrad]]="","", HYPERLINK(Table1[[#This Row],[Destination - Conrad]],_xlfn.CONCAT("Link (",Table1[[#This Row],[Conrad]],")")))</f>
        <v/>
      </c>
      <c r="AB399" s="62"/>
      <c r="AC399" s="57"/>
      <c r="AD399" s="59"/>
      <c r="AE399" s="61" t="str">
        <f>IF(Table1[[#This Row],[Mouser]]="","", HYPERLINK(Table1[[#This Row],[Destination - Mouser]],_xlfn.CONCAT("Link (",Table1[[#This Row],[Mouser]],")")))</f>
        <v/>
      </c>
      <c r="AF399" s="62" t="str">
        <f>_xlfn.CONCAT("https://www.mouser.ch/ProductDetail/",Table1[[#This Row],[Mouser]])</f>
        <v>https://www.mouser.ch/ProductDetail/</v>
      </c>
      <c r="AG399" s="57"/>
      <c r="AH399" s="59"/>
      <c r="AI399" s="61" t="str">
        <f>IF(Table1[[#This Row],[Bauhaus]]="","", HYPERLINK(Table1[[#This Row],[Destination - Bauhaus]],_xlfn.CONCAT("Link (",Table1[[#This Row],[Bauhaus]],")")))</f>
        <v/>
      </c>
      <c r="AJ399" s="62" t="str">
        <f>_xlfn.CONCAT("https://www.bauhaus.ch/fr/search?query=",Table1[[#This Row],[Bauhaus]])</f>
        <v>https://www.bauhaus.ch/fr/search?query=</v>
      </c>
      <c r="AK399" s="59"/>
      <c r="AL399" s="59"/>
      <c r="AM399" s="61" t="str">
        <f>IF(Table1[[#This Row],[BricoEtLoisirs]]="","", HYPERLINK(Table1[[#This Row],[Destination - BricoEtLoisirs]],_xlfn.CONCAT("Link (",Table1[[#This Row],[BricoEtLoisirs]],")")))</f>
        <v/>
      </c>
      <c r="AN399" s="62" t="str">
        <f>_xlfn.CONCAT("https://bricoetloisirs.ch/p/",Table1[[#This Row],[BricoEtLoisirs]])</f>
        <v>https://bricoetloisirs.ch/p/</v>
      </c>
      <c r="AO399" s="57"/>
      <c r="AP399" s="59"/>
      <c r="AQ399" s="61" t="str">
        <f>IF(Table1[[#This Row],[Aliexpress]]="","", HYPERLINK(Table1[[#This Row],[Destination - Aliexpress]],_xlfn.CONCAT("Link (",Table1[[#This Row],[Aliexpress]],")")))</f>
        <v/>
      </c>
      <c r="AR399" s="62" t="str">
        <f>_xlfn.CONCAT("https://www.aliexpress.com/item/",Table1[[#This Row],[Aliexpress]],".html")</f>
        <v>https://www.aliexpress.com/item/.html</v>
      </c>
      <c r="AS399" s="57"/>
      <c r="AT399" s="59"/>
      <c r="AU399" s="61" t="str">
        <f>IF(Table1[[#This Row],[Banggood]]="","", HYPERLINK(Table1[[#This Row],[Destination - Banggood]],_xlfn.CONCAT("Link (",Table1[[#This Row],[Banggood]],")")))</f>
        <v/>
      </c>
      <c r="AV399" s="62" t="str">
        <f>_xlfn.CONCAT("https://www.banggood.com/search/",Table1[[#This Row],[Banggood]],".html")</f>
        <v>https://www.banggood.com/search/.html</v>
      </c>
      <c r="AW399" s="59" t="str">
        <f>IF(Table1[[#This Row],[Other]]&lt;&gt;"","Other","")</f>
        <v/>
      </c>
      <c r="AX399" s="57"/>
      <c r="AY399" s="59"/>
      <c r="AZ399" s="61" t="str">
        <f>IF(Table1[[#This Row],[Other]]="","",IF(Table1[[#This Row],[Destination - Other]]="","",HYPERLINK(Table1[[#This Row],[Destination - Other]],_xlfn.CONCAT("Link ("&amp;Table1[[#This Row],[Other]]&amp;")"))))</f>
        <v/>
      </c>
      <c r="BA399" s="59"/>
      <c r="BB399" s="58" t="str">
        <f>IF(AND( Table1[[#This Row],[Auto Order]]=1,Table1[[#This Row],[Obsolete]]=""),IF(Table1[[#This Row],[In stock]]&lt;Table1[[#This Row],[Min in stock]],1,""),"")</f>
        <v/>
      </c>
      <c r="BC399" s="64"/>
      <c r="BD399" s="66" t="str">
        <f>IF(Table1[[#This Row],[Obsolete]],Table1[[#This Row],[Art. Number]],"")</f>
        <v/>
      </c>
    </row>
    <row r="400" spans="1:56" x14ac:dyDescent="0.25">
      <c r="A400" s="65" t="s">
        <v>2315</v>
      </c>
      <c r="B400" s="57" t="s">
        <v>802</v>
      </c>
      <c r="C400" s="57" t="s">
        <v>97</v>
      </c>
      <c r="D400" s="57" t="s">
        <v>2316</v>
      </c>
      <c r="E400" s="57" t="s">
        <v>2317</v>
      </c>
      <c r="F400" s="58">
        <v>3</v>
      </c>
      <c r="G400" s="58"/>
      <c r="H400" s="58"/>
      <c r="I400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495-1433-ND</v>
      </c>
      <c r="J400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0.48</v>
      </c>
      <c r="K400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00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(495-1433-ND)</v>
      </c>
      <c r="M400" s="57" t="s">
        <v>2318</v>
      </c>
      <c r="N400" s="59">
        <v>0.48</v>
      </c>
      <c r="O400" s="61" t="str">
        <f>IF(Table1[[#This Row],[Digikey]]="","", HYPERLINK(Table1[[#This Row],[Destination - Digikey]],_xlfn.CONCAT("Link (",Table1[[#This Row],[Digikey]],")")))</f>
        <v>Link (495-1433-ND)</v>
      </c>
      <c r="P400" s="62" t="str">
        <f>_xlfn.CONCAT("https://www.digikey.ch/products/en?keywords=",Table1[[#This Row],[Digikey]])</f>
        <v>https://www.digikey.ch/products/en?keywords=495-1433-ND</v>
      </c>
      <c r="Q400" s="57"/>
      <c r="R400" s="59"/>
      <c r="S400" s="61" t="str">
        <f>IF(Table1[[#This Row],[Farnell]]="","", HYPERLINK(Table1[[#This Row],[Destination - Farnell]],_xlfn.CONCAT("Link (",Table1[[#This Row],[Farnell]],")")))</f>
        <v/>
      </c>
      <c r="T400" s="62" t="str">
        <f>_xlfn.CONCAT("https://ch.farnell.com/fr-CH/",Table1[[#This Row],[Farnell]])</f>
        <v>https://ch.farnell.com/fr-CH/</v>
      </c>
      <c r="U400" s="57"/>
      <c r="V400" s="59"/>
      <c r="W400" s="61" t="str">
        <f>IF(Table1[[#This Row],[Distrelec]]="","", HYPERLINK(Table1[[#This Row],[Destination - Distrelec]],_xlfn.CONCAT("Link (",Table1[[#This Row],[Distrelec]],")")))</f>
        <v/>
      </c>
      <c r="X400" s="62" t="str">
        <f>_xlfn.CONCAT("https://www.distrelec.ch/search?q=",Table1[[#This Row],[Distrelec]])</f>
        <v>https://www.distrelec.ch/search?q=</v>
      </c>
      <c r="Y400" s="57"/>
      <c r="Z400" s="59"/>
      <c r="AA400" s="61" t="str">
        <f>IF(Table1[[#This Row],[Conrad]]="","", HYPERLINK(Table1[[#This Row],[Destination - Conrad]],_xlfn.CONCAT("Link (",Table1[[#This Row],[Conrad]],")")))</f>
        <v/>
      </c>
      <c r="AB400" s="62"/>
      <c r="AC400" s="57"/>
      <c r="AD400" s="59"/>
      <c r="AE400" s="61" t="str">
        <f>IF(Table1[[#This Row],[Mouser]]="","", HYPERLINK(Table1[[#This Row],[Destination - Mouser]],_xlfn.CONCAT("Link (",Table1[[#This Row],[Mouser]],")")))</f>
        <v/>
      </c>
      <c r="AF400" s="62" t="str">
        <f>_xlfn.CONCAT("https://www.mouser.ch/ProductDetail/",Table1[[#This Row],[Mouser]])</f>
        <v>https://www.mouser.ch/ProductDetail/</v>
      </c>
      <c r="AG400" s="57"/>
      <c r="AH400" s="59"/>
      <c r="AI400" s="61" t="str">
        <f>IF(Table1[[#This Row],[Bauhaus]]="","", HYPERLINK(Table1[[#This Row],[Destination - Bauhaus]],_xlfn.CONCAT("Link (",Table1[[#This Row],[Bauhaus]],")")))</f>
        <v/>
      </c>
      <c r="AJ400" s="62" t="str">
        <f>_xlfn.CONCAT("https://www.bauhaus.ch/fr/search?query=",Table1[[#This Row],[Bauhaus]])</f>
        <v>https://www.bauhaus.ch/fr/search?query=</v>
      </c>
      <c r="AK400" s="59"/>
      <c r="AL400" s="59"/>
      <c r="AM400" s="61" t="str">
        <f>IF(Table1[[#This Row],[BricoEtLoisirs]]="","", HYPERLINK(Table1[[#This Row],[Destination - BricoEtLoisirs]],_xlfn.CONCAT("Link (",Table1[[#This Row],[BricoEtLoisirs]],")")))</f>
        <v/>
      </c>
      <c r="AN400" s="62" t="str">
        <f>_xlfn.CONCAT("https://bricoetloisirs.ch/p/",Table1[[#This Row],[BricoEtLoisirs]])</f>
        <v>https://bricoetloisirs.ch/p/</v>
      </c>
      <c r="AO400" s="57"/>
      <c r="AP400" s="59"/>
      <c r="AQ400" s="61" t="str">
        <f>IF(Table1[[#This Row],[Aliexpress]]="","", HYPERLINK(Table1[[#This Row],[Destination - Aliexpress]],_xlfn.CONCAT("Link (",Table1[[#This Row],[Aliexpress]],")")))</f>
        <v/>
      </c>
      <c r="AR400" s="62" t="str">
        <f>_xlfn.CONCAT("https://www.aliexpress.com/item/",Table1[[#This Row],[Aliexpress]],".html")</f>
        <v>https://www.aliexpress.com/item/.html</v>
      </c>
      <c r="AS400" s="57"/>
      <c r="AT400" s="59"/>
      <c r="AU400" s="61" t="str">
        <f>IF(Table1[[#This Row],[Banggood]]="","", HYPERLINK(Table1[[#This Row],[Destination - Banggood]],_xlfn.CONCAT("Link (",Table1[[#This Row],[Banggood]],")")))</f>
        <v/>
      </c>
      <c r="AV400" s="62" t="str">
        <f>_xlfn.CONCAT("https://www.banggood.com/search/",Table1[[#This Row],[Banggood]],".html")</f>
        <v>https://www.banggood.com/search/.html</v>
      </c>
      <c r="AW400" s="59" t="str">
        <f>IF(Table1[[#This Row],[Other]]&lt;&gt;"","Other","")</f>
        <v/>
      </c>
      <c r="AX400" s="57"/>
      <c r="AY400" s="59"/>
      <c r="AZ400" s="61" t="str">
        <f>IF(Table1[[#This Row],[Other]]="","",IF(Table1[[#This Row],[Destination - Other]]="","",HYPERLINK(Table1[[#This Row],[Destination - Other]],_xlfn.CONCAT("Link ("&amp;Table1[[#This Row],[Other]]&amp;")"))))</f>
        <v/>
      </c>
      <c r="BA400" s="59"/>
      <c r="BB400" s="58" t="str">
        <f>IF(AND( Table1[[#This Row],[Auto Order]]=1,Table1[[#This Row],[Obsolete]]=""),IF(Table1[[#This Row],[In stock]]&lt;Table1[[#This Row],[Min in stock]],1,""),"")</f>
        <v/>
      </c>
      <c r="BC400" s="64"/>
      <c r="BD400" s="66" t="str">
        <f>IF(Table1[[#This Row],[Obsolete]],Table1[[#This Row],[Art. Number]],"")</f>
        <v/>
      </c>
    </row>
    <row r="401" spans="1:56" x14ac:dyDescent="0.25">
      <c r="A401" s="65" t="s">
        <v>2320</v>
      </c>
      <c r="B401" s="57" t="s">
        <v>2321</v>
      </c>
      <c r="C401" s="57" t="s">
        <v>97</v>
      </c>
      <c r="D401" s="57" t="s">
        <v>2322</v>
      </c>
      <c r="E401" s="57" t="s">
        <v>2323</v>
      </c>
      <c r="F401" s="58">
        <v>1</v>
      </c>
      <c r="G401" s="58"/>
      <c r="H401" s="58"/>
      <c r="I401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1866-2141-ND</v>
      </c>
      <c r="J401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18.96</v>
      </c>
      <c r="K401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01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(1866-2141-ND)</v>
      </c>
      <c r="M401" s="57" t="s">
        <v>2324</v>
      </c>
      <c r="N401" s="59">
        <v>18.96</v>
      </c>
      <c r="O401" s="61" t="str">
        <f>IF(Table1[[#This Row],[Digikey]]="","", HYPERLINK(Table1[[#This Row],[Destination - Digikey]],_xlfn.CONCAT("Link (",Table1[[#This Row],[Digikey]],")")))</f>
        <v>Link (1866-2141-ND)</v>
      </c>
      <c r="P401" s="62" t="str">
        <f>_xlfn.CONCAT("https://www.digikey.ch/products/en?keywords=",Table1[[#This Row],[Digikey]])</f>
        <v>https://www.digikey.ch/products/en?keywords=1866-2141-ND</v>
      </c>
      <c r="Q401" s="57"/>
      <c r="R401" s="59"/>
      <c r="S401" s="61" t="str">
        <f>IF(Table1[[#This Row],[Farnell]]="","", HYPERLINK(Table1[[#This Row],[Destination - Farnell]],_xlfn.CONCAT("Link (",Table1[[#This Row],[Farnell]],")")))</f>
        <v/>
      </c>
      <c r="T401" s="62" t="str">
        <f>_xlfn.CONCAT("https://ch.farnell.com/fr-CH/",Table1[[#This Row],[Farnell]])</f>
        <v>https://ch.farnell.com/fr-CH/</v>
      </c>
      <c r="U401" s="57"/>
      <c r="V401" s="59"/>
      <c r="W401" s="61" t="str">
        <f>IF(Table1[[#This Row],[Distrelec]]="","", HYPERLINK(Table1[[#This Row],[Destination - Distrelec]],_xlfn.CONCAT("Link (",Table1[[#This Row],[Distrelec]],")")))</f>
        <v/>
      </c>
      <c r="X401" s="62" t="str">
        <f>_xlfn.CONCAT("https://www.distrelec.ch/search?q=",Table1[[#This Row],[Distrelec]])</f>
        <v>https://www.distrelec.ch/search?q=</v>
      </c>
      <c r="Y401" s="57"/>
      <c r="Z401" s="59"/>
      <c r="AA401" s="61" t="str">
        <f>IF(Table1[[#This Row],[Conrad]]="","", HYPERLINK(Table1[[#This Row],[Destination - Conrad]],_xlfn.CONCAT("Link (",Table1[[#This Row],[Conrad]],")")))</f>
        <v/>
      </c>
      <c r="AB401" s="62"/>
      <c r="AC401" s="57"/>
      <c r="AD401" s="59"/>
      <c r="AE401" s="61" t="str">
        <f>IF(Table1[[#This Row],[Mouser]]="","", HYPERLINK(Table1[[#This Row],[Destination - Mouser]],_xlfn.CONCAT("Link (",Table1[[#This Row],[Mouser]],")")))</f>
        <v/>
      </c>
      <c r="AF401" s="62" t="str">
        <f>_xlfn.CONCAT("https://www.mouser.ch/ProductDetail/",Table1[[#This Row],[Mouser]])</f>
        <v>https://www.mouser.ch/ProductDetail/</v>
      </c>
      <c r="AG401" s="57"/>
      <c r="AH401" s="59"/>
      <c r="AI401" s="61" t="str">
        <f>IF(Table1[[#This Row],[Bauhaus]]="","", HYPERLINK(Table1[[#This Row],[Destination - Bauhaus]],_xlfn.CONCAT("Link (",Table1[[#This Row],[Bauhaus]],")")))</f>
        <v/>
      </c>
      <c r="AJ401" s="62" t="str">
        <f>_xlfn.CONCAT("https://www.bauhaus.ch/fr/search?query=",Table1[[#This Row],[Bauhaus]])</f>
        <v>https://www.bauhaus.ch/fr/search?query=</v>
      </c>
      <c r="AK401" s="59"/>
      <c r="AL401" s="59"/>
      <c r="AM401" s="61" t="str">
        <f>IF(Table1[[#This Row],[BricoEtLoisirs]]="","", HYPERLINK(Table1[[#This Row],[Destination - BricoEtLoisirs]],_xlfn.CONCAT("Link (",Table1[[#This Row],[BricoEtLoisirs]],")")))</f>
        <v/>
      </c>
      <c r="AN401" s="62" t="str">
        <f>_xlfn.CONCAT("https://bricoetloisirs.ch/p/",Table1[[#This Row],[BricoEtLoisirs]])</f>
        <v>https://bricoetloisirs.ch/p/</v>
      </c>
      <c r="AO401" s="57"/>
      <c r="AP401" s="59"/>
      <c r="AQ401" s="61" t="str">
        <f>IF(Table1[[#This Row],[Aliexpress]]="","", HYPERLINK(Table1[[#This Row],[Destination - Aliexpress]],_xlfn.CONCAT("Link (",Table1[[#This Row],[Aliexpress]],")")))</f>
        <v/>
      </c>
      <c r="AR401" s="62" t="str">
        <f>_xlfn.CONCAT("https://www.aliexpress.com/item/",Table1[[#This Row],[Aliexpress]],".html")</f>
        <v>https://www.aliexpress.com/item/.html</v>
      </c>
      <c r="AS401" s="57"/>
      <c r="AT401" s="59"/>
      <c r="AU401" s="61" t="str">
        <f>IF(Table1[[#This Row],[Banggood]]="","", HYPERLINK(Table1[[#This Row],[Destination - Banggood]],_xlfn.CONCAT("Link (",Table1[[#This Row],[Banggood]],")")))</f>
        <v/>
      </c>
      <c r="AV401" s="62" t="str">
        <f>_xlfn.CONCAT("https://www.banggood.com/search/",Table1[[#This Row],[Banggood]],".html")</f>
        <v>https://www.banggood.com/search/.html</v>
      </c>
      <c r="AW401" s="59" t="str">
        <f>IF(Table1[[#This Row],[Other]]&lt;&gt;"","Other","")</f>
        <v/>
      </c>
      <c r="AX401" s="57"/>
      <c r="AY401" s="59"/>
      <c r="AZ401" s="61" t="str">
        <f>IF(Table1[[#This Row],[Other]]="","",IF(Table1[[#This Row],[Destination - Other]]="","",HYPERLINK(Table1[[#This Row],[Destination - Other]],_xlfn.CONCAT("Link ("&amp;Table1[[#This Row],[Other]]&amp;")"))))</f>
        <v/>
      </c>
      <c r="BA401" s="59"/>
      <c r="BB401" s="58" t="str">
        <f>IF(AND( Table1[[#This Row],[Auto Order]]=1,Table1[[#This Row],[Obsolete]]=""),IF(Table1[[#This Row],[In stock]]&lt;Table1[[#This Row],[Min in stock]],1,""),"")</f>
        <v/>
      </c>
      <c r="BC401" s="64"/>
      <c r="BD401" s="66" t="str">
        <f>IF(Table1[[#This Row],[Obsolete]],Table1[[#This Row],[Art. Number]],"")</f>
        <v/>
      </c>
    </row>
    <row r="402" spans="1:56" x14ac:dyDescent="0.25">
      <c r="A402" s="65" t="s">
        <v>2326</v>
      </c>
      <c r="B402" s="57" t="s">
        <v>454</v>
      </c>
      <c r="C402" s="57" t="s">
        <v>450</v>
      </c>
      <c r="D402" s="57" t="s">
        <v>2455</v>
      </c>
      <c r="E402" s="57" t="s">
        <v>2327</v>
      </c>
      <c r="F402" s="58">
        <v>4</v>
      </c>
      <c r="G402" s="58"/>
      <c r="H402" s="58"/>
      <c r="I402" s="58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RPC9876-ND</v>
      </c>
      <c r="J402" s="5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0.17</v>
      </c>
      <c r="K402" s="58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402" s="60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(RPC9876-ND)</v>
      </c>
      <c r="M402" s="57" t="s">
        <v>2328</v>
      </c>
      <c r="N402" s="59">
        <v>0.17</v>
      </c>
      <c r="O402" s="61" t="str">
        <f>IF(Table1[[#This Row],[Digikey]]="","", HYPERLINK(Table1[[#This Row],[Destination - Digikey]],_xlfn.CONCAT("Link (",Table1[[#This Row],[Digikey]],")")))</f>
        <v>Link (RPC9876-ND)</v>
      </c>
      <c r="P402" s="62" t="str">
        <f>_xlfn.CONCAT("https://www.digikey.ch/products/en?keywords=",Table1[[#This Row],[Digikey]])</f>
        <v>https://www.digikey.ch/products/en?keywords=RPC9876-ND</v>
      </c>
      <c r="Q402" s="57"/>
      <c r="R402" s="59"/>
      <c r="S402" s="61" t="str">
        <f>IF(Table1[[#This Row],[Farnell]]="","", HYPERLINK(Table1[[#This Row],[Destination - Farnell]],_xlfn.CONCAT("Link (",Table1[[#This Row],[Farnell]],")")))</f>
        <v/>
      </c>
      <c r="T402" s="62" t="str">
        <f>_xlfn.CONCAT("https://ch.farnell.com/fr-CH/",Table1[[#This Row],[Farnell]])</f>
        <v>https://ch.farnell.com/fr-CH/</v>
      </c>
      <c r="U402" s="57"/>
      <c r="V402" s="59"/>
      <c r="W402" s="61" t="str">
        <f>IF(Table1[[#This Row],[Distrelec]]="","", HYPERLINK(Table1[[#This Row],[Destination - Distrelec]],_xlfn.CONCAT("Link (",Table1[[#This Row],[Distrelec]],")")))</f>
        <v/>
      </c>
      <c r="X402" s="62" t="str">
        <f>_xlfn.CONCAT("https://www.distrelec.ch/search?q=",Table1[[#This Row],[Distrelec]])</f>
        <v>https://www.distrelec.ch/search?q=</v>
      </c>
      <c r="Y402" s="57"/>
      <c r="Z402" s="59"/>
      <c r="AA402" s="61" t="str">
        <f>IF(Table1[[#This Row],[Conrad]]="","", HYPERLINK(Table1[[#This Row],[Destination - Conrad]],_xlfn.CONCAT("Link (",Table1[[#This Row],[Conrad]],")")))</f>
        <v/>
      </c>
      <c r="AB402" s="62"/>
      <c r="AC402" s="57"/>
      <c r="AD402" s="59"/>
      <c r="AE402" s="61" t="str">
        <f>IF(Table1[[#This Row],[Mouser]]="","", HYPERLINK(Table1[[#This Row],[Destination - Mouser]],_xlfn.CONCAT("Link (",Table1[[#This Row],[Mouser]],")")))</f>
        <v/>
      </c>
      <c r="AF402" s="62" t="str">
        <f>_xlfn.CONCAT("https://www.mouser.ch/ProductDetail/",Table1[[#This Row],[Mouser]])</f>
        <v>https://www.mouser.ch/ProductDetail/</v>
      </c>
      <c r="AG402" s="57"/>
      <c r="AH402" s="59"/>
      <c r="AI402" s="61" t="str">
        <f>IF(Table1[[#This Row],[Bauhaus]]="","", HYPERLINK(Table1[[#This Row],[Destination - Bauhaus]],_xlfn.CONCAT("Link (",Table1[[#This Row],[Bauhaus]],")")))</f>
        <v/>
      </c>
      <c r="AJ402" s="62" t="str">
        <f>_xlfn.CONCAT("https://www.bauhaus.ch/fr/search?query=",Table1[[#This Row],[Bauhaus]])</f>
        <v>https://www.bauhaus.ch/fr/search?query=</v>
      </c>
      <c r="AK402" s="59"/>
      <c r="AL402" s="59"/>
      <c r="AM402" s="61" t="str">
        <f>IF(Table1[[#This Row],[BricoEtLoisirs]]="","", HYPERLINK(Table1[[#This Row],[Destination - BricoEtLoisirs]],_xlfn.CONCAT("Link (",Table1[[#This Row],[BricoEtLoisirs]],")")))</f>
        <v/>
      </c>
      <c r="AN402" s="62" t="str">
        <f>_xlfn.CONCAT("https://bricoetloisirs.ch/p/",Table1[[#This Row],[BricoEtLoisirs]])</f>
        <v>https://bricoetloisirs.ch/p/</v>
      </c>
      <c r="AO402" s="57"/>
      <c r="AP402" s="59"/>
      <c r="AQ402" s="61" t="str">
        <f>IF(Table1[[#This Row],[Aliexpress]]="","", HYPERLINK(Table1[[#This Row],[Destination - Aliexpress]],_xlfn.CONCAT("Link (",Table1[[#This Row],[Aliexpress]],")")))</f>
        <v/>
      </c>
      <c r="AR402" s="62" t="str">
        <f>_xlfn.CONCAT("https://www.aliexpress.com/item/",Table1[[#This Row],[Aliexpress]],".html")</f>
        <v>https://www.aliexpress.com/item/.html</v>
      </c>
      <c r="AS402" s="57"/>
      <c r="AT402" s="59"/>
      <c r="AU402" s="61" t="str">
        <f>IF(Table1[[#This Row],[Banggood]]="","", HYPERLINK(Table1[[#This Row],[Destination - Banggood]],_xlfn.CONCAT("Link (",Table1[[#This Row],[Banggood]],")")))</f>
        <v/>
      </c>
      <c r="AV402" s="62" t="str">
        <f>_xlfn.CONCAT("https://www.banggood.com/search/",Table1[[#This Row],[Banggood]],".html")</f>
        <v>https://www.banggood.com/search/.html</v>
      </c>
      <c r="AW402" s="59" t="str">
        <f>IF(Table1[[#This Row],[Other]]&lt;&gt;"","Other","")</f>
        <v/>
      </c>
      <c r="AX402" s="57"/>
      <c r="AY402" s="59"/>
      <c r="AZ402" s="61" t="str">
        <f>IF(Table1[[#This Row],[Other]]="","",IF(Table1[[#This Row],[Destination - Other]]="","",HYPERLINK(Table1[[#This Row],[Destination - Other]],_xlfn.CONCAT("Link ("&amp;Table1[[#This Row],[Other]]&amp;")"))))</f>
        <v/>
      </c>
      <c r="BA402" s="59"/>
      <c r="BB402" s="58" t="str">
        <f>IF(AND( Table1[[#This Row],[Auto Order]]=1,Table1[[#This Row],[Obsolete]]=""),IF(Table1[[#This Row],[In stock]]&lt;Table1[[#This Row],[Min in stock]],1,""),"")</f>
        <v/>
      </c>
      <c r="BC402" s="64"/>
      <c r="BD402" s="66" t="str">
        <f>IF(Table1[[#This Row],[Obsolete]],Table1[[#This Row],[Art. Number]],"")</f>
        <v/>
      </c>
    </row>
  </sheetData>
  <dataConsolidate/>
  <phoneticPr fontId="7" type="noConversion"/>
  <conditionalFormatting sqref="BB1:BB1048576">
    <cfRule type="cellIs" dxfId="265" priority="70" operator="equal">
      <formula>1</formula>
    </cfRule>
  </conditionalFormatting>
  <conditionalFormatting sqref="E1:E1048576">
    <cfRule type="containsText" dxfId="264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63" priority="19" stopIfTrue="1" operator="lessThan">
      <formula>0</formula>
    </cfRule>
  </conditionalFormatting>
  <conditionalFormatting sqref="F2:F999196">
    <cfRule type="cellIs" dxfId="262" priority="30" operator="lessThan">
      <formula>$G2</formula>
    </cfRule>
  </conditionalFormatting>
  <conditionalFormatting sqref="A1:A1048576">
    <cfRule type="containsBlanks" priority="80" stopIfTrue="1">
      <formula>LEN(TRIM(A1))=0</formula>
    </cfRule>
    <cfRule type="cellIs" dxfId="261" priority="81" operator="equal">
      <formula>$BD1</formula>
    </cfRule>
    <cfRule type="duplicateValues" dxfId="260" priority="8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2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38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36">
        <v>2</v>
      </c>
      <c r="N1" t="s">
        <v>269</v>
      </c>
    </row>
    <row r="2" spans="1:14" x14ac:dyDescent="0.25">
      <c r="A2" s="3" t="s">
        <v>263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29</v>
      </c>
      <c r="E2" s="32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224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29</v>
      </c>
      <c r="E3" s="32">
        <v>19</v>
      </c>
      <c r="F3" s="4">
        <f>VLOOKUP(Table14113[[#This Row],[Man. Number]],Articles!A:F,COLUMN(Articles!$F$1)-COLUMN(Articles!$A$1)+1,FALSE)</f>
        <v>66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42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29</v>
      </c>
      <c r="E4" s="32">
        <v>1</v>
      </c>
      <c r="F4" s="4">
        <f>VLOOKUP(Table14113[[#This Row],[Man. Number]],Articles!A:F,COLUMN(Articles!$F$1)-COLUMN(Articles!$A$1)+1,FALSE)</f>
        <v>0</v>
      </c>
      <c r="G4" s="4" t="str">
        <f>IF(Table14113[[#This Row],[In stock]] &gt;= Table14113[[#This Row],[Quantity]],"YES","NO")</f>
        <v>NO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34" t="s">
        <v>234</v>
      </c>
      <c r="B5" s="32" t="str">
        <f>VLOOKUP(Table14113[[#This Row],[Man. Number]],Articles!A:F,COLUMN(Articles!$D$1)-COLUMN(Articles!$A$1)+1,FALSE)</f>
        <v>M4x0.7 Cheese Head Bolt Slotted Drive Nylon</v>
      </c>
      <c r="C5" s="32" t="str">
        <f>VLOOKUP(Table14113[[#This Row],[Man. Number]],Articles!A:F,COLUMN(Articles!$C$1)-COLUMN(Articles!$A$1)+1,FALSE)</f>
        <v>D200-009</v>
      </c>
      <c r="D5" s="4" t="s">
        <v>29</v>
      </c>
      <c r="E5" s="32">
        <v>2</v>
      </c>
      <c r="F5" s="32">
        <f>VLOOKUP(Table14113[[#This Row],[Man. Number]],Articles!A:F,COLUMN(Articles!$F$1)-COLUMN(Articles!$A$1)+1,FALSE)</f>
        <v>2</v>
      </c>
      <c r="G5" s="32" t="str">
        <f>IF(Table14113[[#This Row],[In stock]] &gt;= Table14113[[#This Row],[Quantity]],"YES","NO")</f>
        <v>YES</v>
      </c>
      <c r="H5" s="32">
        <f>VLOOKUP(Table14113[[#This Row],[Man. Number]],Articles!A:J,COLUMN(Articles!$J$1)-COLUMN(Articles!$A$1)+1,FALSE)*Table14113[[#This Row],[Quantity]]</f>
        <v>0.32</v>
      </c>
      <c r="I5" s="32">
        <f>Table14113[[#This Row],[Quantity]]*$M$1</f>
        <v>4</v>
      </c>
      <c r="J5" s="32" t="str">
        <f>IF(Table14113[[#This Row],[In stock]] &gt;= Table14113[[#This Row],[Total quantity]],"YES","NO")</f>
        <v>NO</v>
      </c>
    </row>
    <row r="6" spans="1:14" x14ac:dyDescent="0.25">
      <c r="A6" s="3" t="s">
        <v>160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254</v>
      </c>
      <c r="E6" s="32">
        <v>4</v>
      </c>
      <c r="F6" s="4">
        <f>VLOOKUP(Table14113[[#This Row],[Man. Number]],Articles!A:F,COLUMN(Articles!$F$1)-COLUMN(Articles!$A$1)+1,FALSE)</f>
        <v>7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2" t="s">
        <v>231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68</v>
      </c>
      <c r="E7" s="32">
        <v>1</v>
      </c>
      <c r="F7" s="4">
        <f>VLOOKUP(Table14113[[#This Row],[Man. Number]],Articles!A:F,COLUMN(Articles!$F$1)-COLUMN(Articles!$A$1)+1,FALSE)</f>
        <v>6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206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255</v>
      </c>
      <c r="E8" s="32">
        <v>7</v>
      </c>
      <c r="F8" s="4">
        <f>VLOOKUP(Table14113[[#This Row],[Man. Number]],Articles!A:F,COLUMN(Articles!$F$1)-COLUMN(Articles!$A$1)+1,FALSE)</f>
        <v>133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64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65</v>
      </c>
      <c r="E9" s="32">
        <v>1</v>
      </c>
      <c r="F9" s="4">
        <f>VLOOKUP(Table14113[[#This Row],[Man. Number]],Articles!A:F,COLUMN(Articles!$F$1)-COLUMN(Articles!$A$1)+1,FALSE)</f>
        <v>6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34" t="s">
        <v>58</v>
      </c>
      <c r="B10" s="32" t="str">
        <f>VLOOKUP(Table14113[[#This Row],[Man. Number]],Articles!A:F,COLUMN(Articles!$D$1)-COLUMN(Articles!$A$1)+1,FALSE)</f>
        <v>Red 628nm LED Indication - Discrete 1.8V 0603 (1608 Metric)</v>
      </c>
      <c r="C10" s="32" t="str">
        <f>VLOOKUP(Table14113[[#This Row],[Man. Number]],Articles!A:F,COLUMN(Articles!$C$1)-COLUMN(Articles!$A$1)+1,FALSE)</f>
        <v>D001-049</v>
      </c>
      <c r="D10" s="4" t="s">
        <v>71</v>
      </c>
      <c r="E10" s="32">
        <v>1</v>
      </c>
      <c r="F10" s="32">
        <f>VLOOKUP(Table14113[[#This Row],[Man. Number]],Articles!A:F,COLUMN(Articles!$F$1)-COLUMN(Articles!$A$1)+1,FALSE)</f>
        <v>0</v>
      </c>
      <c r="G10" s="32" t="str">
        <f>IF(Table14113[[#This Row],[In stock]] &gt;= Table14113[[#This Row],[Quantity]],"YES","NO")</f>
        <v>NO</v>
      </c>
      <c r="H10" s="32">
        <f>VLOOKUP(Table14113[[#This Row],[Man. Number]],Articles!A:J,COLUMN(Articles!$J$1)-COLUMN(Articles!$A$1)+1,FALSE)*Table14113[[#This Row],[Quantity]]</f>
        <v>0.52</v>
      </c>
      <c r="I10" s="32">
        <f>Table14113[[#This Row],[Quantity]]*$M$1</f>
        <v>2</v>
      </c>
      <c r="J10" s="32" t="str">
        <f>IF(Table14113[[#This Row],[In stock]] &gt;= Table14113[[#This Row],[Total quantity]],"YES","NO")</f>
        <v>NO</v>
      </c>
    </row>
    <row r="11" spans="1:14" x14ac:dyDescent="0.25">
      <c r="A11" s="3" t="s">
        <v>93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74</v>
      </c>
      <c r="E11" s="32">
        <v>1</v>
      </c>
      <c r="F11" s="4">
        <f>VLOOKUP(Table14113[[#This Row],[Man. Number]],Articles!A:F,COLUMN(Articles!$F$1)-COLUMN(Articles!$A$1)+1,FALSE)</f>
        <v>4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2" t="s">
        <v>57</v>
      </c>
      <c r="B12" s="32" t="str">
        <f>VLOOKUP(Table14113[[#This Row],[Man. Number]],Articles!A:F,COLUMN(Articles!$D$1)-COLUMN(Articles!$A$1)+1,FALSE)</f>
        <v>Green 570nm LED Indication - Discrete 2V 0603 (1608 Metric)</v>
      </c>
      <c r="C12" s="32" t="str">
        <f>VLOOKUP(Table14113[[#This Row],[Man. Number]],Articles!A:F,COLUMN(Articles!$C$1)-COLUMN(Articles!$A$1)+1,FALSE)</f>
        <v>D001-048</v>
      </c>
      <c r="D12" s="4" t="s">
        <v>212</v>
      </c>
      <c r="E12" s="32">
        <v>1</v>
      </c>
      <c r="F12" s="32">
        <f>VLOOKUP(Table14113[[#This Row],[Man. Number]],Articles!A:F,COLUMN(Articles!$F$1)-COLUMN(Articles!$A$1)+1,FALSE)</f>
        <v>10</v>
      </c>
      <c r="G12" s="32" t="str">
        <f>IF(Table14113[[#This Row],[In stock]] &gt;= Table14113[[#This Row],[Quantity]],"YES","NO")</f>
        <v>YES</v>
      </c>
      <c r="H12" s="32">
        <f>VLOOKUP(Table14113[[#This Row],[Man. Number]],Articles!A:J,COLUMN(Articles!$J$1)-COLUMN(Articles!$A$1)+1,FALSE)*Table14113[[#This Row],[Quantity]]</f>
        <v>0.14000000000000001</v>
      </c>
      <c r="I12" s="32">
        <f>Table14113[[#This Row],[Quantity]]*$M$1</f>
        <v>2</v>
      </c>
      <c r="J12" s="32" t="str">
        <f>IF(Table14113[[#This Row],[In stock]] &gt;= Table14113[[#This Row],[Total quantity]],"YES","NO")</f>
        <v>YES</v>
      </c>
    </row>
    <row r="13" spans="1:14" x14ac:dyDescent="0.25">
      <c r="A13" s="43" t="s">
        <v>264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D101-016</v>
      </c>
      <c r="D13" s="4" t="s">
        <v>90</v>
      </c>
      <c r="E13" s="32">
        <v>1</v>
      </c>
      <c r="F13" s="4">
        <f>VLOOKUP(Table14113[[#This Row],[Man. Number]],Articles!A:F,COLUMN(Articles!$F$1)-COLUMN(Articles!$A$1)+1,FALSE)</f>
        <v>8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34" t="s">
        <v>163</v>
      </c>
      <c r="B14" s="32" t="str">
        <f>VLOOKUP(Table14113[[#This Row],[Man. Number]],Articles!A:F,COLUMN(Articles!$D$1)-COLUMN(Articles!$A$1)+1,FALSE)</f>
        <v>RES SMD 27K OHM 5% 0.4W 0805</v>
      </c>
      <c r="C14" s="32" t="str">
        <f>VLOOKUP(Table14113[[#This Row],[Man. Number]],Articles!A:F,COLUMN(Articles!$C$1)-COLUMN(Articles!$A$1)+1,FALSE)</f>
        <v>D101-013</v>
      </c>
      <c r="D14" s="4" t="s">
        <v>238</v>
      </c>
      <c r="E14" s="32">
        <v>1</v>
      </c>
      <c r="F14" s="32">
        <f>VLOOKUP(Table14113[[#This Row],[Man. Number]],Articles!A:F,COLUMN(Articles!$F$1)-COLUMN(Articles!$A$1)+1,FALSE)</f>
        <v>7</v>
      </c>
      <c r="G14" s="32" t="str">
        <f>IF(Table14113[[#This Row],[In stock]] &gt;= Table14113[[#This Row],[Quantity]],"YES","NO")</f>
        <v>YES</v>
      </c>
      <c r="H14" s="32">
        <f>VLOOKUP(Table14113[[#This Row],[Man. Number]],Articles!A:J,COLUMN(Articles!$J$1)-COLUMN(Articles!$A$1)+1,FALSE)*Table14113[[#This Row],[Quantity]]</f>
        <v>0.1</v>
      </c>
      <c r="I14" s="32">
        <f>Table14113[[#This Row],[Quantity]]*$M$1</f>
        <v>2</v>
      </c>
      <c r="J14" s="32" t="str">
        <f>IF(Table14113[[#This Row],[In stock]] &gt;= Table14113[[#This Row],[Total quantity]],"YES","NO")</f>
        <v>YES</v>
      </c>
    </row>
    <row r="15" spans="1:14" x14ac:dyDescent="0.25">
      <c r="A15" s="35" t="s">
        <v>20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228</v>
      </c>
      <c r="E15" s="32">
        <v>2</v>
      </c>
      <c r="F15" s="4">
        <f>VLOOKUP(Table14113[[#This Row],[Man. Number]],Articles!A:F,COLUMN(Articles!$F$1)-COLUMN(Articles!$A$1)+1,FALSE)</f>
        <v>0</v>
      </c>
      <c r="G15" s="4" t="str">
        <f>IF(Table14113[[#This Row],[In stock]] &gt;= Table14113[[#This Row],[Quantity]],"YES","NO")</f>
        <v>NO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34" t="s">
        <v>190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78</v>
      </c>
      <c r="E16" s="32">
        <v>1</v>
      </c>
      <c r="F16" s="4">
        <f>VLOOKUP(Table14113[[#This Row],[Man. Number]],Articles!A:F,COLUMN(Articles!$F$1)-COLUMN(Articles!$A$1)+1,FALSE)</f>
        <v>7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53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235</v>
      </c>
      <c r="E17" s="32">
        <v>4</v>
      </c>
      <c r="F17" s="4">
        <f>VLOOKUP(Table14113[[#This Row],[Man. Number]],Articles!A:F,COLUMN(Articles!$F$1)-COLUMN(Articles!$A$1)+1,FALSE)</f>
        <v>91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0.08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34" t="s">
        <v>193</v>
      </c>
      <c r="B18" s="32" t="str">
        <f>VLOOKUP(Table14113[[#This Row],[Man. Number]],Articles!A:F,COLUMN(Articles!$D$1)-COLUMN(Articles!$A$1)+1,FALSE)</f>
        <v>RES SMD 100K OHM 5% 0.4W 0805</v>
      </c>
      <c r="C18" s="32" t="str">
        <f>VLOOKUP(Table14113[[#This Row],[Man. Number]],Articles!A:F,COLUMN(Articles!$C$1)-COLUMN(Articles!$A$1)+1,FALSE)</f>
        <v>D101-011</v>
      </c>
      <c r="D18" s="4" t="s">
        <v>236</v>
      </c>
      <c r="E18" s="32">
        <v>2</v>
      </c>
      <c r="F18" s="32">
        <f>VLOOKUP(Table14113[[#This Row],[Man. Number]],Articles!A:F,COLUMN(Articles!$F$1)-COLUMN(Articles!$A$1)+1,FALSE)</f>
        <v>6</v>
      </c>
      <c r="G18" s="32" t="str">
        <f>IF(Table14113[[#This Row],[In stock]] &gt;= Table14113[[#This Row],[Quantity]],"YES","NO")</f>
        <v>YES</v>
      </c>
      <c r="H18" s="32">
        <f>VLOOKUP(Table14113[[#This Row],[Man. Number]],Articles!A:J,COLUMN(Articles!$J$1)-COLUMN(Articles!$A$1)+1,FALSE)*Table14113[[#This Row],[Quantity]]</f>
        <v>0.2</v>
      </c>
      <c r="I18" s="32">
        <f>Table14113[[#This Row],[Quantity]]*$M$1</f>
        <v>4</v>
      </c>
      <c r="J18" s="32" t="str">
        <f>IF(Table14113[[#This Row],[In stock]] &gt;= Table14113[[#This Row],[Total quantity]],"YES","NO")</f>
        <v>YES</v>
      </c>
    </row>
    <row r="19" spans="1:10" x14ac:dyDescent="0.25">
      <c r="A19" s="34" t="s">
        <v>191</v>
      </c>
      <c r="B19" s="32" t="str">
        <f>VLOOKUP(Table14113[[#This Row],[Man. Number]],Articles!A:F,COLUMN(Articles!$D$1)-COLUMN(Articles!$A$1)+1,FALSE)</f>
        <v>RES SMD 330 OHM 5% 0.4W 0805</v>
      </c>
      <c r="C19" s="32" t="str">
        <f>VLOOKUP(Table14113[[#This Row],[Man. Number]],Articles!A:F,COLUMN(Articles!$C$1)-COLUMN(Articles!$A$1)+1,FALSE)</f>
        <v>D101-009</v>
      </c>
      <c r="D19" s="4" t="s">
        <v>215</v>
      </c>
      <c r="E19" s="32">
        <v>1</v>
      </c>
      <c r="F19" s="32">
        <f>VLOOKUP(Table14113[[#This Row],[Man. Number]],Articles!A:F,COLUMN(Articles!$F$1)-COLUMN(Articles!$A$1)+1,FALSE)</f>
        <v>5</v>
      </c>
      <c r="G19" s="32" t="str">
        <f>IF(Table14113[[#This Row],[In stock]] &gt;= Table14113[[#This Row],[Quantity]],"YES","NO")</f>
        <v>YES</v>
      </c>
      <c r="H19" s="32">
        <f>VLOOKUP(Table14113[[#This Row],[Man. Number]],Articles!A:J,COLUMN(Articles!$J$1)-COLUMN(Articles!$A$1)+1,FALSE)*Table14113[[#This Row],[Quantity]]</f>
        <v>0.1</v>
      </c>
      <c r="I19" s="32">
        <f>Table14113[[#This Row],[Quantity]]*$M$1</f>
        <v>2</v>
      </c>
      <c r="J19" s="32" t="str">
        <f>IF(Table14113[[#This Row],[In stock]] &gt;= Table14113[[#This Row],[Total quantity]],"YES","NO")</f>
        <v>YES</v>
      </c>
    </row>
    <row r="20" spans="1:10" x14ac:dyDescent="0.25">
      <c r="A20" s="34" t="s">
        <v>171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237</v>
      </c>
      <c r="E20" s="32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2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76</v>
      </c>
      <c r="E22" s="32">
        <v>2</v>
      </c>
      <c r="F22" s="4">
        <f>VLOOKUP(Table14113[[#This Row],[Man. Number]],Articles!A:F,COLUMN(Articles!$F$1)-COLUMN(Articles!$A$1)+1,FALSE)</f>
        <v>18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22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229</v>
      </c>
      <c r="E23" s="32">
        <v>1</v>
      </c>
      <c r="F23" s="4">
        <f>VLOOKUP(Table14113[[#This Row],[Man. Number]],Articles!A:F,COLUMN(Articles!$F$1)-COLUMN(Articles!$A$1)+1,FALSE)</f>
        <v>12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14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70</v>
      </c>
      <c r="E24" s="32">
        <v>1</v>
      </c>
      <c r="F24" s="4">
        <f>VLOOKUP(Table14113[[#This Row],[Man. Number]],Articles!A:F,COLUMN(Articles!$F$1)-COLUMN(Articles!$A$1)+1,FALSE)</f>
        <v>6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15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72</v>
      </c>
      <c r="E25" s="32">
        <v>1</v>
      </c>
      <c r="F25" s="4">
        <f>VLOOKUP(Table14113[[#This Row],[Man. Number]],Articles!A:F,COLUMN(Articles!$F$1)-COLUMN(Articles!$A$1)+1,FALSE)</f>
        <v>6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16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73</v>
      </c>
      <c r="E26" s="32">
        <v>1</v>
      </c>
      <c r="F26" s="4">
        <f>VLOOKUP(Table14113[[#This Row],[Man. Number]],Articles!A:F,COLUMN(Articles!$F$1)-COLUMN(Articles!$A$1)+1,FALSE)</f>
        <v>14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134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D000-000</v>
      </c>
      <c r="D27" s="4" t="s">
        <v>89</v>
      </c>
      <c r="E27" s="32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7.31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34" t="s">
        <v>40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86</v>
      </c>
      <c r="E28" s="32">
        <v>1</v>
      </c>
      <c r="F28" s="4">
        <f>VLOOKUP(Table14113[[#This Row],[Man. Number]],Articles!A:F,COLUMN(Articles!$F$1)-COLUMN(Articles!$A$1)+1,FALSE)</f>
        <v>7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226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69</v>
      </c>
      <c r="E29" s="32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34" t="s">
        <v>225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230</v>
      </c>
      <c r="E30" s="32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2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2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4" t="s">
        <v>164</v>
      </c>
      <c r="B33" s="32" t="str">
        <f>VLOOKUP(Table14113[[#This Row],[Man. Number]],Articles!A:F,COLUMN(Articles!$D$1)-COLUMN(Articles!$A$1)+1,FALSE)</f>
        <v>Connector Header Through Hole, male, 36 position 0.100" (2.54mm)</v>
      </c>
      <c r="C33" s="32" t="str">
        <f>VLOOKUP(Table14113[[#This Row],[Man. Number]],Articles!A:F,COLUMN(Articles!$C$1)-COLUMN(Articles!$A$1)+1,FALSE)</f>
        <v>None</v>
      </c>
      <c r="D33" s="4" t="s">
        <v>239</v>
      </c>
      <c r="E33" s="32">
        <f>(3*2+5)/36</f>
        <v>0.30555555555555558</v>
      </c>
      <c r="F33" s="32">
        <f>VLOOKUP(Table14113[[#This Row],[Man. Number]],Articles!A:F,COLUMN(Articles!$F$1)-COLUMN(Articles!$A$1)+1,FALSE)</f>
        <v>2.5</v>
      </c>
      <c r="G33" s="32" t="str">
        <f>IF(Table14113[[#This Row],[In stock]] &gt;= Table14113[[#This Row],[Quantity]],"YES","NO")</f>
        <v>YES</v>
      </c>
      <c r="H33" s="32">
        <f>VLOOKUP(Table14113[[#This Row],[Man. Number]],Articles!A:J,COLUMN(Articles!$J$1)-COLUMN(Articles!$A$1)+1,FALSE)*Table14113[[#This Row],[Quantity]]</f>
        <v>0.3116666666666667</v>
      </c>
      <c r="I33" s="32">
        <f>Table14113[[#This Row],[Quantity]]*$M$1</f>
        <v>0.61111111111111116</v>
      </c>
      <c r="J33" s="32" t="str">
        <f>IF(Table14113[[#This Row],[In stock]] &gt;= Table14113[[#This Row],[Total quantity]],"YES","NO")</f>
        <v>YES</v>
      </c>
    </row>
    <row r="34" spans="1:10" x14ac:dyDescent="0.25">
      <c r="A34" s="4" t="s">
        <v>30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85</v>
      </c>
      <c r="E34" s="32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121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164" priority="5"/>
  </conditionalFormatting>
  <conditionalFormatting sqref="G1:H1048576 J1:J1048576">
    <cfRule type="containsText" dxfId="163" priority="6" operator="containsText" text="NO">
      <formula>NOT(ISERROR(SEARCH("NO",G1)))</formula>
    </cfRule>
  </conditionalFormatting>
  <conditionalFormatting sqref="N1">
    <cfRule type="cellIs" dxfId="162" priority="3" stopIfTrue="1" operator="equal">
      <formula>"Locked"</formula>
    </cfRule>
    <cfRule type="cellIs" dxfId="161" priority="4" stopIfTrue="1" operator="equal">
      <formula>"Unlocked"</formula>
    </cfRule>
  </conditionalFormatting>
  <conditionalFormatting sqref="A13">
    <cfRule type="duplicateValues" dxfId="160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36">
        <v>1</v>
      </c>
      <c r="N1" t="s">
        <v>269</v>
      </c>
    </row>
    <row r="2" spans="1:14" x14ac:dyDescent="0.25">
      <c r="A2" s="4" t="s">
        <v>42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29</v>
      </c>
      <c r="E2" s="4">
        <v>1</v>
      </c>
      <c r="F2" s="4">
        <f>VLOOKUP(Table1411[[#This Row],[Man. Number]],Articles!A:F,COLUMN(Articles!$F$1)-COLUMN(Articles!$A$1)+1,FALSE)</f>
        <v>0</v>
      </c>
      <c r="G2" s="4" t="str">
        <f>IF(Table1411[[#This Row],[In stock]] &gt;= Table1411[[#This Row],[Quantity]],"YES","NO")</f>
        <v>NO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NO</v>
      </c>
    </row>
    <row r="3" spans="1:14" x14ac:dyDescent="0.25">
      <c r="A3" s="3" t="s">
        <v>35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29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115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29</v>
      </c>
      <c r="E4" s="4">
        <v>0.63888888888888884</v>
      </c>
      <c r="F4" s="4">
        <f>VLOOKUP(Table1411[[#This Row],[Man. Number]],Articles!A:F,COLUMN(Articles!$F$1)-COLUMN(Articles!$A$1)+1,FALSE)</f>
        <v>2.3050000000000002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227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29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9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211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0.10199999999999999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10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68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5.1999999999999998E-2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19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210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64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65</v>
      </c>
      <c r="E9" s="4">
        <v>1</v>
      </c>
      <c r="F9" s="4">
        <f>VLOOKUP(Table1411[[#This Row],[Man. Number]],Articles!A:F,COLUMN(Articles!$F$1)-COLUMN(Articles!$A$1)+1,FALSE)</f>
        <v>6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34" t="s">
        <v>219</v>
      </c>
      <c r="B10" s="32" t="str">
        <f>VLOOKUP(Table1411[[#This Row],[Man. Number]],Articles!A:F,COLUMN(Articles!$D$1)-COLUMN(Articles!$A$1)+1,FALSE)</f>
        <v>Telecom Relay DPDT (2 Form C) Through Hole 2A 3V</v>
      </c>
      <c r="C10" s="32" t="str">
        <f>VLOOKUP(Table1411[[#This Row],[Man. Number]],Articles!A:F,COLUMN(Articles!$C$1)-COLUMN(Articles!$A$1)+1,FALSE)</f>
        <v>D200-021</v>
      </c>
      <c r="D10" s="4" t="s">
        <v>84</v>
      </c>
      <c r="E10" s="4">
        <v>1</v>
      </c>
      <c r="F10" s="32">
        <f>VLOOKUP(Table1411[[#This Row],[Man. Number]],Articles!A:F,COLUMN(Articles!$F$1)-COLUMN(Articles!$A$1)+1,FALSE)</f>
        <v>1</v>
      </c>
      <c r="G10" s="32" t="str">
        <f>IF(Table1411[[#This Row],[In stock]] &gt;= Table1411[[#This Row],[Quantity]],"YES","NO")</f>
        <v>YES</v>
      </c>
      <c r="H10" s="32">
        <f>VLOOKUP(Table1411[[#This Row],[Man. Number]],Articles!A:J,COLUMN(Articles!$J$1)-COLUMN(Articles!$A$1)+1,FALSE)*Table1411[[#This Row],[Quantity]]</f>
        <v>3.72</v>
      </c>
      <c r="I10" s="32">
        <f>Table1411[[#This Row],[Quantity]]*$M$1</f>
        <v>1</v>
      </c>
      <c r="J10" s="32" t="str">
        <f>IF(Table1411[[#This Row],[In stock]] &gt;= Table1411[[#This Row],[Total quantity]],"YES","NO")</f>
        <v>YES</v>
      </c>
    </row>
    <row r="11" spans="1:14" x14ac:dyDescent="0.25">
      <c r="A11" s="4" t="s">
        <v>38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84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34" t="s">
        <v>220</v>
      </c>
      <c r="B12" s="32" t="str">
        <f>VLOOKUP(Table1411[[#This Row],[Man. Number]],Articles!A:F,COLUMN(Articles!$D$1)-COLUMN(Articles!$A$1)+1,FALSE)</f>
        <v>Telecom Relay DPDT (2 Form C) Surface Mount 2A 3V</v>
      </c>
      <c r="C12" s="32" t="str">
        <f>VLOOKUP(Table1411[[#This Row],[Man. Number]],Articles!A:F,COLUMN(Articles!$C$1)-COLUMN(Articles!$A$1)+1,FALSE)</f>
        <v>D200-021</v>
      </c>
      <c r="D12" s="4" t="s">
        <v>84</v>
      </c>
      <c r="E12" s="4">
        <v>0</v>
      </c>
      <c r="F12" s="32">
        <f>VLOOKUP(Table1411[[#This Row],[Man. Number]],Articles!A:F,COLUMN(Articles!$F$1)-COLUMN(Articles!$A$1)+1,FALSE)</f>
        <v>1</v>
      </c>
      <c r="G12" s="32" t="str">
        <f>IF(Table1411[[#This Row],[In stock]] &gt;= Table1411[[#This Row],[Quantity]],"YES","NO")</f>
        <v>YES</v>
      </c>
      <c r="H12" s="32">
        <f>VLOOKUP(Table1411[[#This Row],[Man. Number]],Articles!A:J,COLUMN(Articles!$J$1)-COLUMN(Articles!$A$1)+1,FALSE)*Table1411[[#This Row],[Quantity]]</f>
        <v>0</v>
      </c>
      <c r="I12" s="32">
        <f>Table1411[[#This Row],[Quantity]]*$M$1</f>
        <v>0</v>
      </c>
      <c r="J12" s="32" t="str">
        <f>IF(Table1411[[#This Row],[In stock]] &gt;= Table1411[[#This Row],[Total quantity]],"YES","NO")</f>
        <v>YES</v>
      </c>
    </row>
    <row r="13" spans="1:14" x14ac:dyDescent="0.25">
      <c r="A13" s="3" t="s">
        <v>18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71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93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74</v>
      </c>
      <c r="E14" s="4">
        <v>1</v>
      </c>
      <c r="F14" s="4">
        <f>VLOOKUP(Table1411[[#This Row],[Man. Number]],Articles!A:F,COLUMN(Articles!$F$1)-COLUMN(Articles!$A$1)+1,FALSE)</f>
        <v>4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34" t="s">
        <v>58</v>
      </c>
      <c r="B15" s="32" t="str">
        <f>VLOOKUP(Table1411[[#This Row],[Man. Number]],Articles!A:F,COLUMN(Articles!$D$1)-COLUMN(Articles!$A$1)+1,FALSE)</f>
        <v>Red 628nm LED Indication - Discrete 1.8V 0603 (1608 Metric)</v>
      </c>
      <c r="C15" s="32" t="str">
        <f>VLOOKUP(Table1411[[#This Row],[Man. Number]],Articles!A:F,COLUMN(Articles!$C$1)-COLUMN(Articles!$A$1)+1,FALSE)</f>
        <v>D001-049</v>
      </c>
      <c r="D15" s="4" t="s">
        <v>212</v>
      </c>
      <c r="E15" s="4">
        <v>1</v>
      </c>
      <c r="F15" s="32">
        <f>VLOOKUP(Table1411[[#This Row],[Man. Number]],Articles!A:F,COLUMN(Articles!$F$1)-COLUMN(Articles!$A$1)+1,FALSE)</f>
        <v>0</v>
      </c>
      <c r="G15" s="32" t="str">
        <f>IF(Table1411[[#This Row],[In stock]] &gt;= Table1411[[#This Row],[Quantity]],"YES","NO")</f>
        <v>NO</v>
      </c>
      <c r="H15" s="32">
        <f>VLOOKUP(Table1411[[#This Row],[Man. Number]],Articles!A:J,COLUMN(Articles!$J$1)-COLUMN(Articles!$A$1)+1,FALSE)*Table1411[[#This Row],[Quantity]]</f>
        <v>0.52</v>
      </c>
      <c r="I15" s="32">
        <f>Table1411[[#This Row],[Quantity]]*$M$1</f>
        <v>1</v>
      </c>
      <c r="J15" s="32" t="str">
        <f>IF(Table1411[[#This Row],[In stock]] &gt;= Table1411[[#This Row],[Total quantity]],"YES","NO")</f>
        <v>NO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4" t="s">
        <v>185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81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35" t="s">
        <v>218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75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34" t="s">
        <v>190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78</v>
      </c>
      <c r="E19" s="4">
        <v>1</v>
      </c>
      <c r="F19" s="4">
        <f>VLOOKUP(Table1411[[#This Row],[Man. Number]],Articles!A:F,COLUMN(Articles!$F$1)-COLUMN(Articles!$A$1)+1,FALSE)</f>
        <v>7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53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213</v>
      </c>
      <c r="E20" s="4">
        <v>2</v>
      </c>
      <c r="F20" s="4">
        <f>VLOOKUP(Table1411[[#This Row],[Man. Number]],Articles!A:F,COLUMN(Articles!$F$1)-COLUMN(Articles!$A$1)+1,FALSE)</f>
        <v>91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0.04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34" t="s">
        <v>193</v>
      </c>
      <c r="B21" s="32" t="str">
        <f>VLOOKUP(Table1411[[#This Row],[Man. Number]],Articles!A:F,COLUMN(Articles!$D$1)-COLUMN(Articles!$A$1)+1,FALSE)</f>
        <v>RES SMD 100K OHM 5% 0.4W 0805</v>
      </c>
      <c r="C21" s="32" t="str">
        <f>VLOOKUP(Table1411[[#This Row],[Man. Number]],Articles!A:F,COLUMN(Articles!$C$1)-COLUMN(Articles!$A$1)+1,FALSE)</f>
        <v>D101-011</v>
      </c>
      <c r="D21" s="4" t="s">
        <v>216</v>
      </c>
      <c r="E21" s="4">
        <v>2</v>
      </c>
      <c r="F21" s="32">
        <f>VLOOKUP(Table1411[[#This Row],[Man. Number]],Articles!A:F,COLUMN(Articles!$F$1)-COLUMN(Articles!$A$1)+1,FALSE)</f>
        <v>6</v>
      </c>
      <c r="G21" s="32" t="str">
        <f>IF(Table1411[[#This Row],[In stock]] &gt;= Table1411[[#This Row],[Quantity]],"YES","NO")</f>
        <v>YES</v>
      </c>
      <c r="H21" s="32">
        <f>VLOOKUP(Table1411[[#This Row],[Man. Number]],Articles!A:J,COLUMN(Articles!$J$1)-COLUMN(Articles!$A$1)+1,FALSE)*Table1411[[#This Row],[Quantity]]</f>
        <v>0.2</v>
      </c>
      <c r="I21" s="32">
        <f>Table1411[[#This Row],[Quantity]]*$M$1</f>
        <v>2</v>
      </c>
      <c r="J21" s="32" t="str">
        <f>IF(Table1411[[#This Row],[In stock]] &gt;= Table1411[[#This Row],[Total quantity]],"YES","NO")</f>
        <v>YES</v>
      </c>
    </row>
    <row r="22" spans="1:10" x14ac:dyDescent="0.25">
      <c r="A22" s="34" t="s">
        <v>170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214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34" t="s">
        <v>191</v>
      </c>
      <c r="B23" s="32" t="str">
        <f>VLOOKUP(Table1411[[#This Row],[Man. Number]],Articles!A:F,COLUMN(Articles!$D$1)-COLUMN(Articles!$A$1)+1,FALSE)</f>
        <v>RES SMD 330 OHM 5% 0.4W 0805</v>
      </c>
      <c r="C23" s="32" t="str">
        <f>VLOOKUP(Table1411[[#This Row],[Man. Number]],Articles!A:F,COLUMN(Articles!$C$1)-COLUMN(Articles!$A$1)+1,FALSE)</f>
        <v>D101-009</v>
      </c>
      <c r="D23" s="4" t="s">
        <v>215</v>
      </c>
      <c r="E23" s="4">
        <v>1</v>
      </c>
      <c r="F23" s="32">
        <f>VLOOKUP(Table1411[[#This Row],[Man. Number]],Articles!A:F,COLUMN(Articles!$F$1)-COLUMN(Articles!$A$1)+1,FALSE)</f>
        <v>5</v>
      </c>
      <c r="G23" s="32" t="str">
        <f>IF(Table1411[[#This Row],[In stock]] &gt;= Table1411[[#This Row],[Quantity]],"YES","NO")</f>
        <v>YES</v>
      </c>
      <c r="H23" s="32">
        <f>VLOOKUP(Table1411[[#This Row],[Man. Number]],Articles!A:J,COLUMN(Articles!$J$1)-COLUMN(Articles!$A$1)+1,FALSE)*Table1411[[#This Row],[Quantity]]</f>
        <v>0.1</v>
      </c>
      <c r="I23" s="32">
        <f>Table1411[[#This Row],[Quantity]]*$M$1</f>
        <v>1</v>
      </c>
      <c r="J23" s="32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76</v>
      </c>
      <c r="E25" s="4">
        <v>2</v>
      </c>
      <c r="F25" s="4">
        <f>VLOOKUP(Table1411[[#This Row],[Man. Number]],Articles!A:F,COLUMN(Articles!$F$1)-COLUMN(Articles!$A$1)+1,FALSE)</f>
        <v>18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22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77</v>
      </c>
      <c r="E26" s="4">
        <v>5</v>
      </c>
      <c r="F26" s="4">
        <f>VLOOKUP(Table1411[[#This Row],[Man. Number]],Articles!A:F,COLUMN(Articles!$F$1)-COLUMN(Articles!$A$1)+1,FALSE)</f>
        <v>12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14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70</v>
      </c>
      <c r="E27" s="4">
        <v>1</v>
      </c>
      <c r="F27" s="4">
        <f>VLOOKUP(Table1411[[#This Row],[Man. Number]],Articles!A:F,COLUMN(Articles!$F$1)-COLUMN(Articles!$A$1)+1,FALSE)</f>
        <v>6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15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72</v>
      </c>
      <c r="E28" s="4">
        <v>1</v>
      </c>
      <c r="F28" s="4">
        <f>VLOOKUP(Table1411[[#This Row],[Man. Number]],Articles!A:F,COLUMN(Articles!$F$1)-COLUMN(Articles!$A$1)+1,FALSE)</f>
        <v>6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16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73</v>
      </c>
      <c r="E29" s="4">
        <v>1</v>
      </c>
      <c r="F29" s="4">
        <f>VLOOKUP(Table1411[[#This Row],[Man. Number]],Articles!A:F,COLUMN(Articles!$F$1)-COLUMN(Articles!$A$1)+1,FALSE)</f>
        <v>14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134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D000-000</v>
      </c>
      <c r="D30" s="4" t="s">
        <v>89</v>
      </c>
      <c r="E30" s="4">
        <v>1</v>
      </c>
      <c r="F30" s="4">
        <f>VLOOKUP(Table1411[[#This Row],[Man. Number]],Articles!A:F,COLUMN(Articles!$F$1)-COLUMN(Articles!$A$1)+1,FALSE)</f>
        <v>2</v>
      </c>
      <c r="G30" s="4" t="str">
        <f>IF(Table1411[[#This Row],[In stock]] &gt;= Table1411[[#This Row],[Quantity]],"YES","NO")</f>
        <v>YES</v>
      </c>
      <c r="H30" s="4">
        <f>VLOOKUP(Table1411[[#This Row],[Man. Number]],Articles!A:J,COLUMN(Articles!$J$1)-COLUMN(Articles!$A$1)+1,FALSE)*Table1411[[#This Row],[Quantity]]</f>
        <v>7.31</v>
      </c>
      <c r="I30" s="4">
        <f>Table1411[[#This Row],[Quantity]]*$M$1</f>
        <v>1</v>
      </c>
      <c r="J30" s="4" t="str">
        <f>IF(Table1411[[#This Row],[In stock]] &gt;= Table1411[[#This Row],[Total quantity]],"YES","NO")</f>
        <v>YES</v>
      </c>
    </row>
    <row r="31" spans="1:10" x14ac:dyDescent="0.25">
      <c r="A31" s="34" t="s">
        <v>40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86</v>
      </c>
      <c r="E31" s="4">
        <v>1</v>
      </c>
      <c r="F31" s="4">
        <f>VLOOKUP(Table1411[[#This Row],[Man. Number]],Articles!A:F,COLUMN(Articles!$F$1)-COLUMN(Articles!$A$1)+1,FALSE)</f>
        <v>7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8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69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4" t="s">
        <v>197</v>
      </c>
      <c r="B35" s="32" t="e">
        <f>VLOOKUP(Table1411[[#This Row],[Man. Number]],Articles!A:F,COLUMN(Articles!$D$1)-COLUMN(Articles!$A$1)+1,FALSE)</f>
        <v>#N/A</v>
      </c>
      <c r="C35" s="32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2" t="e">
        <f>VLOOKUP(Table1411[[#This Row],[Man. Number]],Articles!A:F,COLUMN(Articles!$F$1)-COLUMN(Articles!$A$1)+1,FALSE)</f>
        <v>#N/A</v>
      </c>
      <c r="G35" s="32" t="e">
        <f>IF(Table1411[[#This Row],[In stock]] &gt;= Table1411[[#This Row],[Quantity]],"YES","NO")</f>
        <v>#N/A</v>
      </c>
      <c r="H35" s="32" t="e">
        <f>VLOOKUP(Table1411[[#This Row],[Man. Number]],Articles!A:J,COLUMN(Articles!$J$1)-COLUMN(Articles!$A$1)+1,FALSE)*Table1411[[#This Row],[Quantity]]</f>
        <v>#N/A</v>
      </c>
      <c r="I35" s="32">
        <f>Table1411[[#This Row],[Quantity]]*$M$1</f>
        <v>1</v>
      </c>
      <c r="J35" s="32" t="e">
        <f>IF(Table1411[[#This Row],[In stock]] &gt;= Table1411[[#This Row],[Total quantity]],"YES","NO")</f>
        <v>#N/A</v>
      </c>
    </row>
    <row r="36" spans="1:10" x14ac:dyDescent="0.25">
      <c r="A36" s="34" t="s">
        <v>200</v>
      </c>
      <c r="B36" s="32" t="e">
        <f>VLOOKUP(Table1411[[#This Row],[Man. Number]],Articles!A:F,COLUMN(Articles!$D$1)-COLUMN(Articles!$A$1)+1,FALSE)</f>
        <v>#N/A</v>
      </c>
      <c r="C36" s="32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2" t="e">
        <f>VLOOKUP(Table1411[[#This Row],[Man. Number]],Articles!A:F,COLUMN(Articles!$F$1)-COLUMN(Articles!$A$1)+1,FALSE)</f>
        <v>#N/A</v>
      </c>
      <c r="G36" s="32" t="e">
        <f>IF(Table1411[[#This Row],[In stock]] &gt;= Table1411[[#This Row],[Quantity]],"YES","NO")</f>
        <v>#N/A</v>
      </c>
      <c r="H36" s="32" t="e">
        <f>VLOOKUP(Table1411[[#This Row],[Man. Number]],Articles!A:J,COLUMN(Articles!$J$1)-COLUMN(Articles!$A$1)+1,FALSE)*Table1411[[#This Row],[Quantity]]</f>
        <v>#N/A</v>
      </c>
      <c r="I36" s="32">
        <f>Table1411[[#This Row],[Quantity]]*$M$1</f>
        <v>1</v>
      </c>
      <c r="J36" s="32" t="e">
        <f>IF(Table1411[[#This Row],[In stock]] &gt;= Table1411[[#This Row],[Total quantity]],"YES","NO")</f>
        <v>#N/A</v>
      </c>
    </row>
    <row r="37" spans="1:10" x14ac:dyDescent="0.25">
      <c r="A37" s="34" t="s">
        <v>164</v>
      </c>
      <c r="B37" s="32" t="str">
        <f>VLOOKUP(Table1411[[#This Row],[Man. Number]],Articles!A:F,COLUMN(Articles!$D$1)-COLUMN(Articles!$A$1)+1,FALSE)</f>
        <v>Connector Header Through Hole, male, 36 position 0.100" (2.54mm)</v>
      </c>
      <c r="C37" s="32" t="str">
        <f>VLOOKUP(Table1411[[#This Row],[Man. Number]],Articles!A:F,COLUMN(Articles!$C$1)-COLUMN(Articles!$A$1)+1,FALSE)</f>
        <v>None</v>
      </c>
      <c r="D37" s="4" t="s">
        <v>217</v>
      </c>
      <c r="E37" s="4">
        <f>10/36</f>
        <v>0.27777777777777779</v>
      </c>
      <c r="F37" s="32">
        <f>VLOOKUP(Table1411[[#This Row],[Man. Number]],Articles!A:F,COLUMN(Articles!$F$1)-COLUMN(Articles!$A$1)+1,FALSE)</f>
        <v>2.5</v>
      </c>
      <c r="G37" s="32" t="str">
        <f>IF(Table1411[[#This Row],[In stock]] &gt;= Table1411[[#This Row],[Quantity]],"YES","NO")</f>
        <v>YES</v>
      </c>
      <c r="H37" s="32">
        <f>VLOOKUP(Table1411[[#This Row],[Man. Number]],Articles!A:J,COLUMN(Articles!$J$1)-COLUMN(Articles!$A$1)+1,FALSE)*Table1411[[#This Row],[Quantity]]</f>
        <v>0.28333333333333333</v>
      </c>
      <c r="I37" s="32">
        <f>Table1411[[#This Row],[Quantity]]*$M$1</f>
        <v>0.27777777777777779</v>
      </c>
      <c r="J37" s="32" t="str">
        <f>IF(Table1411[[#This Row],[In stock]] &gt;= Table1411[[#This Row],[Total quantity]],"YES","NO")</f>
        <v>YES</v>
      </c>
    </row>
    <row r="38" spans="1:10" x14ac:dyDescent="0.25">
      <c r="A38" s="34" t="s">
        <v>195</v>
      </c>
      <c r="B38" s="32" t="e">
        <f>VLOOKUP(Table1411[[#This Row],[Man. Number]],Articles!A:F,COLUMN(Articles!$D$1)-COLUMN(Articles!$A$1)+1,FALSE)</f>
        <v>#N/A</v>
      </c>
      <c r="C38" s="32" t="e">
        <f>VLOOKUP(Table1411[[#This Row],[Man. Number]],Articles!A:F,COLUMN(Articles!$C$1)-COLUMN(Articles!$A$1)+1,FALSE)</f>
        <v>#N/A</v>
      </c>
      <c r="D38" s="4" t="s">
        <v>209</v>
      </c>
      <c r="E38" s="4">
        <v>19</v>
      </c>
      <c r="F38" s="32" t="e">
        <f>VLOOKUP(Table1411[[#This Row],[Man. Number]],Articles!A:F,COLUMN(Articles!$F$1)-COLUMN(Articles!$A$1)+1,FALSE)</f>
        <v>#N/A</v>
      </c>
      <c r="G38" s="32" t="e">
        <f>IF(Table1411[[#This Row],[In stock]] &gt;= Table1411[[#This Row],[Quantity]],"YES","NO")</f>
        <v>#N/A</v>
      </c>
      <c r="H38" s="32" t="e">
        <f>VLOOKUP(Table1411[[#This Row],[Man. Number]],Articles!A:J,COLUMN(Articles!$J$1)-COLUMN(Articles!$A$1)+1,FALSE)*Table1411[[#This Row],[Quantity]]</f>
        <v>#N/A</v>
      </c>
      <c r="I38" s="32">
        <f>Table1411[[#This Row],[Quantity]]*$M$1</f>
        <v>19</v>
      </c>
      <c r="J38" s="32" t="e">
        <f>IF(Table1411[[#This Row],[In stock]] &gt;= Table1411[[#This Row],[Total quantity]],"YES","NO")</f>
        <v>#N/A</v>
      </c>
    </row>
    <row r="39" spans="1:10" x14ac:dyDescent="0.25">
      <c r="A39" s="34" t="s">
        <v>196</v>
      </c>
      <c r="B39" s="32" t="e">
        <f>VLOOKUP(Table1411[[#This Row],[Man. Number]],Articles!A:F,COLUMN(Articles!$D$1)-COLUMN(Articles!$A$1)+1,FALSE)</f>
        <v>#N/A</v>
      </c>
      <c r="C39" s="32" t="e">
        <f>VLOOKUP(Table1411[[#This Row],[Man. Number]],Articles!A:F,COLUMN(Articles!$C$1)-COLUMN(Articles!$A$1)+1,FALSE)</f>
        <v>#N/A</v>
      </c>
      <c r="D39" s="4" t="s">
        <v>208</v>
      </c>
      <c r="E39" s="4">
        <v>4</v>
      </c>
      <c r="F39" s="32" t="e">
        <f>VLOOKUP(Table1411[[#This Row],[Man. Number]],Articles!A:F,COLUMN(Articles!$F$1)-COLUMN(Articles!$A$1)+1,FALSE)</f>
        <v>#N/A</v>
      </c>
      <c r="G39" s="32" t="e">
        <f>IF(Table1411[[#This Row],[In stock]] &gt;= Table1411[[#This Row],[Quantity]],"YES","NO")</f>
        <v>#N/A</v>
      </c>
      <c r="H39" s="32" t="e">
        <f>VLOOKUP(Table1411[[#This Row],[Man. Number]],Articles!A:J,COLUMN(Articles!$J$1)-COLUMN(Articles!$A$1)+1,FALSE)*Table1411[[#This Row],[Quantity]]</f>
        <v>#N/A</v>
      </c>
      <c r="I39" s="32">
        <f>Table1411[[#This Row],[Quantity]]*$M$1</f>
        <v>4</v>
      </c>
      <c r="J39" s="32" t="e">
        <f>IF(Table1411[[#This Row],[In stock]] &gt;= Table1411[[#This Row],[Total quantity]],"YES","NO")</f>
        <v>#N/A</v>
      </c>
    </row>
    <row r="40" spans="1:10" x14ac:dyDescent="0.25">
      <c r="A40" s="34" t="s">
        <v>199</v>
      </c>
      <c r="B40" s="32" t="e">
        <f>VLOOKUP(Table1411[[#This Row],[Man. Number]],Articles!A:F,COLUMN(Articles!$D$1)-COLUMN(Articles!$A$1)+1,FALSE)</f>
        <v>#N/A</v>
      </c>
      <c r="C40" s="32" t="e">
        <f>VLOOKUP(Table1411[[#This Row],[Man. Number]],Articles!A:F,COLUMN(Articles!$C$1)-COLUMN(Articles!$A$1)+1,FALSE)</f>
        <v>#N/A</v>
      </c>
      <c r="D40" s="4" t="s">
        <v>208</v>
      </c>
      <c r="E40" s="4">
        <v>4</v>
      </c>
      <c r="F40" s="32" t="e">
        <f>VLOOKUP(Table1411[[#This Row],[Man. Number]],Articles!A:F,COLUMN(Articles!$F$1)-COLUMN(Articles!$A$1)+1,FALSE)</f>
        <v>#N/A</v>
      </c>
      <c r="G40" s="32" t="e">
        <f>IF(Table1411[[#This Row],[In stock]] &gt;= Table1411[[#This Row],[Quantity]],"YES","NO")</f>
        <v>#N/A</v>
      </c>
      <c r="H40" s="32" t="e">
        <f>VLOOKUP(Table1411[[#This Row],[Man. Number]],Articles!A:J,COLUMN(Articles!$J$1)-COLUMN(Articles!$A$1)+1,FALSE)*Table1411[[#This Row],[Quantity]]</f>
        <v>#N/A</v>
      </c>
      <c r="I40" s="32">
        <f>Table1411[[#This Row],[Quantity]]*$M$1</f>
        <v>4</v>
      </c>
      <c r="J40" s="32" t="e">
        <f>IF(Table1411[[#This Row],[In stock]] &gt;= Table1411[[#This Row],[Total quantity]],"YES","NO")</f>
        <v>#N/A</v>
      </c>
    </row>
    <row r="41" spans="1:10" x14ac:dyDescent="0.25">
      <c r="A41" s="34" t="s">
        <v>198</v>
      </c>
      <c r="B41" s="32" t="e">
        <f>VLOOKUP(Table1411[[#This Row],[Man. Number]],Articles!A:F,COLUMN(Articles!$D$1)-COLUMN(Articles!$A$1)+1,FALSE)</f>
        <v>#N/A</v>
      </c>
      <c r="C41" s="32" t="e">
        <f>VLOOKUP(Table1411[[#This Row],[Man. Number]],Articles!A:F,COLUMN(Articles!$C$1)-COLUMN(Articles!$A$1)+1,FALSE)</f>
        <v>#N/A</v>
      </c>
      <c r="D41" s="4" t="s">
        <v>207</v>
      </c>
      <c r="E41" s="4">
        <v>1</v>
      </c>
      <c r="F41" s="32" t="e">
        <f>VLOOKUP(Table1411[[#This Row],[Man. Number]],Articles!A:F,COLUMN(Articles!$F$1)-COLUMN(Articles!$A$1)+1,FALSE)</f>
        <v>#N/A</v>
      </c>
      <c r="G41" s="32" t="e">
        <f>IF(Table1411[[#This Row],[In stock]] &gt;= Table1411[[#This Row],[Quantity]],"YES","NO")</f>
        <v>#N/A</v>
      </c>
      <c r="H41" s="32" t="e">
        <f>VLOOKUP(Table1411[[#This Row],[Man. Number]],Articles!A:J,COLUMN(Articles!$J$1)-COLUMN(Articles!$A$1)+1,FALSE)*Table1411[[#This Row],[Quantity]]</f>
        <v>#N/A</v>
      </c>
      <c r="I41" s="32">
        <f>Table1411[[#This Row],[Quantity]]*$M$1</f>
        <v>1</v>
      </c>
      <c r="J41" s="32" t="e">
        <f>IF(Table1411[[#This Row],[In stock]] &gt;= Table1411[[#This Row],[Total quantity]],"YES","NO")</f>
        <v>#N/A</v>
      </c>
    </row>
    <row r="42" spans="1:10" x14ac:dyDescent="0.25">
      <c r="A42" s="34" t="s">
        <v>201</v>
      </c>
      <c r="B42" s="32" t="e">
        <f>VLOOKUP(Table1411[[#This Row],[Man. Number]],Articles!A:F,COLUMN(Articles!$D$1)-COLUMN(Articles!$A$1)+1,FALSE)</f>
        <v>#N/A</v>
      </c>
      <c r="C42" s="32" t="e">
        <f>VLOOKUP(Table1411[[#This Row],[Man. Number]],Articles!A:F,COLUMN(Articles!$C$1)-COLUMN(Articles!$A$1)+1,FALSE)</f>
        <v>#N/A</v>
      </c>
      <c r="D42" s="4" t="s">
        <v>207</v>
      </c>
      <c r="E42" s="4">
        <v>1</v>
      </c>
      <c r="F42" s="32" t="e">
        <f>VLOOKUP(Table1411[[#This Row],[Man. Number]],Articles!A:F,COLUMN(Articles!$F$1)-COLUMN(Articles!$A$1)+1,FALSE)</f>
        <v>#N/A</v>
      </c>
      <c r="G42" s="32" t="e">
        <f>IF(Table1411[[#This Row],[In stock]] &gt;= Table1411[[#This Row],[Quantity]],"YES","NO")</f>
        <v>#N/A</v>
      </c>
      <c r="H42" s="32" t="e">
        <f>VLOOKUP(Table1411[[#This Row],[Man. Number]],Articles!A:J,COLUMN(Articles!$J$1)-COLUMN(Articles!$A$1)+1,FALSE)*Table1411[[#This Row],[Quantity]]</f>
        <v>#N/A</v>
      </c>
      <c r="I42" s="32">
        <f>Table1411[[#This Row],[Quantity]]*$M$1</f>
        <v>1</v>
      </c>
      <c r="J42" s="32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85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121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36" priority="5"/>
  </conditionalFormatting>
  <conditionalFormatting sqref="G1:H1048576 J1:J1048576">
    <cfRule type="containsText" dxfId="135" priority="6" operator="containsText" text="NO">
      <formula>NOT(ISERROR(SEARCH("NO",G1)))</formula>
    </cfRule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269</v>
      </c>
    </row>
    <row r="2" spans="1:14" x14ac:dyDescent="0.25">
      <c r="A2" s="3" t="s">
        <v>42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29</v>
      </c>
      <c r="E2" s="4">
        <v>1</v>
      </c>
      <c r="F2" s="4">
        <f>VLOOKUP(Table14[[#This Row],[Man. Number]],Articles!A:F,COLUMN(Articles!$F$1)-COLUMN(Articles!$A$1)+1,FALSE)</f>
        <v>0</v>
      </c>
      <c r="G2" s="4" t="str">
        <f>IF(Table14[[#This Row],[In stock]] &gt;= Table14[[#This Row],[Quantity]],"YES","NO")</f>
        <v>NO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NO</v>
      </c>
    </row>
    <row r="3" spans="1:14" x14ac:dyDescent="0.25">
      <c r="A3" s="3" t="s">
        <v>35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29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115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29</v>
      </c>
      <c r="E4" s="4">
        <v>0.63888888888888884</v>
      </c>
      <c r="F4" s="4">
        <f>VLOOKUP(Table14[[#This Row],[Man. Number]],Articles!A:F,COLUMN(Articles!$F$1)-COLUMN(Articles!$A$1)+1,FALSE)</f>
        <v>2.3050000000000002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94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29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9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67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5.0999999999999997E-2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10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68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5.1999999999999998E-2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19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66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64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65</v>
      </c>
      <c r="E9" s="4">
        <v>1</v>
      </c>
      <c r="F9" s="4">
        <f>VLOOKUP(Table14[[#This Row],[Man. Number]],Articles!A:F,COLUMN(Articles!$F$1)-COLUMN(Articles!$A$1)+1,FALSE)</f>
        <v>6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38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84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18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71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93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74</v>
      </c>
      <c r="E12" s="4">
        <v>1</v>
      </c>
      <c r="F12" s="4">
        <f>VLOOKUP(Table14[[#This Row],[Man. Number]],Articles!A:F,COLUMN(Articles!$F$1)-COLUMN(Articles!$A$1)+1,FALSE)</f>
        <v>4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82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4.3999999999999997E-2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25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81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1.6E-2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20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75</v>
      </c>
      <c r="E16" s="4">
        <v>2</v>
      </c>
      <c r="F16" s="4">
        <f>VLOOKUP(Table14[[#This Row],[Man. Number]],Articles!A:F,COLUMN(Articles!$F$1)-COLUMN(Articles!$A$1)+1,FALSE)</f>
        <v>0</v>
      </c>
      <c r="G16" s="4" t="str">
        <f>IF(Table14[[#This Row],[In stock]] &gt;= Table14[[#This Row],[Quantity]],"YES","NO")</f>
        <v>NO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NO</v>
      </c>
    </row>
    <row r="17" spans="1:10" x14ac:dyDescent="0.25">
      <c r="A17" s="3" t="s">
        <v>23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78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28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83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4.8000000000000001E-2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53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79</v>
      </c>
      <c r="E19" s="4">
        <v>3</v>
      </c>
      <c r="F19" s="4">
        <f>VLOOKUP(Table14[[#This Row],[Man. Number]],Articles!A:F,COLUMN(Articles!$F$1)-COLUMN(Articles!$A$1)+1,FALSE)</f>
        <v>91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0.06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76</v>
      </c>
      <c r="E22" s="4">
        <v>2</v>
      </c>
      <c r="F22" s="4">
        <f>VLOOKUP(Table14[[#This Row],[Man. Number]],Articles!A:F,COLUMN(Articles!$F$1)-COLUMN(Articles!$A$1)+1,FALSE)</f>
        <v>18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22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77</v>
      </c>
      <c r="E23" s="4">
        <v>5</v>
      </c>
      <c r="F23" s="4">
        <f>VLOOKUP(Table14[[#This Row],[Man. Number]],Articles!A:F,COLUMN(Articles!$F$1)-COLUMN(Articles!$A$1)+1,FALSE)</f>
        <v>12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14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70</v>
      </c>
      <c r="E24" s="4">
        <v>1</v>
      </c>
      <c r="F24" s="4">
        <f>VLOOKUP(Table14[[#This Row],[Man. Number]],Articles!A:F,COLUMN(Articles!$F$1)-COLUMN(Articles!$A$1)+1,FALSE)</f>
        <v>6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15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72</v>
      </c>
      <c r="E25" s="4">
        <v>1</v>
      </c>
      <c r="F25" s="4">
        <f>VLOOKUP(Table14[[#This Row],[Man. Number]],Articles!A:F,COLUMN(Articles!$F$1)-COLUMN(Articles!$A$1)+1,FALSE)</f>
        <v>6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16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73</v>
      </c>
      <c r="E26" s="4">
        <v>1</v>
      </c>
      <c r="F26" s="4">
        <f>VLOOKUP(Table14[[#This Row],[Man. Number]],Articles!A:F,COLUMN(Articles!$F$1)-COLUMN(Articles!$A$1)+1,FALSE)</f>
        <v>14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86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8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69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85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11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12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13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26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121</v>
      </c>
      <c r="G41" s="4"/>
      <c r="H41" s="32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09" priority="3"/>
  </conditionalFormatting>
  <conditionalFormatting sqref="G1:H1048576 J1:J1048576">
    <cfRule type="containsText" dxfId="108" priority="4" operator="containsText" text="NO">
      <formula>NOT(ISERROR(SEARCH("NO",G1)))</formula>
    </cfRule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36">
        <v>2</v>
      </c>
      <c r="N1" t="s">
        <v>222</v>
      </c>
    </row>
    <row r="2" spans="1:14" x14ac:dyDescent="0.25">
      <c r="A2" s="3" t="s">
        <v>262</v>
      </c>
      <c r="B2" s="32" t="str">
        <f>VLOOKUP(Table14681012[[#This Row],[Man. Number]],Articles!A:F,COLUMN(Articles!$D$1)-COLUMN(Articles!$A$1)+1,FALSE)</f>
        <v>PCB USB Tool v4</v>
      </c>
      <c r="C2" s="32" t="str">
        <f>VLOOKUP(Table14681012[[#This Row],[Man. Number]],Articles!A:F,COLUMN(Articles!$C$1)-COLUMN(Articles!$A$1)+1,FALSE)</f>
        <v>None</v>
      </c>
      <c r="D2" s="4" t="s">
        <v>29</v>
      </c>
      <c r="E2" s="4">
        <v>1</v>
      </c>
      <c r="F2" s="4">
        <f>VLOOKUP(Table14681012[[#This Row],[Man. Number]],Articles!A:F,COLUMN(Articles!$F$1)-COLUMN(Articles!$A$1)+1,FALSE)</f>
        <v>4</v>
      </c>
      <c r="G2" s="32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0</v>
      </c>
      <c r="I2" s="32">
        <f>Table14681012[[#This Row],[Quantity]]*$M$1</f>
        <v>2</v>
      </c>
      <c r="J2" s="32" t="str">
        <f>IF(Table14681012[[#This Row],[In stock]] &gt;= Table14681012[[#This Row],[Total quantity]],"YES","NO")</f>
        <v>YES</v>
      </c>
    </row>
    <row r="3" spans="1:14" x14ac:dyDescent="0.25">
      <c r="A3" s="3" t="s">
        <v>162</v>
      </c>
      <c r="B3" s="32" t="str">
        <f>VLOOKUP(Table14681012[[#This Row],[Man. Number]],Articles!A:F,COLUMN(Articles!$D$1)-COLUMN(Articles!$A$1)+1,FALSE)</f>
        <v>4700pF ±10% 25V Ceramic Capacitor X7R 0805 (2012 Metric)</v>
      </c>
      <c r="C3" s="32" t="str">
        <f>VLOOKUP(Table14681012[[#This Row],[Man. Number]],Articles!A:F,COLUMN(Articles!$C$1)-COLUMN(Articles!$A$1)+1,FALSE)</f>
        <v>D101-153</v>
      </c>
      <c r="D3" s="4" t="s">
        <v>67</v>
      </c>
      <c r="E3" s="4">
        <v>1</v>
      </c>
      <c r="F3" s="4">
        <f>VLOOKUP(Table14681012[[#This Row],[Man. Number]],Articles!A:F,COLUMN(Articles!$F$1)-COLUMN(Articles!$A$1)+1,FALSE)</f>
        <v>8</v>
      </c>
      <c r="G3" s="32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3.5999999999999997E-2</v>
      </c>
      <c r="I3" s="32">
        <f>Table14681012[[#This Row],[Quantity]]*$M$1</f>
        <v>2</v>
      </c>
      <c r="J3" s="32" t="str">
        <f>IF(Table14681012[[#This Row],[In stock]] &gt;= Table14681012[[#This Row],[Total quantity]],"YES","NO")</f>
        <v>YES</v>
      </c>
    </row>
    <row r="4" spans="1:14" x14ac:dyDescent="0.25">
      <c r="A4" s="3" t="s">
        <v>161</v>
      </c>
      <c r="B4" s="32" t="str">
        <f>VLOOKUP(Table14681012[[#This Row],[Man. Number]],Articles!A:F,COLUMN(Articles!$D$1)-COLUMN(Articles!$A$1)+1,FALSE)</f>
        <v>1µF ±10% 25V Ceramic Capacitor X7R 0805 (2012 Metric)</v>
      </c>
      <c r="C4" s="32" t="str">
        <f>VLOOKUP(Table14681012[[#This Row],[Man. Number]],Articles!A:F,COLUMN(Articles!$C$1)-COLUMN(Articles!$A$1)+1,FALSE)</f>
        <v>D101-149</v>
      </c>
      <c r="D4" s="4" t="s">
        <v>243</v>
      </c>
      <c r="E4" s="4">
        <v>1</v>
      </c>
      <c r="F4" s="4">
        <f>VLOOKUP(Table14681012[[#This Row],[Man. Number]],Articles!A:F,COLUMN(Articles!$F$1)-COLUMN(Articles!$A$1)+1,FALSE)</f>
        <v>27</v>
      </c>
      <c r="G4" s="32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0.08</v>
      </c>
      <c r="I4" s="32">
        <f>Table14681012[[#This Row],[Quantity]]*$M$1</f>
        <v>2</v>
      </c>
      <c r="J4" s="32" t="str">
        <f>IF(Table14681012[[#This Row],[In stock]] &gt;= Table14681012[[#This Row],[Total quantity]],"YES","NO")</f>
        <v>YES</v>
      </c>
    </row>
    <row r="5" spans="1:14" x14ac:dyDescent="0.25">
      <c r="A5" s="3" t="s">
        <v>180</v>
      </c>
      <c r="B5" s="32" t="str">
        <f>VLOOKUP(Table14681012[[#This Row],[Man. Number]],Articles!A:F,COLUMN(Articles!$D$1)-COLUMN(Articles!$A$1)+1,FALSE)</f>
        <v>RES SMD 10K OHM 5% 1/4W 0603</v>
      </c>
      <c r="C5" s="32" t="str">
        <f>VLOOKUP(Table14681012[[#This Row],[Man. Number]],Articles!A:F,COLUMN(Articles!$C$1)-COLUMN(Articles!$A$1)+1,FALSE)</f>
        <v>D100-006</v>
      </c>
      <c r="D5" s="4" t="s">
        <v>247</v>
      </c>
      <c r="E5" s="4">
        <v>1</v>
      </c>
      <c r="F5" s="32">
        <f>VLOOKUP(Table14681012[[#This Row],[Man. Number]],Articles!A:F,COLUMN(Articles!$F$1)-COLUMN(Articles!$A$1)+1,FALSE)</f>
        <v>9</v>
      </c>
      <c r="G5" s="32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8.4000000000000005E-2</v>
      </c>
      <c r="I5" s="32">
        <f>Table14681012[[#This Row],[Quantity]]*$M$1</f>
        <v>2</v>
      </c>
      <c r="J5" s="32" t="str">
        <f>IF(Table14681012[[#This Row],[In stock]] &gt;= Table14681012[[#This Row],[Total quantity]],"YES","NO")</f>
        <v>YES</v>
      </c>
    </row>
    <row r="6" spans="1:14" x14ac:dyDescent="0.25">
      <c r="A6" s="3" t="s">
        <v>189</v>
      </c>
      <c r="B6" s="32" t="str">
        <f>VLOOKUP(Table14681012[[#This Row],[Man. Number]],Articles!A:F,COLUMN(Articles!$D$1)-COLUMN(Articles!$A$1)+1,FALSE)</f>
        <v>RES SMD 1M OHM 5% 1/4W 0603</v>
      </c>
      <c r="C6" s="32" t="str">
        <f>VLOOKUP(Table14681012[[#This Row],[Man. Number]],Articles!A:F,COLUMN(Articles!$C$1)-COLUMN(Articles!$A$1)+1,FALSE)</f>
        <v>D100-007</v>
      </c>
      <c r="D6" s="4" t="s">
        <v>90</v>
      </c>
      <c r="E6" s="4">
        <v>1</v>
      </c>
      <c r="F6" s="4">
        <f>VLOOKUP(Table14681012[[#This Row],[Man. Number]],Articles!A:F,COLUMN(Articles!$F$1)-COLUMN(Articles!$A$1)+1,FALSE)</f>
        <v>8</v>
      </c>
      <c r="G6" s="32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</v>
      </c>
      <c r="I6" s="32">
        <f>Table14681012[[#This Row],[Quantity]]*$M$1</f>
        <v>2</v>
      </c>
      <c r="J6" s="32" t="str">
        <f>IF(Table14681012[[#This Row],[In stock]] &gt;= Table14681012[[#This Row],[Total quantity]],"YES","NO")</f>
        <v>YES</v>
      </c>
    </row>
    <row r="7" spans="1:14" x14ac:dyDescent="0.25">
      <c r="A7" s="3" t="s">
        <v>186</v>
      </c>
      <c r="B7" s="32" t="str">
        <f>VLOOKUP(Table14681012[[#This Row],[Man. Number]],Articles!A:F,COLUMN(Articles!$D$1)-COLUMN(Articles!$A$1)+1,FALSE)</f>
        <v>RES SMD 27K OHM 5% 1/4W 0603</v>
      </c>
      <c r="C7" s="32" t="str">
        <f>VLOOKUP(Table14681012[[#This Row],[Man. Number]],Articles!A:F,COLUMN(Articles!$C$1)-COLUMN(Articles!$A$1)+1,FALSE)</f>
        <v>D100-001</v>
      </c>
      <c r="D7" s="32" t="s">
        <v>82</v>
      </c>
      <c r="E7" s="4">
        <v>1</v>
      </c>
      <c r="F7" s="4">
        <f>VLOOKUP(Table14681012[[#This Row],[Man. Number]],Articles!A:F,COLUMN(Articles!$F$1)-COLUMN(Articles!$A$1)+1,FALSE)</f>
        <v>7</v>
      </c>
      <c r="G7" s="32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0.1</v>
      </c>
      <c r="I7" s="32">
        <f>Table14681012[[#This Row],[Quantity]]*$M$1</f>
        <v>2</v>
      </c>
      <c r="J7" s="32" t="str">
        <f>IF(Table14681012[[#This Row],[In stock]] &gt;= Table14681012[[#This Row],[Total quantity]],"YES","NO")</f>
        <v>YES</v>
      </c>
    </row>
    <row r="8" spans="1:14" x14ac:dyDescent="0.25">
      <c r="A8" s="3" t="s">
        <v>192</v>
      </c>
      <c r="B8" s="32" t="str">
        <f>VLOOKUP(Table14681012[[#This Row],[Man. Number]],Articles!A:F,COLUMN(Articles!$D$1)-COLUMN(Articles!$A$1)+1,FALSE)</f>
        <v>RES SMD 560 OHM 5% 1/4W 0603</v>
      </c>
      <c r="C8" s="32" t="str">
        <f>VLOOKUP(Table14681012[[#This Row],[Man. Number]],Articles!A:F,COLUMN(Articles!$C$1)-COLUMN(Articles!$A$1)+1,FALSE)</f>
        <v>D100-003</v>
      </c>
      <c r="D8" s="4" t="s">
        <v>175</v>
      </c>
      <c r="E8" s="4">
        <v>1</v>
      </c>
      <c r="F8" s="32">
        <f>VLOOKUP(Table14681012[[#This Row],[Man. Number]],Articles!A:F,COLUMN(Articles!$F$1)-COLUMN(Articles!$A$1)+1,FALSE)</f>
        <v>9</v>
      </c>
      <c r="G8" s="32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</v>
      </c>
      <c r="I8" s="32">
        <f>Table14681012[[#This Row],[Quantity]]*$M$1</f>
        <v>2</v>
      </c>
      <c r="J8" s="32" t="str">
        <f>IF(Table14681012[[#This Row],[In stock]] &gt;= Table14681012[[#This Row],[Total quantity]],"YES","NO")</f>
        <v>YES</v>
      </c>
    </row>
    <row r="9" spans="1:14" x14ac:dyDescent="0.25">
      <c r="A9" s="3" t="s">
        <v>160</v>
      </c>
      <c r="B9" s="32" t="str">
        <f>VLOOKUP(Table14681012[[#This Row],[Man. Number]],Articles!A:F,COLUMN(Articles!$D$1)-COLUMN(Articles!$A$1)+1,FALSE)</f>
        <v>4.7µF ±20% 25V Ceramic Capacitor X5R 0805 (2012 Metric)</v>
      </c>
      <c r="C9" s="32" t="str">
        <f>VLOOKUP(Table14681012[[#This Row],[Man. Number]],Articles!A:F,COLUMN(Articles!$C$1)-COLUMN(Articles!$A$1)+1,FALSE)</f>
        <v>D101-151</v>
      </c>
      <c r="D9" s="4" t="s">
        <v>153</v>
      </c>
      <c r="E9" s="4">
        <v>1</v>
      </c>
      <c r="F9" s="4">
        <f>VLOOKUP(Table14681012[[#This Row],[Man. Number]],Articles!A:F,COLUMN(Articles!$F$1)-COLUMN(Articles!$A$1)+1,FALSE)</f>
        <v>7</v>
      </c>
      <c r="G9" s="32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0.151</v>
      </c>
      <c r="I9" s="32">
        <f>Table14681012[[#This Row],[Quantity]]*$M$1</f>
        <v>2</v>
      </c>
      <c r="J9" s="32" t="str">
        <f>IF(Table14681012[[#This Row],[In stock]] &gt;= Table14681012[[#This Row],[Total quantity]],"YES","NO")</f>
        <v>YES</v>
      </c>
    </row>
    <row r="10" spans="1:14" x14ac:dyDescent="0.25">
      <c r="A10" s="3" t="s">
        <v>231</v>
      </c>
      <c r="B10" s="32" t="str">
        <f>VLOOKUP(Table14681012[[#This Row],[Man. Number]],Articles!A:F,COLUMN(Articles!$D$1)-COLUMN(Articles!$A$1)+1,FALSE)</f>
        <v>10µF ±20% 10V Ceramic Capacitor X5R 0805 (2012 Metric)</v>
      </c>
      <c r="C10" s="32" t="str">
        <f>VLOOKUP(Table14681012[[#This Row],[Man. Number]],Articles!A:F,COLUMN(Articles!$C$1)-COLUMN(Articles!$A$1)+1,FALSE)</f>
        <v>D101-150</v>
      </c>
      <c r="D10" s="4" t="s">
        <v>68</v>
      </c>
      <c r="E10" s="4">
        <v>1</v>
      </c>
      <c r="F10" s="4">
        <f>VLOOKUP(Table14681012[[#This Row],[Man. Number]],Articles!A:F,COLUMN(Articles!$F$1)-COLUMN(Articles!$A$1)+1,FALSE)</f>
        <v>6</v>
      </c>
      <c r="G10" s="32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0.18</v>
      </c>
      <c r="I10" s="32">
        <f>Table14681012[[#This Row],[Quantity]]*$M$1</f>
        <v>2</v>
      </c>
      <c r="J10" s="32" t="str">
        <f>IF(Table14681012[[#This Row],[In stock]] &gt;= Table14681012[[#This Row],[Total quantity]],"YES","NO")</f>
        <v>YES</v>
      </c>
    </row>
    <row r="11" spans="1:14" x14ac:dyDescent="0.25">
      <c r="A11" s="3" t="s">
        <v>187</v>
      </c>
      <c r="B11" s="32" t="str">
        <f>VLOOKUP(Table14681012[[#This Row],[Man. Number]],Articles!A:F,COLUMN(Articles!$D$1)-COLUMN(Articles!$A$1)+1,FALSE)</f>
        <v>RES SMD 270 OHM 5% 1/4W 0603</v>
      </c>
      <c r="C11" s="32" t="str">
        <f>VLOOKUP(Table14681012[[#This Row],[Man. Number]],Articles!A:F,COLUMN(Articles!$C$1)-COLUMN(Articles!$A$1)+1,FALSE)</f>
        <v>D100-009</v>
      </c>
      <c r="D11" s="4" t="s">
        <v>250</v>
      </c>
      <c r="E11" s="4">
        <v>2</v>
      </c>
      <c r="F11" s="32">
        <f>VLOOKUP(Table14681012[[#This Row],[Man. Number]],Articles!A:F,COLUMN(Articles!$F$1)-COLUMN(Articles!$A$1)+1,FALSE)</f>
        <v>7</v>
      </c>
      <c r="G11" s="32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0.2</v>
      </c>
      <c r="I11" s="32">
        <f>Table14681012[[#This Row],[Quantity]]*$M$1</f>
        <v>4</v>
      </c>
      <c r="J11" s="32" t="str">
        <f>IF(Table14681012[[#This Row],[In stock]] &gt;= Table14681012[[#This Row],[Total quantity]],"YES","NO")</f>
        <v>YES</v>
      </c>
    </row>
    <row r="12" spans="1:14" x14ac:dyDescent="0.25">
      <c r="A12" s="3" t="s">
        <v>182</v>
      </c>
      <c r="B12" s="32" t="str">
        <f>VLOOKUP(Table14681012[[#This Row],[Man. Number]],Articles!A:F,COLUMN(Articles!$D$1)-COLUMN(Articles!$A$1)+1,FALSE)</f>
        <v>RES SMD 120 OHM 5% 1/4W 0603</v>
      </c>
      <c r="C12" s="32" t="str">
        <f>VLOOKUP(Table14681012[[#This Row],[Man. Number]],Articles!A:F,COLUMN(Articles!$C$1)-COLUMN(Articles!$A$1)+1,FALSE)</f>
        <v>D100-010</v>
      </c>
      <c r="D12" s="4" t="s">
        <v>249</v>
      </c>
      <c r="E12" s="4">
        <v>2</v>
      </c>
      <c r="F12" s="4">
        <f>VLOOKUP(Table14681012[[#This Row],[Man. Number]],Articles!A:F,COLUMN(Articles!$F$1)-COLUMN(Articles!$A$1)+1,FALSE)</f>
        <v>8</v>
      </c>
      <c r="G12" s="32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0.2</v>
      </c>
      <c r="I12" s="32">
        <f>Table14681012[[#This Row],[Quantity]]*$M$1</f>
        <v>4</v>
      </c>
      <c r="J12" s="32" t="str">
        <f>IF(Table14681012[[#This Row],[In stock]] &gt;= Table14681012[[#This Row],[Total quantity]],"YES","NO")</f>
        <v>YES</v>
      </c>
    </row>
    <row r="13" spans="1:14" x14ac:dyDescent="0.25">
      <c r="A13" s="3" t="s">
        <v>181</v>
      </c>
      <c r="B13" s="32" t="str">
        <f>VLOOKUP(Table14681012[[#This Row],[Man. Number]],Articles!A:F,COLUMN(Articles!$D$1)-COLUMN(Articles!$A$1)+1,FALSE)</f>
        <v>RES SMD 330 OHM 5% 1/4W 0603</v>
      </c>
      <c r="C13" s="32" t="str">
        <f>VLOOKUP(Table14681012[[#This Row],[Man. Number]],Articles!A:F,COLUMN(Articles!$C$1)-COLUMN(Articles!$A$1)+1,FALSE)</f>
        <v>D100-004</v>
      </c>
      <c r="D13" s="4" t="s">
        <v>248</v>
      </c>
      <c r="E13" s="4">
        <v>2</v>
      </c>
      <c r="F13" s="32">
        <f>VLOOKUP(Table14681012[[#This Row],[Man. Number]],Articles!A:F,COLUMN(Articles!$F$1)-COLUMN(Articles!$A$1)+1,FALSE)</f>
        <v>8</v>
      </c>
      <c r="G13" s="32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0.2</v>
      </c>
      <c r="I13" s="32">
        <f>Table14681012[[#This Row],[Quantity]]*$M$1</f>
        <v>4</v>
      </c>
      <c r="J13" s="32" t="str">
        <f>IF(Table14681012[[#This Row],[In stock]] &gt;= Table14681012[[#This Row],[Total quantity]],"YES","NO")</f>
        <v>YES</v>
      </c>
    </row>
    <row r="14" spans="1:14" x14ac:dyDescent="0.25">
      <c r="A14" s="3" t="s">
        <v>183</v>
      </c>
      <c r="B14" s="32" t="str">
        <f>VLOOKUP(Table14681012[[#This Row],[Man. Number]],Articles!A:F,COLUMN(Articles!$D$1)-COLUMN(Articles!$A$1)+1,FALSE)</f>
        <v>RES SMD 150 OHM 5% 1/4W 0603</v>
      </c>
      <c r="C14" s="32" t="str">
        <f>VLOOKUP(Table14681012[[#This Row],[Man. Number]],Articles!A:F,COLUMN(Articles!$C$1)-COLUMN(Articles!$A$1)+1,FALSE)</f>
        <v>D100-000</v>
      </c>
      <c r="D14" s="4" t="s">
        <v>246</v>
      </c>
      <c r="E14" s="4">
        <v>3</v>
      </c>
      <c r="F14" s="4">
        <f>VLOOKUP(Table14681012[[#This Row],[Man. Number]],Articles!A:F,COLUMN(Articles!$F$1)-COLUMN(Articles!$A$1)+1,FALSE)</f>
        <v>16</v>
      </c>
      <c r="G14" s="32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0.30000000000000004</v>
      </c>
      <c r="I14" s="32">
        <f>Table14681012[[#This Row],[Quantity]]*$M$1</f>
        <v>6</v>
      </c>
      <c r="J14" s="32" t="str">
        <f>IF(Table14681012[[#This Row],[In stock]] &gt;= Table14681012[[#This Row],[Total quantity]],"YES","NO")</f>
        <v>YES</v>
      </c>
    </row>
    <row r="15" spans="1:14" x14ac:dyDescent="0.25">
      <c r="A15" s="3" t="s">
        <v>240</v>
      </c>
      <c r="B15" s="32" t="str">
        <f>VLOOKUP(Table14681012[[#This Row],[Man. Number]],Articles!A:F,COLUMN(Articles!$D$1)-COLUMN(Articles!$A$1)+1,FALSE)</f>
        <v>Blue 470nm LED Indication - Discrete 3.2V 0805 (2012 Metric)</v>
      </c>
      <c r="C15" s="32" t="str">
        <f>VLOOKUP(Table14681012[[#This Row],[Man. Number]],Articles!A:F,COLUMN(Articles!$C$1)-COLUMN(Articles!$A$1)+1,FALSE)</f>
        <v>D001-050</v>
      </c>
      <c r="D15" s="4" t="s">
        <v>245</v>
      </c>
      <c r="E15" s="4">
        <v>2</v>
      </c>
      <c r="F15" s="4">
        <f>VLOOKUP(Table14681012[[#This Row],[Man. Number]],Articles!A:F,COLUMN(Articles!$F$1)-COLUMN(Articles!$A$1)+1,FALSE)</f>
        <v>8</v>
      </c>
      <c r="G15" s="32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2">
        <f>Table14681012[[#This Row],[Quantity]]*$M$1</f>
        <v>4</v>
      </c>
      <c r="J15" s="32" t="str">
        <f>IF(Table14681012[[#This Row],[In stock]] &gt;= Table14681012[[#This Row],[Total quantity]],"YES","NO")</f>
        <v>YES</v>
      </c>
    </row>
    <row r="16" spans="1:14" x14ac:dyDescent="0.25">
      <c r="A16" s="3" t="s">
        <v>16</v>
      </c>
      <c r="B16" s="32" t="str">
        <f>VLOOKUP(Table14681012[[#This Row],[Man. Number]],Articles!A:F,COLUMN(Articles!$D$1)-COLUMN(Articles!$A$1)+1,FALSE)</f>
        <v>Régulateur LDO, Fixe, Entrée 1.7 V à 5,5 V, Sortie 3.3 V/300 mA, Chute de 150 mV</v>
      </c>
      <c r="C16" s="32" t="str">
        <f>VLOOKUP(Table14681012[[#This Row],[Man. Number]],Articles!A:F,COLUMN(Articles!$C$1)-COLUMN(Articles!$A$1)+1,FALSE)</f>
        <v>D001-015</v>
      </c>
      <c r="D16" s="4" t="s">
        <v>72</v>
      </c>
      <c r="E16" s="4">
        <v>1</v>
      </c>
      <c r="F16" s="4">
        <f>VLOOKUP(Table14681012[[#This Row],[Man. Number]],Articles!A:F,COLUMN(Articles!$F$1)-COLUMN(Articles!$A$1)+1,FALSE)</f>
        <v>14</v>
      </c>
      <c r="G16" s="32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0.35</v>
      </c>
      <c r="I16" s="32">
        <f>Table14681012[[#This Row],[Quantity]]*$M$1</f>
        <v>2</v>
      </c>
      <c r="J16" s="32" t="str">
        <f>IF(Table14681012[[#This Row],[In stock]] &gt;= Table14681012[[#This Row],[Total quantity]],"YES","NO")</f>
        <v>YES</v>
      </c>
    </row>
    <row r="17" spans="1:10" x14ac:dyDescent="0.25">
      <c r="A17" s="3" t="s">
        <v>253</v>
      </c>
      <c r="B17" s="32" t="str">
        <f>VLOOKUP(Table14681012[[#This Row],[Man. Number]],Articles!A:F,COLUMN(Articles!$D$1)-COLUMN(Articles!$A$1)+1,FALSE)</f>
        <v>250mA 350V AC 72V DC Fuse Board Mount (Cartridge Style Excluded) Surface Mount 2410 (6125 Metric)</v>
      </c>
      <c r="C17" s="32" t="str">
        <f>VLOOKUP(Table14681012[[#This Row],[Man. Number]],Articles!A:F,COLUMN(Articles!$C$1)-COLUMN(Articles!$A$1)+1,FALSE)</f>
        <v>D100-137</v>
      </c>
      <c r="D17" s="4" t="s">
        <v>65</v>
      </c>
      <c r="E17" s="4">
        <v>1</v>
      </c>
      <c r="F17" s="4">
        <f>VLOOKUP(Table14681012[[#This Row],[Man. Number]],Articles!A:F,COLUMN(Articles!$F$1)-COLUMN(Articles!$A$1)+1,FALSE)</f>
        <v>5</v>
      </c>
      <c r="G17" s="32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0.44</v>
      </c>
      <c r="I17" s="32">
        <f>Table14681012[[#This Row],[Quantity]]*$M$1</f>
        <v>2</v>
      </c>
      <c r="J17" s="32" t="str">
        <f>IF(Table14681012[[#This Row],[In stock]] &gt;= Table14681012[[#This Row],[Total quantity]],"YES","NO")</f>
        <v>YES</v>
      </c>
    </row>
    <row r="18" spans="1:10" x14ac:dyDescent="0.25">
      <c r="A18" s="3" t="s">
        <v>39</v>
      </c>
      <c r="B18" s="32" t="str">
        <f>VLOOKUP(Table14681012[[#This Row],[Man. Number]],Articles!A:F,COLUMN(Articles!$D$1)-COLUMN(Articles!$A$1)+1,FALSE)</f>
        <v>LED RGB CLEAR 3528 SMD</v>
      </c>
      <c r="C18" s="32" t="str">
        <f>VLOOKUP(Table14681012[[#This Row],[Man. Number]],Articles!A:F,COLUMN(Articles!$C$1)-COLUMN(Articles!$A$1)+1,FALSE)</f>
        <v>D001-051</v>
      </c>
      <c r="D18" s="4" t="s">
        <v>167</v>
      </c>
      <c r="E18" s="4">
        <v>1</v>
      </c>
      <c r="F18" s="32">
        <f>VLOOKUP(Table14681012[[#This Row],[Man. Number]],Articles!A:F,COLUMN(Articles!$F$1)-COLUMN(Articles!$A$1)+1,FALSE)</f>
        <v>6</v>
      </c>
      <c r="G18" s="32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0.45</v>
      </c>
      <c r="I18" s="32">
        <f>Table14681012[[#This Row],[Quantity]]*$M$1</f>
        <v>2</v>
      </c>
      <c r="J18" s="32" t="str">
        <f>IF(Table14681012[[#This Row],[In stock]] &gt;= Table14681012[[#This Row],[Total quantity]],"YES","NO")</f>
        <v>YES</v>
      </c>
    </row>
    <row r="19" spans="1:10" x14ac:dyDescent="0.25">
      <c r="A19" s="3" t="s">
        <v>58</v>
      </c>
      <c r="B19" s="32" t="str">
        <f>VLOOKUP(Table14681012[[#This Row],[Man. Number]],Articles!A:F,COLUMN(Articles!$D$1)-COLUMN(Articles!$A$1)+1,FALSE)</f>
        <v>Red 628nm LED Indication - Discrete 1.8V 0603 (1608 Metric)</v>
      </c>
      <c r="C19" s="32" t="str">
        <f>VLOOKUP(Table14681012[[#This Row],[Man. Number]],Articles!A:F,COLUMN(Articles!$C$1)-COLUMN(Articles!$A$1)+1,FALSE)</f>
        <v>D001-049</v>
      </c>
      <c r="D19" s="4" t="s">
        <v>71</v>
      </c>
      <c r="E19" s="4">
        <v>1</v>
      </c>
      <c r="F19" s="32">
        <f>VLOOKUP(Table14681012[[#This Row],[Man. Number]],Articles!A:F,COLUMN(Articles!$F$1)-COLUMN(Articles!$A$1)+1,FALSE)</f>
        <v>0</v>
      </c>
      <c r="G19" s="32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0.52</v>
      </c>
      <c r="I19" s="32">
        <f>Table14681012[[#This Row],[Quantity]]*$M$1</f>
        <v>2</v>
      </c>
      <c r="J19" s="32" t="str">
        <f>IF(Table14681012[[#This Row],[In stock]] &gt;= Table14681012[[#This Row],[Total quantity]],"YES","NO")</f>
        <v>NO</v>
      </c>
    </row>
    <row r="20" spans="1:10" x14ac:dyDescent="0.25">
      <c r="A20" s="3" t="s">
        <v>57</v>
      </c>
      <c r="B20" s="32" t="str">
        <f>VLOOKUP(Table14681012[[#This Row],[Man. Number]],Articles!A:F,COLUMN(Articles!$D$1)-COLUMN(Articles!$A$1)+1,FALSE)</f>
        <v>Green 570nm LED Indication - Discrete 2V 0603 (1608 Metric)</v>
      </c>
      <c r="C20" s="32" t="str">
        <f>VLOOKUP(Table14681012[[#This Row],[Man. Number]],Articles!A:F,COLUMN(Articles!$C$1)-COLUMN(Articles!$A$1)+1,FALSE)</f>
        <v>D001-048</v>
      </c>
      <c r="D20" s="4" t="s">
        <v>244</v>
      </c>
      <c r="E20" s="4">
        <v>4</v>
      </c>
      <c r="F20" s="4">
        <f>VLOOKUP(Table14681012[[#This Row],[Man. Number]],Articles!A:F,COLUMN(Articles!$F$1)-COLUMN(Articles!$A$1)+1,FALSE)</f>
        <v>10</v>
      </c>
      <c r="G20" s="32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0.56000000000000005</v>
      </c>
      <c r="I20" s="32">
        <f>Table14681012[[#This Row],[Quantity]]*$M$1</f>
        <v>8</v>
      </c>
      <c r="J20" s="32" t="str">
        <f>IF(Table14681012[[#This Row],[In stock]] &gt;= Table14681012[[#This Row],[Total quantity]],"YES","NO")</f>
        <v>YES</v>
      </c>
    </row>
    <row r="21" spans="1:10" x14ac:dyDescent="0.25">
      <c r="A21" s="3" t="s">
        <v>233</v>
      </c>
      <c r="B21" s="32" t="str">
        <f>VLOOKUP(Table14681012[[#This Row],[Man. Number]],Articles!A:F,COLUMN(Articles!$D$1)-COLUMN(Articles!$A$1)+1,FALSE)</f>
        <v>M4x0.7 Hex Nut 0.275" (7.00mm) Nylon</v>
      </c>
      <c r="C21" s="32" t="str">
        <f>VLOOKUP(Table14681012[[#This Row],[Man. Number]],Articles!A:F,COLUMN(Articles!$C$1)-COLUMN(Articles!$A$1)+1,FALSE)</f>
        <v>D200-009</v>
      </c>
      <c r="D21" s="4" t="s">
        <v>29</v>
      </c>
      <c r="E21" s="4">
        <v>4</v>
      </c>
      <c r="F21" s="4">
        <f>VLOOKUP(Table14681012[[#This Row],[Man. Number]],Articles!A:F,COLUMN(Articles!$F$1)-COLUMN(Articles!$A$1)+1,FALSE)</f>
        <v>6</v>
      </c>
      <c r="G21" s="32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0.6</v>
      </c>
      <c r="I21" s="32">
        <f>Table14681012[[#This Row],[Quantity]]*$M$1</f>
        <v>8</v>
      </c>
      <c r="J21" s="32" t="str">
        <f>IF(Table14681012[[#This Row],[In stock]] &gt;= Table14681012[[#This Row],[Total quantity]],"YES","NO")</f>
        <v>NO</v>
      </c>
    </row>
    <row r="22" spans="1:10" x14ac:dyDescent="0.25">
      <c r="A22" s="3" t="s">
        <v>41</v>
      </c>
      <c r="B22" s="32" t="str">
        <f>VLOOKUP(Table14681012[[#This Row],[Man. Number]],Articles!A:F,COLUMN(Articles!$D$1)-COLUMN(Articles!$A$1)+1,FALSE)</f>
        <v>CONN RCPT STD MICRO USB TYPE B</v>
      </c>
      <c r="C22" s="32" t="str">
        <f>VLOOKUP(Table14681012[[#This Row],[Man. Number]],Articles!A:F,COLUMN(Articles!$C$1)-COLUMN(Articles!$A$1)+1,FALSE)</f>
        <v>D200-010</v>
      </c>
      <c r="D22" s="4" t="s">
        <v>154</v>
      </c>
      <c r="E22" s="4">
        <v>1</v>
      </c>
      <c r="F22" s="4">
        <f>VLOOKUP(Table14681012[[#This Row],[Man. Number]],Articles!A:F,COLUMN(Articles!$F$1)-COLUMN(Articles!$A$1)+1,FALSE)</f>
        <v>8</v>
      </c>
      <c r="G22" s="32" t="str">
        <f>IF(Table14681012[[#This Row],[In stock]] &gt;= Table14681012[[#This Row],[Quantity]],"YES","NO")</f>
        <v>YES</v>
      </c>
      <c r="H22" s="3">
        <f>VLOOKUP(Table14681012[[#This Row],[Man. Number]],Articles!A:J,COLUMN(Articles!$J$1)-COLUMN(Articles!$A$1)+1,FALSE)*Table14681012[[#This Row],[Quantity]]</f>
        <v>0.66500000000000004</v>
      </c>
      <c r="I22" s="32">
        <f>Table14681012[[#This Row],[Quantity]]*$M$1</f>
        <v>2</v>
      </c>
      <c r="J22" s="32" t="str">
        <f>IF(Table14681012[[#This Row],[In stock]] &gt;= Table14681012[[#This Row],[Total quantity]],"YES","NO")</f>
        <v>YES</v>
      </c>
    </row>
    <row r="23" spans="1:10" x14ac:dyDescent="0.25">
      <c r="A23" s="41" t="s">
        <v>184</v>
      </c>
      <c r="B23" s="39" t="str">
        <f>VLOOKUP(Table14681012[[#This Row],[Man. Number]],Articles!A:F,COLUMN(Articles!$D$1)-COLUMN(Articles!$A$1)+1,FALSE)</f>
        <v>RES SMD 4.7K OHM 5% 1/4W 0603</v>
      </c>
      <c r="C23" s="39" t="str">
        <f>VLOOKUP(Table14681012[[#This Row],[Man. Number]],Articles!A:F,COLUMN(Articles!$C$1)-COLUMN(Articles!$A$1)+1,FALSE)</f>
        <v>D100-005</v>
      </c>
      <c r="D23" s="40" t="s">
        <v>252</v>
      </c>
      <c r="E23" s="40">
        <v>10</v>
      </c>
      <c r="F23" s="40">
        <f>VLOOKUP(Table14681012[[#This Row],[Man. Number]],Articles!A:F,COLUMN(Articles!$F$1)-COLUMN(Articles!$A$1)+1,FALSE)</f>
        <v>10</v>
      </c>
      <c r="G23" s="39" t="str">
        <f>IF(Table14681012[[#This Row],[In stock]] &gt;= Table14681012[[#This Row],[Quantity]],"YES","NO")</f>
        <v>YES</v>
      </c>
      <c r="H23" s="41">
        <f>VLOOKUP(Table14681012[[#This Row],[Man. Number]],Articles!A:J,COLUMN(Articles!$J$1)-COLUMN(Articles!$A$1)+1,FALSE)*Table14681012[[#This Row],[Quantity]]</f>
        <v>1</v>
      </c>
      <c r="I23" s="39">
        <f>Table14681012[[#This Row],[Quantity]]*$M$1</f>
        <v>20</v>
      </c>
      <c r="J23" s="39" t="str">
        <f>IF(Table14681012[[#This Row],[In stock]] &gt;= Table14681012[[#This Row],[Total quantity]],"YES","NO")</f>
        <v>NO</v>
      </c>
    </row>
    <row r="24" spans="1:10" x14ac:dyDescent="0.25">
      <c r="A24" s="3" t="s">
        <v>59</v>
      </c>
      <c r="B24" s="32" t="str">
        <f>VLOOKUP(Table14681012[[#This Row],[Man. Number]],Articles!A:F,COLUMN(Articles!$D$1)-COLUMN(Articles!$A$1)+1,FALSE)</f>
        <v>SWITCH SLIDE SPDT 300MA 125V</v>
      </c>
      <c r="C24" s="32" t="str">
        <f>VLOOKUP(Table14681012[[#This Row],[Man. Number]],Articles!A:F,COLUMN(Articles!$C$1)-COLUMN(Articles!$A$1)+1,FALSE)</f>
        <v>D200-020</v>
      </c>
      <c r="D24" s="4" t="s">
        <v>166</v>
      </c>
      <c r="E24" s="4">
        <v>1</v>
      </c>
      <c r="F24" s="32">
        <f>VLOOKUP(Table14681012[[#This Row],[Man. Number]],Articles!A:F,COLUMN(Articles!$F$1)-COLUMN(Articles!$A$1)+1,FALSE)</f>
        <v>2</v>
      </c>
      <c r="G24" s="32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32">
        <f>Table14681012[[#This Row],[Quantity]]*$M$1</f>
        <v>2</v>
      </c>
      <c r="J24" s="32" t="str">
        <f>IF(Table14681012[[#This Row],[In stock]] &gt;= Table14681012[[#This Row],[Total quantity]],"YES","NO")</f>
        <v>YES</v>
      </c>
    </row>
    <row r="25" spans="1:10" x14ac:dyDescent="0.25">
      <c r="A25" s="3" t="s">
        <v>19</v>
      </c>
      <c r="B25" s="32" t="str">
        <f>VLOOKUP(Table14681012[[#This Row],[Man. Number]],Articles!A:F,COLUMN(Articles!$D$1)-COLUMN(Articles!$A$1)+1,FALSE)</f>
        <v>Condensateur céramique multicouche CMS, 1206 [3216 Metric], 0.1 µF, 25 V, ± 10%, X7R</v>
      </c>
      <c r="C25" s="32" t="str">
        <f>VLOOKUP(Table14681012[[#This Row],[Man. Number]],Articles!A:F,COLUMN(Articles!$C$1)-COLUMN(Articles!$A$1)+1,FALSE)</f>
        <v>D100-148</v>
      </c>
      <c r="D25" s="4" t="s">
        <v>242</v>
      </c>
      <c r="E25" s="4">
        <v>4</v>
      </c>
      <c r="F25" s="4">
        <f>VLOOKUP(Table14681012[[#This Row],[Man. Number]],Articles!A:F,COLUMN(Articles!$F$1)-COLUMN(Articles!$A$1)+1,FALSE)</f>
        <v>83</v>
      </c>
      <c r="G25" s="32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1.68</v>
      </c>
      <c r="I25" s="32">
        <f>Table14681012[[#This Row],[Quantity]]*$M$1</f>
        <v>8</v>
      </c>
      <c r="J25" s="32" t="str">
        <f>IF(Table14681012[[#This Row],[In stock]] &gt;= Table14681012[[#This Row],[Total quantity]],"YES","NO")</f>
        <v>YES</v>
      </c>
    </row>
    <row r="26" spans="1:10" x14ac:dyDescent="0.25">
      <c r="A26" s="3" t="s">
        <v>261</v>
      </c>
      <c r="B26" s="32" t="str">
        <f>VLOOKUP(Table14681012[[#This Row],[Man. Number]],Articles!A:F,COLUMN(Articles!$D$1)-COLUMN(Articles!$A$1)+1,FALSE)</f>
        <v>IC MCU 8BIT 64KB FLASH 44TQFP</v>
      </c>
      <c r="C26" s="32" t="str">
        <f>VLOOKUP(Table14681012[[#This Row],[Man. Number]],Articles!A:F,COLUMN(Articles!$C$1)-COLUMN(Articles!$A$1)+1,FALSE)</f>
        <v>None</v>
      </c>
      <c r="D26" s="4" t="s">
        <v>89</v>
      </c>
      <c r="E26" s="4">
        <v>1</v>
      </c>
      <c r="F26" s="4">
        <f>VLOOKUP(Table14681012[[#This Row],[Man. Number]],Articles!A:F,COLUMN(Articles!$F$1)-COLUMN(Articles!$A$1)+1,FALSE)</f>
        <v>0</v>
      </c>
      <c r="G26" s="32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1.8</v>
      </c>
      <c r="I26" s="32">
        <f>Table14681012[[#This Row],[Quantity]]*$M$1</f>
        <v>2</v>
      </c>
      <c r="J26" s="32" t="str">
        <f>IF(Table14681012[[#This Row],[In stock]] &gt;= Table14681012[[#This Row],[Total quantity]],"YES","NO")</f>
        <v>NO</v>
      </c>
    </row>
    <row r="27" spans="1:10" x14ac:dyDescent="0.25">
      <c r="A27" s="3" t="s">
        <v>232</v>
      </c>
      <c r="B27" s="32" t="str">
        <f>VLOOKUP(Table14681012[[#This Row],[Man. Number]],Articles!A:F,COLUMN(Articles!$D$1)-COLUMN(Articles!$A$1)+1,FALSE)</f>
        <v>Hex Standoff Threaded M4 Nylon 0.394" (10.00mm) Natural</v>
      </c>
      <c r="C27" s="32" t="str">
        <f>VLOOKUP(Table14681012[[#This Row],[Man. Number]],Articles!A:F,COLUMN(Articles!$C$1)-COLUMN(Articles!$A$1)+1,FALSE)</f>
        <v>D200-009</v>
      </c>
      <c r="D27" s="4" t="s">
        <v>29</v>
      </c>
      <c r="E27" s="4">
        <v>4</v>
      </c>
      <c r="F27" s="4">
        <f>VLOOKUP(Table14681012[[#This Row],[Man. Number]],Articles!A:F,COLUMN(Articles!$F$1)-COLUMN(Articles!$A$1)+1,FALSE)</f>
        <v>6</v>
      </c>
      <c r="G27" s="32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1.88</v>
      </c>
      <c r="I27" s="32">
        <f>Table14681012[[#This Row],[Quantity]]*$M$1</f>
        <v>8</v>
      </c>
      <c r="J27" s="32" t="str">
        <f>IF(Table14681012[[#This Row],[In stock]] &gt;= Table14681012[[#This Row],[Total quantity]],"YES","NO")</f>
        <v>NO</v>
      </c>
    </row>
    <row r="28" spans="1:10" x14ac:dyDescent="0.25">
      <c r="A28" s="3" t="s">
        <v>115</v>
      </c>
      <c r="B28" s="32" t="str">
        <f>VLOOKUP(Table14681012[[#This Row],[Man. Number]],Articles!A:F,COLUMN(Articles!$D$1)-COLUMN(Articles!$A$1)+1,FALSE)</f>
        <v>Connecteur carte-à-carte, femelle, 2.54 mm, 36 Contact(s), Embase</v>
      </c>
      <c r="C28" s="32" t="str">
        <f>VLOOKUP(Table14681012[[#This Row],[Man. Number]],Articles!A:F,COLUMN(Articles!$C$1)-COLUMN(Articles!$A$1)+1,FALSE)</f>
        <v>D200-011</v>
      </c>
      <c r="D28" s="4" t="s">
        <v>251</v>
      </c>
      <c r="E28" s="4">
        <f>(5+2*9)/36</f>
        <v>0.63888888888888884</v>
      </c>
      <c r="F28" s="4">
        <f>VLOOKUP(Table14681012[[#This Row],[Man. Number]],Articles!A:F,COLUMN(Articles!$F$1)-COLUMN(Articles!$A$1)+1,FALSE)</f>
        <v>2.3050000000000002</v>
      </c>
      <c r="G28" s="32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1.9933333333333332</v>
      </c>
      <c r="I28" s="32">
        <f>Table14681012[[#This Row],[Quantity]]*$M$1</f>
        <v>1.2777777777777777</v>
      </c>
      <c r="J28" s="32" t="str">
        <f>IF(Table14681012[[#This Row],[In stock]] &gt;= Table14681012[[#This Row],[Total quantity]],"YES","NO")</f>
        <v>YES</v>
      </c>
    </row>
    <row r="29" spans="1:10" x14ac:dyDescent="0.25">
      <c r="A29" s="3" t="s">
        <v>241</v>
      </c>
      <c r="B29" s="4" t="str">
        <f>VLOOKUP(Table14681012[[#This Row],[Man. Number]],Articles!A:F,COLUMN(Articles!$D$1)-COLUMN(Articles!$A$1)+1,FALSE)</f>
        <v>USB Bridge, USB to I²C/UART USB 2.0 I²C, UART Interface 14-TSSOP</v>
      </c>
      <c r="C29" s="4" t="str">
        <f>VLOOKUP(Table14681012[[#This Row],[Man. Number]],Articles!A:F,COLUMN(Articles!$C$1)-COLUMN(Articles!$A$1)+1,FALSE)</f>
        <v>D001-022</v>
      </c>
      <c r="D29" s="4" t="s">
        <v>73</v>
      </c>
      <c r="E29" s="4">
        <v>1</v>
      </c>
      <c r="F29" s="4">
        <f>VLOOKUP(Table14681012[[#This Row],[Man. Number]],Articles!A:F,COLUMN(Articles!$F$1)-COLUMN(Articles!$A$1)+1,FALSE)</f>
        <v>2</v>
      </c>
      <c r="G29" s="4" t="str">
        <f>IF(Table14681012[[#This Row],[In stock]] &gt;= Table14681012[[#This Row],[Quantity]],"YES","NO")</f>
        <v>YES</v>
      </c>
      <c r="H29" s="3">
        <f>VLOOKUP(Table14681012[[#This Row],[Man. Number]],Articles!A:J,COLUMN(Articles!$J$1)-COLUMN(Articles!$A$1)+1,FALSE)*Table14681012[[#This Row],[Quantity]]</f>
        <v>2.16</v>
      </c>
      <c r="I29" s="4">
        <f>Table14681012[[#This Row],[Quantity]]*$M$1</f>
        <v>2</v>
      </c>
      <c r="J29" s="4" t="str">
        <f>IF(Table14681012[[#This Row],[In stock]] &gt;= Table14681012[[#This Row],[Total quantity]],"YES","NO")</f>
        <v>YES</v>
      </c>
    </row>
    <row r="30" spans="1:10" x14ac:dyDescent="0.25">
      <c r="A30" s="3" t="s">
        <v>134</v>
      </c>
      <c r="B30" s="32" t="str">
        <f>VLOOKUP(Table14681012[[#This Row],[Man. Number]],Articles!A:F,COLUMN(Articles!$D$1)-COLUMN(Articles!$A$1)+1,FALSE)</f>
        <v>General ISM &lt; 1GHz  Transceiver Module 868MHz Integrated, Trace Surface Mount</v>
      </c>
      <c r="C30" s="32" t="str">
        <f>VLOOKUP(Table14681012[[#This Row],[Man. Number]],Articles!A:F,COLUMN(Articles!$C$1)-COLUMN(Articles!$A$1)+1,FALSE)</f>
        <v>D000-000</v>
      </c>
      <c r="D30" s="4" t="s">
        <v>70</v>
      </c>
      <c r="E30" s="4">
        <v>1</v>
      </c>
      <c r="F30" s="4">
        <f>VLOOKUP(Table14681012[[#This Row],[Man. Number]],Articles!A:F,COLUMN(Articles!$F$1)-COLUMN(Articles!$A$1)+1,FALSE)</f>
        <v>2</v>
      </c>
      <c r="G30" s="32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7.31</v>
      </c>
      <c r="I30" s="32">
        <f>Table14681012[[#This Row],[Quantity]]*$M$1</f>
        <v>2</v>
      </c>
      <c r="J30" s="32" t="str">
        <f>IF(Table14681012[[#This Row],[In stock]] &gt;= Table14681012[[#This Row],[Total quantity]],"YES","NO")</f>
        <v>YES</v>
      </c>
    </row>
    <row r="31" spans="1:10" x14ac:dyDescent="0.25">
      <c r="A31" s="3" t="s">
        <v>121</v>
      </c>
      <c r="G31" s="4"/>
      <c r="H31" s="4">
        <f>SUBTOTAL(109,Table14681012[Unit Price])</f>
        <v>24.86933333333333</v>
      </c>
      <c r="I31" s="4"/>
      <c r="J31" s="4"/>
    </row>
  </sheetData>
  <conditionalFormatting sqref="G1:H1048576 J1:J1048576">
    <cfRule type="containsText" dxfId="82" priority="4" operator="containsText" text="NO">
      <formula>NOT(ISERROR(SEARCH("NO",G1)))</formula>
    </cfRule>
  </conditionalFormatting>
  <conditionalFormatting sqref="A1:A1048576">
    <cfRule type="duplicateValues" dxfId="81" priority="3"/>
  </conditionalFormatting>
  <conditionalFormatting sqref="N1">
    <cfRule type="cellIs" dxfId="80" priority="1" stopIfTrue="1" operator="equal">
      <formula>"Locked"</formula>
    </cfRule>
    <cfRule type="cellIs" dxfId="79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2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38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36">
        <v>1</v>
      </c>
      <c r="N1" t="s">
        <v>269</v>
      </c>
    </row>
    <row r="2" spans="1:14" x14ac:dyDescent="0.25">
      <c r="A2" s="32" t="s">
        <v>202</v>
      </c>
      <c r="B2" s="32" t="str">
        <f>VLOOKUP(Table146810[[#This Row],[Man. Number]],Articles!A:F,COLUMN(Articles!$D$1)-COLUMN(Articles!$A$1)+1,FALSE)</f>
        <v>PCB USB Tool v1</v>
      </c>
      <c r="C2" s="32" t="str">
        <f>VLOOKUP(Table146810[[#This Row],[Man. Number]],Articles!A:F,COLUMN(Articles!$C$1)-COLUMN(Articles!$A$1)+1,FALSE)</f>
        <v>None</v>
      </c>
      <c r="D2" s="4" t="s">
        <v>29</v>
      </c>
      <c r="E2" s="4">
        <v>1</v>
      </c>
      <c r="F2" s="4">
        <f>VLOOKUP(Table146810[[#This Row],[Man. Number]],Articles!A:F,COLUMN(Articles!$F$1)-COLUMN(Articles!$A$1)+1,FALSE)</f>
        <v>5</v>
      </c>
      <c r="G2" s="32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2">
        <f>Table146810[[#This Row],[Quantity]]*$M$1</f>
        <v>1</v>
      </c>
      <c r="J2" s="32" t="str">
        <f>IF(Table146810[[#This Row],[In stock]] &gt;= Table146810[[#This Row],[Total quantity]],"YES","NO")</f>
        <v>YES</v>
      </c>
    </row>
    <row r="3" spans="1:14" x14ac:dyDescent="0.25">
      <c r="A3" s="32" t="s">
        <v>162</v>
      </c>
      <c r="B3" s="32" t="str">
        <f>VLOOKUP(Table146810[[#This Row],[Man. Number]],Articles!A:F,COLUMN(Articles!$D$1)-COLUMN(Articles!$A$1)+1,FALSE)</f>
        <v>4700pF ±10% 25V Ceramic Capacitor X7R 0805 (2012 Metric)</v>
      </c>
      <c r="C3" s="32" t="str">
        <f>VLOOKUP(Table146810[[#This Row],[Man. Number]],Articles!A:F,COLUMN(Articles!$C$1)-COLUMN(Articles!$A$1)+1,FALSE)</f>
        <v>D101-153</v>
      </c>
      <c r="D3" s="4" t="s">
        <v>67</v>
      </c>
      <c r="E3" s="4">
        <v>1</v>
      </c>
      <c r="F3" s="4">
        <f>VLOOKUP(Table146810[[#This Row],[Man. Number]],Articles!A:F,COLUMN(Articles!$F$1)-COLUMN(Articles!$A$1)+1,FALSE)</f>
        <v>8</v>
      </c>
      <c r="G3" s="32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2">
        <f>Table146810[[#This Row],[Quantity]]*$M$1</f>
        <v>1</v>
      </c>
      <c r="J3" s="32" t="str">
        <f>IF(Table146810[[#This Row],[In stock]] &gt;= Table146810[[#This Row],[Total quantity]],"YES","NO")</f>
        <v>YES</v>
      </c>
    </row>
    <row r="4" spans="1:14" x14ac:dyDescent="0.25">
      <c r="A4" s="32" t="s">
        <v>10</v>
      </c>
      <c r="B4" s="32" t="str">
        <f>VLOOKUP(Table146810[[#This Row],[Man. Number]],Articles!A:F,COLUMN(Articles!$D$1)-COLUMN(Articles!$A$1)+1,FALSE)</f>
        <v>Condensateur électrolytique, 10 µF, 35 V, Série MCGPR, ± 20%, À sorties radiales, 5 mm</v>
      </c>
      <c r="C4" s="32" t="str">
        <f>VLOOKUP(Table146810[[#This Row],[Man. Number]],Articles!A:F,COLUMN(Articles!$C$1)-COLUMN(Articles!$A$1)+1,FALSE)</f>
        <v>D200-001</v>
      </c>
      <c r="D4" s="4" t="s">
        <v>68</v>
      </c>
      <c r="E4" s="4">
        <v>1</v>
      </c>
      <c r="F4" s="4">
        <f>VLOOKUP(Table146810[[#This Row],[Man. Number]],Articles!A:F,COLUMN(Articles!$F$1)-COLUMN(Articles!$A$1)+1,FALSE)</f>
        <v>48</v>
      </c>
      <c r="G4" s="32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5.1999999999999998E-2</v>
      </c>
      <c r="I4" s="32">
        <f>Table146810[[#This Row],[Quantity]]*$M$1</f>
        <v>1</v>
      </c>
      <c r="J4" s="32" t="str">
        <f>IF(Table146810[[#This Row],[In stock]] &gt;= Table146810[[#This Row],[Total quantity]],"YES","NO")</f>
        <v>YES</v>
      </c>
    </row>
    <row r="5" spans="1:14" x14ac:dyDescent="0.25">
      <c r="A5" s="32" t="s">
        <v>19</v>
      </c>
      <c r="B5" s="32" t="str">
        <f>VLOOKUP(Table146810[[#This Row],[Man. Number]],Articles!A:F,COLUMN(Articles!$D$1)-COLUMN(Articles!$A$1)+1,FALSE)</f>
        <v>Condensateur céramique multicouche CMS, 1206 [3216 Metric], 0.1 µF, 25 V, ± 10%, X7R</v>
      </c>
      <c r="C5" s="32" t="str">
        <f>VLOOKUP(Table146810[[#This Row],[Man. Number]],Articles!A:F,COLUMN(Articles!$C$1)-COLUMN(Articles!$A$1)+1,FALSE)</f>
        <v>D100-148</v>
      </c>
      <c r="D5" s="4" t="s">
        <v>205</v>
      </c>
      <c r="E5" s="4">
        <v>3</v>
      </c>
      <c r="F5" s="4">
        <f>VLOOKUP(Table146810[[#This Row],[Man. Number]],Articles!A:F,COLUMN(Articles!$F$1)-COLUMN(Articles!$A$1)+1,FALSE)</f>
        <v>83</v>
      </c>
      <c r="G5" s="32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2">
        <f>Table146810[[#This Row],[Quantity]]*$M$1</f>
        <v>3</v>
      </c>
      <c r="J5" s="32" t="str">
        <f>IF(Table146810[[#This Row],[In stock]] &gt;= Table146810[[#This Row],[Total quantity]],"YES","NO")</f>
        <v>YES</v>
      </c>
    </row>
    <row r="6" spans="1:14" x14ac:dyDescent="0.25">
      <c r="A6" s="32" t="s">
        <v>161</v>
      </c>
      <c r="B6" s="32" t="str">
        <f>VLOOKUP(Table146810[[#This Row],[Man. Number]],Articles!A:F,COLUMN(Articles!$D$1)-COLUMN(Articles!$A$1)+1,FALSE)</f>
        <v>1µF ±10% 25V Ceramic Capacitor X7R 0805 (2012 Metric)</v>
      </c>
      <c r="C6" s="32" t="str">
        <f>VLOOKUP(Table146810[[#This Row],[Man. Number]],Articles!A:F,COLUMN(Articles!$C$1)-COLUMN(Articles!$A$1)+1,FALSE)</f>
        <v>D101-149</v>
      </c>
      <c r="D6" s="4" t="s">
        <v>157</v>
      </c>
      <c r="E6" s="4">
        <v>2</v>
      </c>
      <c r="F6" s="4">
        <f>VLOOKUP(Table146810[[#This Row],[Man. Number]],Articles!A:F,COLUMN(Articles!$F$1)-COLUMN(Articles!$A$1)+1,FALSE)</f>
        <v>27</v>
      </c>
      <c r="G6" s="32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2">
        <f>Table146810[[#This Row],[Quantity]]*$M$1</f>
        <v>2</v>
      </c>
      <c r="J6" s="32" t="str">
        <f>IF(Table146810[[#This Row],[In stock]] &gt;= Table146810[[#This Row],[Total quantity]],"YES","NO")</f>
        <v>YES</v>
      </c>
    </row>
    <row r="7" spans="1:14" x14ac:dyDescent="0.25">
      <c r="A7" s="32" t="s">
        <v>159</v>
      </c>
      <c r="B7" s="32" t="str">
        <f>VLOOKUP(Table146810[[#This Row],[Man. Number]],Articles!A:F,COLUMN(Articles!$D$1)-COLUMN(Articles!$A$1)+1,FALSE)</f>
        <v>0.47µF ±10% 25V Ceramic Capacitor X7R 0805 (2012 Metric)</v>
      </c>
      <c r="C7" s="32" t="str">
        <f>VLOOKUP(Table146810[[#This Row],[Man. Number]],Articles!A:F,COLUMN(Articles!$C$1)-COLUMN(Articles!$A$1)+1,FALSE)</f>
        <v>D101-152</v>
      </c>
      <c r="D7" s="4" t="s">
        <v>158</v>
      </c>
      <c r="E7" s="4">
        <v>1</v>
      </c>
      <c r="F7" s="4">
        <f>VLOOKUP(Table146810[[#This Row],[Man. Number]],Articles!A:F,COLUMN(Articles!$F$1)-COLUMN(Articles!$A$1)+1,FALSE)</f>
        <v>9</v>
      </c>
      <c r="G7" s="32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2">
        <f>Table146810[[#This Row],[Quantity]]*$M$1</f>
        <v>1</v>
      </c>
      <c r="J7" s="32" t="str">
        <f>IF(Table146810[[#This Row],[In stock]] &gt;= Table146810[[#This Row],[Total quantity]],"YES","NO")</f>
        <v>YES</v>
      </c>
    </row>
    <row r="8" spans="1:14" x14ac:dyDescent="0.25">
      <c r="A8" s="32" t="s">
        <v>60</v>
      </c>
      <c r="B8" s="32" t="str">
        <f>VLOOKUP(Table146810[[#This Row],[Man. Number]],Articles!A:F,COLUMN(Articles!$D$1)-COLUMN(Articles!$A$1)+1,FALSE)</f>
        <v>4.7µF ±10% 25V Ceramic Capacitor X7R 1206 (3216 Metric)</v>
      </c>
      <c r="C8" s="32" t="str">
        <f>VLOOKUP(Table146810[[#This Row],[Man. Number]],Articles!A:F,COLUMN(Articles!$C$1)-COLUMN(Articles!$A$1)+1,FALSE)</f>
        <v>D100-149</v>
      </c>
      <c r="D8" s="4" t="s">
        <v>153</v>
      </c>
      <c r="E8" s="4">
        <v>1</v>
      </c>
      <c r="F8" s="4">
        <f>VLOOKUP(Table146810[[#This Row],[Man. Number]],Articles!A:F,COLUMN(Articles!$F$1)-COLUMN(Articles!$A$1)+1,FALSE)</f>
        <v>16</v>
      </c>
      <c r="G8" s="32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2">
        <f>Table146810[[#This Row],[Quantity]]*$M$1</f>
        <v>1</v>
      </c>
      <c r="J8" s="32" t="str">
        <f>IF(Table146810[[#This Row],[In stock]] &gt;= Table146810[[#This Row],[Total quantity]],"YES","NO")</f>
        <v>YES</v>
      </c>
    </row>
    <row r="9" spans="1:14" x14ac:dyDescent="0.25">
      <c r="A9" s="32" t="s">
        <v>160</v>
      </c>
      <c r="B9" s="32" t="str">
        <f>VLOOKUP(Table146810[[#This Row],[Man. Number]],Articles!A:F,COLUMN(Articles!$D$1)-COLUMN(Articles!$A$1)+1,FALSE)</f>
        <v>4.7µF ±20% 25V Ceramic Capacitor X5R 0805 (2012 Metric)</v>
      </c>
      <c r="C9" s="32" t="str">
        <f>VLOOKUP(Table146810[[#This Row],[Man. Number]],Articles!A:F,COLUMN(Articles!$C$1)-COLUMN(Articles!$A$1)+1,FALSE)</f>
        <v>D101-151</v>
      </c>
      <c r="D9" s="4" t="s">
        <v>153</v>
      </c>
      <c r="E9" s="4">
        <v>0</v>
      </c>
      <c r="F9" s="4">
        <f>VLOOKUP(Table146810[[#This Row],[Man. Number]],Articles!A:F,COLUMN(Articles!$F$1)-COLUMN(Articles!$A$1)+1,FALSE)</f>
        <v>7</v>
      </c>
      <c r="G9" s="32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2">
        <f>Table146810[[#This Row],[Quantity]]*$M$1</f>
        <v>0</v>
      </c>
      <c r="J9" s="32" t="str">
        <f>IF(Table146810[[#This Row],[In stock]] &gt;= Table146810[[#This Row],[Total quantity]],"YES","NO")</f>
        <v>YES</v>
      </c>
    </row>
    <row r="10" spans="1:14" x14ac:dyDescent="0.25">
      <c r="A10" s="32" t="s">
        <v>136</v>
      </c>
      <c r="B10" s="32" t="str">
        <f>VLOOKUP(Table146810[[#This Row],[Man. Number]],Articles!A:F,COLUMN(Articles!$D$1)-COLUMN(Articles!$A$1)+1,FALSE)</f>
        <v>FUSE BRD MNT 500MA 350VAC 72VDC</v>
      </c>
      <c r="C10" s="32" t="str">
        <f>VLOOKUP(Table146810[[#This Row],[Man. Number]],Articles!A:F,COLUMN(Articles!$C$1)-COLUMN(Articles!$A$1)+1,FALSE)</f>
        <v>D100-136</v>
      </c>
      <c r="D10" s="4" t="s">
        <v>65</v>
      </c>
      <c r="E10" s="4">
        <v>1</v>
      </c>
      <c r="F10" s="4">
        <f>VLOOKUP(Table146810[[#This Row],[Man. Number]],Articles!A:F,COLUMN(Articles!$F$1)-COLUMN(Articles!$A$1)+1,FALSE)</f>
        <v>9</v>
      </c>
      <c r="G10" s="32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2">
        <f>Table146810[[#This Row],[Quantity]]*$M$1</f>
        <v>1</v>
      </c>
      <c r="J10" s="32" t="str">
        <f>IF(Table146810[[#This Row],[In stock]] &gt;= Table146810[[#This Row],[Total quantity]],"YES","NO")</f>
        <v>YES</v>
      </c>
    </row>
    <row r="11" spans="1:14" x14ac:dyDescent="0.25">
      <c r="A11" s="32" t="s">
        <v>41</v>
      </c>
      <c r="B11" s="32" t="str">
        <f>VLOOKUP(Table146810[[#This Row],[Man. Number]],Articles!A:F,COLUMN(Articles!$D$1)-COLUMN(Articles!$A$1)+1,FALSE)</f>
        <v>CONN RCPT STD MICRO USB TYPE B</v>
      </c>
      <c r="C11" s="32" t="str">
        <f>VLOOKUP(Table146810[[#This Row],[Man. Number]],Articles!A:F,COLUMN(Articles!$C$1)-COLUMN(Articles!$A$1)+1,FALSE)</f>
        <v>D200-010</v>
      </c>
      <c r="D11" s="4" t="s">
        <v>154</v>
      </c>
      <c r="E11" s="4">
        <v>1</v>
      </c>
      <c r="F11" s="4">
        <f>VLOOKUP(Table146810[[#This Row],[Man. Number]],Articles!A:F,COLUMN(Articles!$F$1)-COLUMN(Articles!$A$1)+1,FALSE)</f>
        <v>8</v>
      </c>
      <c r="G11" s="32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2">
        <f>Table146810[[#This Row],[Quantity]]*$M$1</f>
        <v>1</v>
      </c>
      <c r="J11" s="32" t="str">
        <f>IF(Table146810[[#This Row],[In stock]] &gt;= Table146810[[#This Row],[Total quantity]],"YES","NO")</f>
        <v>YES</v>
      </c>
    </row>
    <row r="12" spans="1:14" x14ac:dyDescent="0.25">
      <c r="A12" s="32" t="s">
        <v>165</v>
      </c>
      <c r="B12" s="32" t="str">
        <f>VLOOKUP(Table146810[[#This Row],[Man. Number]],Articles!A:F,COLUMN(Articles!$D$1)-COLUMN(Articles!$A$1)+1,FALSE)</f>
        <v>Connecteur carte-à-carte, male, Angle Droit, 2.54 mm, 40 Contact(s)</v>
      </c>
      <c r="C12" s="32" t="str">
        <f>VLOOKUP(Table146810[[#This Row],[Man. Number]],Articles!A:F,COLUMN(Articles!$C$1)-COLUMN(Articles!$A$1)+1,FALSE)</f>
        <v>None</v>
      </c>
      <c r="D12" s="4" t="s">
        <v>194</v>
      </c>
      <c r="E12" s="4">
        <f>8/40</f>
        <v>0.2</v>
      </c>
      <c r="F12" s="32">
        <f>VLOOKUP(Table146810[[#This Row],[Man. Number]],Articles!A:F,COLUMN(Articles!$F$1)-COLUMN(Articles!$A$1)+1,FALSE)</f>
        <v>9.65</v>
      </c>
      <c r="G12" s="32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2">
        <f>Table146810[[#This Row],[Quantity]]*$M$1</f>
        <v>0.2</v>
      </c>
      <c r="J12" s="32" t="str">
        <f>IF(Table146810[[#This Row],[In stock]] &gt;= Table146810[[#This Row],[Total quantity]],"YES","NO")</f>
        <v>YES</v>
      </c>
    </row>
    <row r="13" spans="1:14" x14ac:dyDescent="0.25">
      <c r="A13" s="32" t="s">
        <v>58</v>
      </c>
      <c r="B13" s="32" t="str">
        <f>VLOOKUP(Table146810[[#This Row],[Man. Number]],Articles!A:F,COLUMN(Articles!$D$1)-COLUMN(Articles!$A$1)+1,FALSE)</f>
        <v>Red 628nm LED Indication - Discrete 1.8V 0603 (1608 Metric)</v>
      </c>
      <c r="C13" s="32" t="str">
        <f>VLOOKUP(Table146810[[#This Row],[Man. Number]],Articles!A:F,COLUMN(Articles!$C$1)-COLUMN(Articles!$A$1)+1,FALSE)</f>
        <v>D001-049</v>
      </c>
      <c r="D13" s="4" t="s">
        <v>71</v>
      </c>
      <c r="E13" s="4">
        <v>1</v>
      </c>
      <c r="F13" s="32">
        <f>VLOOKUP(Table146810[[#This Row],[Man. Number]],Articles!A:F,COLUMN(Articles!$F$1)-COLUMN(Articles!$A$1)+1,FALSE)</f>
        <v>0</v>
      </c>
      <c r="G13" s="32" t="str">
        <f>IF(Table146810[[#This Row],[In stock]] &gt;= Table146810[[#This Row],[Quantity]],"YES","NO")</f>
        <v>NO</v>
      </c>
      <c r="H13" s="3">
        <f>VLOOKUP(Table146810[[#This Row],[Man. Number]],Articles!A:J,COLUMN(Articles!$J$1)-COLUMN(Articles!$A$1)+1,FALSE)*Table146810[[#This Row],[Quantity]]</f>
        <v>0.52</v>
      </c>
      <c r="I13" s="32">
        <f>Table146810[[#This Row],[Quantity]]*$M$1</f>
        <v>1</v>
      </c>
      <c r="J13" s="32" t="str">
        <f>IF(Table146810[[#This Row],[In stock]] &gt;= Table146810[[#This Row],[Total quantity]],"YES","NO")</f>
        <v>NO</v>
      </c>
    </row>
    <row r="14" spans="1:14" x14ac:dyDescent="0.25">
      <c r="A14" s="32" t="s">
        <v>39</v>
      </c>
      <c r="B14" s="32" t="str">
        <f>VLOOKUP(Table146810[[#This Row],[Man. Number]],Articles!A:F,COLUMN(Articles!$D$1)-COLUMN(Articles!$A$1)+1,FALSE)</f>
        <v>LED RGB CLEAR 3528 SMD</v>
      </c>
      <c r="C14" s="32" t="str">
        <f>VLOOKUP(Table146810[[#This Row],[Man. Number]],Articles!A:F,COLUMN(Articles!$C$1)-COLUMN(Articles!$A$1)+1,FALSE)</f>
        <v>D001-051</v>
      </c>
      <c r="D14" s="4" t="s">
        <v>167</v>
      </c>
      <c r="E14" s="4">
        <v>1</v>
      </c>
      <c r="F14" s="32">
        <f>VLOOKUP(Table146810[[#This Row],[Man. Number]],Articles!A:F,COLUMN(Articles!$F$1)-COLUMN(Articles!$A$1)+1,FALSE)</f>
        <v>6</v>
      </c>
      <c r="G14" s="32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2">
        <f>Table146810[[#This Row],[Quantity]]*$M$1</f>
        <v>1</v>
      </c>
      <c r="J14" s="32" t="str">
        <f>IF(Table146810[[#This Row],[In stock]] &gt;= Table146810[[#This Row],[Total quantity]],"YES","NO")</f>
        <v>YES</v>
      </c>
    </row>
    <row r="15" spans="1:14" x14ac:dyDescent="0.25">
      <c r="A15" s="32" t="s">
        <v>189</v>
      </c>
      <c r="B15" s="32" t="str">
        <f>VLOOKUP(Table146810[[#This Row],[Man. Number]],Articles!A:F,COLUMN(Articles!$D$1)-COLUMN(Articles!$A$1)+1,FALSE)</f>
        <v>RES SMD 1M OHM 5% 1/4W 0603</v>
      </c>
      <c r="C15" s="32" t="str">
        <f>VLOOKUP(Table146810[[#This Row],[Man. Number]],Articles!A:F,COLUMN(Articles!$C$1)-COLUMN(Articles!$A$1)+1,FALSE)</f>
        <v>D100-007</v>
      </c>
      <c r="D15" s="4" t="s">
        <v>90</v>
      </c>
      <c r="E15" s="4">
        <v>1</v>
      </c>
      <c r="F15" s="4">
        <f>VLOOKUP(Table146810[[#This Row],[Man. Number]],Articles!A:F,COLUMN(Articles!$F$1)-COLUMN(Articles!$A$1)+1,FALSE)</f>
        <v>8</v>
      </c>
      <c r="G15" s="32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2">
        <f>Table146810[[#This Row],[Quantity]]*$M$1</f>
        <v>1</v>
      </c>
      <c r="J15" s="32" t="str">
        <f>IF(Table146810[[#This Row],[In stock]] &gt;= Table146810[[#This Row],[Total quantity]],"YES","NO")</f>
        <v>YES</v>
      </c>
    </row>
    <row r="16" spans="1:14" x14ac:dyDescent="0.25">
      <c r="A16" s="32" t="s">
        <v>186</v>
      </c>
      <c r="B16" s="32" t="str">
        <f>VLOOKUP(Table146810[[#This Row],[Man. Number]],Articles!A:F,COLUMN(Articles!$D$1)-COLUMN(Articles!$A$1)+1,FALSE)</f>
        <v>RES SMD 27K OHM 5% 1/4W 0603</v>
      </c>
      <c r="C16" s="32" t="str">
        <f>VLOOKUP(Table146810[[#This Row],[Man. Number]],Articles!A:F,COLUMN(Articles!$C$1)-COLUMN(Articles!$A$1)+1,FALSE)</f>
        <v>D100-001</v>
      </c>
      <c r="D16" s="4" t="s">
        <v>82</v>
      </c>
      <c r="E16" s="4">
        <v>1</v>
      </c>
      <c r="F16" s="4">
        <f>VLOOKUP(Table146810[[#This Row],[Man. Number]],Articles!A:F,COLUMN(Articles!$F$1)-COLUMN(Articles!$A$1)+1,FALSE)</f>
        <v>7</v>
      </c>
      <c r="G16" s="32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2">
        <f>Table146810[[#This Row],[Quantity]]*$M$1</f>
        <v>1</v>
      </c>
      <c r="J16" s="32" t="str">
        <f>IF(Table146810[[#This Row],[In stock]] &gt;= Table146810[[#This Row],[Total quantity]],"YES","NO")</f>
        <v>YES</v>
      </c>
    </row>
    <row r="17" spans="1:10" x14ac:dyDescent="0.25">
      <c r="A17" s="32" t="s">
        <v>188</v>
      </c>
      <c r="B17" s="32" t="str">
        <f>VLOOKUP(Table146810[[#This Row],[Man. Number]],Articles!A:F,COLUMN(Articles!$D$1)-COLUMN(Articles!$A$1)+1,FALSE)</f>
        <v>RES SMD 180 OHM 5% 1/4W 0603</v>
      </c>
      <c r="C17" s="32" t="str">
        <f>VLOOKUP(Table146810[[#This Row],[Man. Number]],Articles!A:F,COLUMN(Articles!$C$1)-COLUMN(Articles!$A$1)+1,FALSE)</f>
        <v>D100-008</v>
      </c>
      <c r="D17" s="4" t="s">
        <v>169</v>
      </c>
      <c r="E17" s="4">
        <v>3</v>
      </c>
      <c r="F17" s="4">
        <f>VLOOKUP(Table146810[[#This Row],[Man. Number]],Articles!A:F,COLUMN(Articles!$F$1)-COLUMN(Articles!$A$1)+1,FALSE)</f>
        <v>17</v>
      </c>
      <c r="G17" s="32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2">
        <f>Table146810[[#This Row],[Quantity]]*$M$1</f>
        <v>3</v>
      </c>
      <c r="J17" s="32" t="str">
        <f>IF(Table146810[[#This Row],[In stock]] &gt;= Table146810[[#This Row],[Total quantity]],"YES","NO")</f>
        <v>YES</v>
      </c>
    </row>
    <row r="18" spans="1:10" x14ac:dyDescent="0.25">
      <c r="A18" s="32" t="s">
        <v>176</v>
      </c>
      <c r="B18" s="32" t="str">
        <f>VLOOKUP(Table146810[[#This Row],[Man. Number]],Articles!A:F,COLUMN(Articles!$D$1)-COLUMN(Articles!$A$1)+1,FALSE)</f>
        <v>RES SMD 1K OHM 5% 1/4W 0603</v>
      </c>
      <c r="C18" s="32" t="str">
        <f>VLOOKUP(Table146810[[#This Row],[Man. Number]],Articles!A:F,COLUMN(Articles!$C$1)-COLUMN(Articles!$A$1)+1,FALSE)</f>
        <v>D100-002</v>
      </c>
      <c r="D18" s="4" t="s">
        <v>156</v>
      </c>
      <c r="E18" s="4">
        <v>5</v>
      </c>
      <c r="F18" s="4">
        <f>VLOOKUP(Table146810[[#This Row],[Man. Number]],Articles!A:F,COLUMN(Articles!$F$1)-COLUMN(Articles!$A$1)+1,FALSE)</f>
        <v>90</v>
      </c>
      <c r="G18" s="32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2">
        <f>Table146810[[#This Row],[Quantity]]*$M$1</f>
        <v>5</v>
      </c>
      <c r="J18" s="32" t="str">
        <f>IF(Table146810[[#This Row],[In stock]] &gt;= Table146810[[#This Row],[Total quantity]],"YES","NO")</f>
        <v>YES</v>
      </c>
    </row>
    <row r="19" spans="1:10" x14ac:dyDescent="0.25">
      <c r="A19" s="32" t="s">
        <v>187</v>
      </c>
      <c r="B19" s="32" t="str">
        <f>VLOOKUP(Table146810[[#This Row],[Man. Number]],Articles!A:F,COLUMN(Articles!$D$1)-COLUMN(Articles!$A$1)+1,FALSE)</f>
        <v>RES SMD 270 OHM 5% 1/4W 0603</v>
      </c>
      <c r="C19" s="32" t="str">
        <f>VLOOKUP(Table146810[[#This Row],[Man. Number]],Articles!A:F,COLUMN(Articles!$C$1)-COLUMN(Articles!$A$1)+1,FALSE)</f>
        <v>D100-009</v>
      </c>
      <c r="D19" s="4" t="s">
        <v>175</v>
      </c>
      <c r="E19" s="4">
        <v>1</v>
      </c>
      <c r="F19" s="32">
        <f>VLOOKUP(Table146810[[#This Row],[Man. Number]],Articles!A:F,COLUMN(Articles!$F$1)-COLUMN(Articles!$A$1)+1,FALSE)</f>
        <v>7</v>
      </c>
      <c r="G19" s="32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2">
        <f>Table146810[[#This Row],[Quantity]]*$M$1</f>
        <v>1</v>
      </c>
      <c r="J19" s="32" t="str">
        <f>IF(Table146810[[#This Row],[In stock]] &gt;= Table146810[[#This Row],[Total quantity]],"YES","NO")</f>
        <v>YES</v>
      </c>
    </row>
    <row r="20" spans="1:10" x14ac:dyDescent="0.25">
      <c r="A20" s="32" t="s">
        <v>59</v>
      </c>
      <c r="B20" s="32" t="str">
        <f>VLOOKUP(Table146810[[#This Row],[Man. Number]],Articles!A:F,COLUMN(Articles!$D$1)-COLUMN(Articles!$A$1)+1,FALSE)</f>
        <v>SWITCH SLIDE SPDT 300MA 125V</v>
      </c>
      <c r="C20" s="32" t="str">
        <f>VLOOKUP(Table146810[[#This Row],[Man. Number]],Articles!A:F,COLUMN(Articles!$C$1)-COLUMN(Articles!$A$1)+1,FALSE)</f>
        <v>D200-020</v>
      </c>
      <c r="D20" s="4" t="s">
        <v>166</v>
      </c>
      <c r="E20" s="4">
        <v>1</v>
      </c>
      <c r="F20" s="32">
        <f>VLOOKUP(Table146810[[#This Row],[Man. Number]],Articles!A:F,COLUMN(Articles!$F$1)-COLUMN(Articles!$A$1)+1,FALSE)</f>
        <v>2</v>
      </c>
      <c r="G20" s="32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2">
        <f>Table146810[[#This Row],[Quantity]]*$M$1</f>
        <v>1</v>
      </c>
      <c r="J20" s="32" t="str">
        <f>IF(Table146810[[#This Row],[In stock]] &gt;= Table146810[[#This Row],[Total quantity]],"YES","NO")</f>
        <v>YES</v>
      </c>
    </row>
    <row r="21" spans="1:10" x14ac:dyDescent="0.25">
      <c r="A21" s="32" t="s">
        <v>134</v>
      </c>
      <c r="B21" s="32" t="str">
        <f>VLOOKUP(Table146810[[#This Row],[Man. Number]],Articles!A:F,COLUMN(Articles!$D$1)-COLUMN(Articles!$A$1)+1,FALSE)</f>
        <v>General ISM &lt; 1GHz  Transceiver Module 868MHz Integrated, Trace Surface Mount</v>
      </c>
      <c r="C21" s="32" t="str">
        <f>VLOOKUP(Table146810[[#This Row],[Man. Number]],Articles!A:F,COLUMN(Articles!$C$1)-COLUMN(Articles!$A$1)+1,FALSE)</f>
        <v>D000-000</v>
      </c>
      <c r="D21" s="4" t="s">
        <v>70</v>
      </c>
      <c r="E21" s="4">
        <v>1</v>
      </c>
      <c r="F21" s="4">
        <f>VLOOKUP(Table146810[[#This Row],[Man. Number]],Articles!A:F,COLUMN(Articles!$F$1)-COLUMN(Articles!$A$1)+1,FALSE)</f>
        <v>2</v>
      </c>
      <c r="G21" s="32" t="str">
        <f>IF(Table146810[[#This Row],[In stock]] &gt;= Table146810[[#This Row],[Quantity]],"YES","NO")</f>
        <v>YES</v>
      </c>
      <c r="H21" s="3">
        <f>VLOOKUP(Table146810[[#This Row],[Man. Number]],Articles!A:J,COLUMN(Articles!$J$1)-COLUMN(Articles!$A$1)+1,FALSE)*Table146810[[#This Row],[Quantity]]</f>
        <v>7.31</v>
      </c>
      <c r="I21" s="32">
        <f>Table146810[[#This Row],[Quantity]]*$M$1</f>
        <v>1</v>
      </c>
      <c r="J21" s="32" t="str">
        <f>IF(Table146810[[#This Row],[In stock]] &gt;= Table146810[[#This Row],[Total quantity]],"YES","NO")</f>
        <v>YES</v>
      </c>
    </row>
    <row r="22" spans="1:10" x14ac:dyDescent="0.25">
      <c r="A22" s="32" t="s">
        <v>16</v>
      </c>
      <c r="B22" s="32" t="str">
        <f>VLOOKUP(Table146810[[#This Row],[Man. Number]],Articles!A:F,COLUMN(Articles!$D$1)-COLUMN(Articles!$A$1)+1,FALSE)</f>
        <v>Régulateur LDO, Fixe, Entrée 1.7 V à 5,5 V, Sortie 3.3 V/300 mA, Chute de 150 mV</v>
      </c>
      <c r="C22" s="32" t="str">
        <f>VLOOKUP(Table146810[[#This Row],[Man. Number]],Articles!A:F,COLUMN(Articles!$C$1)-COLUMN(Articles!$A$1)+1,FALSE)</f>
        <v>D001-015</v>
      </c>
      <c r="D22" s="4" t="s">
        <v>72</v>
      </c>
      <c r="E22" s="4">
        <v>1</v>
      </c>
      <c r="F22" s="4">
        <f>VLOOKUP(Table146810[[#This Row],[Man. Number]],Articles!A:F,COLUMN(Articles!$F$1)-COLUMN(Articles!$A$1)+1,FALSE)</f>
        <v>14</v>
      </c>
      <c r="G22" s="32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2">
        <f>Table146810[[#This Row],[Quantity]]*$M$1</f>
        <v>1</v>
      </c>
      <c r="J22" s="32" t="str">
        <f>IF(Table146810[[#This Row],[In stock]] &gt;= Table146810[[#This Row],[Total quantity]],"YES","NO")</f>
        <v>YES</v>
      </c>
    </row>
    <row r="23" spans="1:10" x14ac:dyDescent="0.25">
      <c r="A23" s="32" t="s">
        <v>132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73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2" t="s">
        <v>135</v>
      </c>
      <c r="B24" s="32" t="str">
        <f>VLOOKUP(Table146810[[#This Row],[Man. Number]],Articles!A:F,COLUMN(Articles!$D$1)-COLUMN(Articles!$A$1)+1,FALSE)</f>
        <v>IC MCU 8BIT 64KB FLASH 44TQFP</v>
      </c>
      <c r="C24" s="32" t="str">
        <f>VLOOKUP(Table146810[[#This Row],[Man. Number]],Articles!A:F,COLUMN(Articles!$C$1)-COLUMN(Articles!$A$1)+1,FALSE)</f>
        <v>D001-028</v>
      </c>
      <c r="D24" s="4" t="s">
        <v>89</v>
      </c>
      <c r="E24" s="4">
        <v>1</v>
      </c>
      <c r="F24" s="4">
        <f>VLOOKUP(Table146810[[#This Row],[Man. Number]],Articles!A:F,COLUMN(Articles!$F$1)-COLUMN(Articles!$A$1)+1,FALSE)</f>
        <v>1</v>
      </c>
      <c r="G24" s="32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2">
        <f>Table146810[[#This Row],[Quantity]]*$M$1</f>
        <v>1</v>
      </c>
      <c r="J24" s="32" t="str">
        <f>IF(Table146810[[#This Row],[In stock]] &gt;= Table146810[[#This Row],[Total quantity]],"YES","NO")</f>
        <v>YES</v>
      </c>
    </row>
    <row r="25" spans="1:10" x14ac:dyDescent="0.25">
      <c r="A25" s="32" t="s">
        <v>36</v>
      </c>
      <c r="B25" s="32" t="str">
        <f>VLOOKUP(Table146810[[#This Row],[Man. Number]],Articles!A:F,COLUMN(Articles!$D$1)-COLUMN(Articles!$A$1)+1,FALSE)</f>
        <v>Réseau de transistors bipolaires, NPN, 50 V, 500 mA</v>
      </c>
      <c r="C25" s="32" t="str">
        <f>VLOOKUP(Table146810[[#This Row],[Man. Number]],Articles!A:F,COLUMN(Articles!$C$1)-COLUMN(Articles!$A$1)+1,FALSE)</f>
        <v>D001-002</v>
      </c>
      <c r="D25" s="4" t="s">
        <v>86</v>
      </c>
      <c r="E25" s="4">
        <v>1</v>
      </c>
      <c r="F25" s="32">
        <f>VLOOKUP(Table146810[[#This Row],[Man. Number]],Articles!A:F,COLUMN(Articles!$F$1)-COLUMN(Articles!$A$1)+1,FALSE)</f>
        <v>10</v>
      </c>
      <c r="G25" s="32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2">
        <f>Table146810[[#This Row],[Quantity]]*$M$1</f>
        <v>1</v>
      </c>
      <c r="J25" s="32" t="str">
        <f>IF(Table146810[[#This Row],[In stock]] &gt;= Table146810[[#This Row],[Total quantity]],"YES","NO")</f>
        <v>YES</v>
      </c>
    </row>
    <row r="26" spans="1:10" x14ac:dyDescent="0.25">
      <c r="A26" s="32" t="s">
        <v>133</v>
      </c>
      <c r="B26" s="32" t="str">
        <f>VLOOKUP(Table146810[[#This Row],[Man. Number]],Articles!A:F,COLUMN(Articles!$D$1)-COLUMN(Articles!$A$1)+1,FALSE)</f>
        <v>MEMS OSC XO 12.0000MHZ CMOS SMD</v>
      </c>
      <c r="C26" s="32" t="str">
        <f>VLOOKUP(Table146810[[#This Row],[Man. Number]],Articles!A:F,COLUMN(Articles!$C$1)-COLUMN(Articles!$A$1)+1,FALSE)</f>
        <v>D001-006</v>
      </c>
      <c r="D26" s="4" t="s">
        <v>155</v>
      </c>
      <c r="E26" s="4">
        <v>1</v>
      </c>
      <c r="F26" s="4">
        <f>VLOOKUP(Table146810[[#This Row],[Man. Number]],Articles!A:F,COLUMN(Articles!$F$1)-COLUMN(Articles!$A$1)+1,FALSE)</f>
        <v>3</v>
      </c>
      <c r="G26" s="32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2">
        <f>Table146810[[#This Row],[Quantity]]*$M$1</f>
        <v>1</v>
      </c>
      <c r="J26" s="32" t="str">
        <f>IF(Table146810[[#This Row],[In stock]] &gt;= Table146810[[#This Row],[Total quantity]],"YES","NO")</f>
        <v>YES</v>
      </c>
    </row>
    <row r="27" spans="1:10" x14ac:dyDescent="0.25">
      <c r="A27" s="32" t="s">
        <v>121</v>
      </c>
      <c r="G27" s="4"/>
      <c r="H27" s="4">
        <f>SUBTOTAL(109,Table146810[Unit Price])</f>
        <v>19.548999999999999</v>
      </c>
      <c r="I27" s="4"/>
      <c r="J27" s="4"/>
    </row>
  </sheetData>
  <sheetProtection sheet="1" objects="1" scenarios="1"/>
  <conditionalFormatting sqref="G1:H1048576 J1:J1048576">
    <cfRule type="containsText" dxfId="55" priority="7" operator="containsText" text="NO">
      <formula>NOT(ISERROR(SEARCH("NO",G1)))</formula>
    </cfRule>
  </conditionalFormatting>
  <conditionalFormatting sqref="A1:A1048576">
    <cfRule type="duplicateValues" dxfId="54" priority="5"/>
  </conditionalFormatting>
  <conditionalFormatting sqref="N1">
    <cfRule type="cellIs" dxfId="53" priority="2" stopIfTrue="1" operator="equal">
      <formula>"Locked"</formula>
    </cfRule>
    <cfRule type="cellIs" dxfId="52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222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121</v>
      </c>
      <c r="G3" s="4"/>
      <c r="H3" s="32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7"/>
  <sheetViews>
    <sheetView workbookViewId="0">
      <selection activeCell="C3" sqref="C3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1" spans="1:3" x14ac:dyDescent="0.25">
      <c r="A1" t="s">
        <v>297</v>
      </c>
    </row>
    <row r="3" spans="1:3" s="31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37">
        <v>100</v>
      </c>
      <c r="B7" t="s">
        <v>296</v>
      </c>
      <c r="C7" t="s">
        <v>297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M29"/>
  <sheetViews>
    <sheetView workbookViewId="0">
      <selection activeCell="S13" sqref="S13"/>
    </sheetView>
  </sheetViews>
  <sheetFormatPr defaultColWidth="9.140625" defaultRowHeight="15" x14ac:dyDescent="0.25"/>
  <cols>
    <col min="1" max="1" width="13.855468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7.5703125" bestFit="1" customWidth="1"/>
    <col min="9" max="9" width="8.85546875" bestFit="1" customWidth="1"/>
    <col min="10" max="10" width="9.5703125" bestFit="1" customWidth="1"/>
    <col min="11" max="11" width="10.85546875" bestFit="1" customWidth="1"/>
    <col min="12" max="13" width="11.7109375" bestFit="1" customWidth="1"/>
    <col min="20" max="20" width="15.42578125" bestFit="1" customWidth="1"/>
    <col min="21" max="21" width="8.7109375" bestFit="1" customWidth="1"/>
    <col min="22" max="22" width="11.7109375" bestFit="1" customWidth="1"/>
    <col min="23" max="23" width="13.28515625" bestFit="1" customWidth="1"/>
    <col min="24" max="24" width="13.140625" bestFit="1" customWidth="1"/>
    <col min="25" max="25" width="8" bestFit="1" customWidth="1"/>
    <col min="26" max="26" width="11.140625" bestFit="1" customWidth="1"/>
    <col min="27" max="27" width="9.5703125" bestFit="1" customWidth="1"/>
    <col min="28" max="28" width="7.5703125" bestFit="1" customWidth="1"/>
    <col min="29" max="29" width="11.7109375" bestFit="1" customWidth="1"/>
  </cols>
  <sheetData>
    <row r="2" spans="1:13" x14ac:dyDescent="0.25">
      <c r="A2" s="71" t="s">
        <v>98</v>
      </c>
      <c r="B2" s="71"/>
      <c r="C2" s="71"/>
      <c r="D2" s="71"/>
      <c r="F2" s="72" t="str">
        <f>IF(ISNUMBER(C5),"","Man. Number must be set")</f>
        <v/>
      </c>
      <c r="G2" s="72"/>
      <c r="H2" s="72"/>
      <c r="I2" s="72"/>
      <c r="J2" s="72"/>
      <c r="K2" s="72"/>
      <c r="L2" s="72"/>
      <c r="M2" s="72"/>
    </row>
    <row r="4" spans="1:13" x14ac:dyDescent="0.25">
      <c r="A4" s="46" t="s">
        <v>37</v>
      </c>
      <c r="B4" s="46" t="s">
        <v>63</v>
      </c>
      <c r="C4" s="46" t="s">
        <v>172</v>
      </c>
      <c r="D4" s="46" t="s">
        <v>6</v>
      </c>
      <c r="E4" s="46" t="s">
        <v>4</v>
      </c>
      <c r="F4" s="46" t="s">
        <v>2</v>
      </c>
      <c r="G4" s="46" t="s">
        <v>7</v>
      </c>
      <c r="H4" s="46" t="s">
        <v>96</v>
      </c>
      <c r="I4" s="46" t="s">
        <v>150</v>
      </c>
      <c r="J4" s="46" t="s">
        <v>119</v>
      </c>
      <c r="K4" s="46" t="s">
        <v>129</v>
      </c>
      <c r="L4" s="46" t="s">
        <v>62</v>
      </c>
    </row>
    <row r="5" spans="1:13" x14ac:dyDescent="0.25">
      <c r="A5" s="12">
        <v>6</v>
      </c>
      <c r="B5" s="12">
        <v>1</v>
      </c>
      <c r="C5" s="12">
        <v>9</v>
      </c>
      <c r="D5" s="12">
        <v>2</v>
      </c>
      <c r="E5" s="12">
        <v>11</v>
      </c>
      <c r="F5" s="12">
        <v>4</v>
      </c>
      <c r="G5" s="12">
        <v>10</v>
      </c>
      <c r="H5" s="12">
        <v>3</v>
      </c>
      <c r="I5" s="12">
        <v>5</v>
      </c>
      <c r="J5" s="12">
        <v>7</v>
      </c>
      <c r="K5" s="12">
        <v>8</v>
      </c>
      <c r="L5" s="12">
        <v>2</v>
      </c>
    </row>
    <row r="9" spans="1:13" x14ac:dyDescent="0.25">
      <c r="A9" s="71" t="s">
        <v>298</v>
      </c>
      <c r="B9" s="71"/>
      <c r="C9" s="71"/>
      <c r="D9" s="71"/>
    </row>
    <row r="11" spans="1:13" x14ac:dyDescent="0.25">
      <c r="A11" s="13" t="s">
        <v>95</v>
      </c>
    </row>
    <row r="12" spans="1:13" x14ac:dyDescent="0.25">
      <c r="A12" t="s">
        <v>37</v>
      </c>
      <c r="B12" t="s">
        <v>63</v>
      </c>
      <c r="C12" t="s">
        <v>0</v>
      </c>
      <c r="D12" t="s">
        <v>6</v>
      </c>
      <c r="E12" t="s">
        <v>4</v>
      </c>
      <c r="F12" t="s">
        <v>2</v>
      </c>
      <c r="G12" t="s">
        <v>7</v>
      </c>
      <c r="H12" s="45" t="s">
        <v>96</v>
      </c>
      <c r="I12" s="45" t="s">
        <v>150</v>
      </c>
      <c r="J12" s="45" t="s">
        <v>119</v>
      </c>
      <c r="K12" s="45" t="s">
        <v>129</v>
      </c>
      <c r="L12" t="s">
        <v>62</v>
      </c>
    </row>
    <row r="13" spans="1:13" x14ac:dyDescent="0.25">
      <c r="A13" s="7">
        <v>2</v>
      </c>
      <c r="B13" s="7">
        <v>4</v>
      </c>
      <c r="C13" s="7">
        <v>3</v>
      </c>
      <c r="D13" s="7" t="s">
        <v>61</v>
      </c>
      <c r="E13" s="7" t="s">
        <v>32</v>
      </c>
      <c r="F13" s="7">
        <v>5</v>
      </c>
      <c r="G13" s="7">
        <v>8</v>
      </c>
      <c r="H13" s="45" t="s">
        <v>2337</v>
      </c>
      <c r="I13" s="45" t="s">
        <v>2340</v>
      </c>
      <c r="J13" s="45" t="s">
        <v>2341</v>
      </c>
      <c r="K13" s="45" t="s">
        <v>2341</v>
      </c>
      <c r="L13" s="7">
        <v>2</v>
      </c>
    </row>
    <row r="14" spans="1:13" x14ac:dyDescent="0.25">
      <c r="L14" s="45"/>
    </row>
    <row r="15" spans="1:13" x14ac:dyDescent="0.25">
      <c r="A15" s="13" t="s">
        <v>116</v>
      </c>
    </row>
    <row r="16" spans="1:13" x14ac:dyDescent="0.25">
      <c r="A16" t="s">
        <v>37</v>
      </c>
      <c r="B16" t="s">
        <v>63</v>
      </c>
      <c r="C16" t="s">
        <v>0</v>
      </c>
      <c r="D16" t="s">
        <v>6</v>
      </c>
      <c r="E16" t="s">
        <v>4</v>
      </c>
      <c r="F16" t="s">
        <v>2</v>
      </c>
      <c r="G16" t="s">
        <v>7</v>
      </c>
      <c r="H16" s="45" t="s">
        <v>96</v>
      </c>
      <c r="I16" s="45" t="s">
        <v>150</v>
      </c>
      <c r="J16" s="45" t="s">
        <v>119</v>
      </c>
      <c r="K16" s="45" t="s">
        <v>129</v>
      </c>
      <c r="L16" t="s">
        <v>62</v>
      </c>
    </row>
    <row r="17" spans="1:12" x14ac:dyDescent="0.25">
      <c r="A17" s="18">
        <v>8</v>
      </c>
      <c r="B17" s="18">
        <v>3</v>
      </c>
      <c r="C17" s="18">
        <v>1</v>
      </c>
      <c r="D17" s="18">
        <v>2</v>
      </c>
      <c r="E17" s="18" t="s">
        <v>32</v>
      </c>
      <c r="F17" s="18">
        <v>13</v>
      </c>
      <c r="G17" s="18">
        <v>9</v>
      </c>
      <c r="H17" s="45" t="s">
        <v>2337</v>
      </c>
      <c r="I17" s="45" t="s">
        <v>2340</v>
      </c>
      <c r="J17" s="45" t="s">
        <v>2341</v>
      </c>
      <c r="K17" s="45" t="s">
        <v>2341</v>
      </c>
      <c r="L17" s="18">
        <v>2</v>
      </c>
    </row>
    <row r="18" spans="1:12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x14ac:dyDescent="0.25">
      <c r="A19" s="13" t="s">
        <v>174</v>
      </c>
    </row>
    <row r="20" spans="1:12" x14ac:dyDescent="0.25">
      <c r="A20" s="33" t="s">
        <v>37</v>
      </c>
      <c r="B20" s="33" t="s">
        <v>63</v>
      </c>
      <c r="C20" s="33" t="s">
        <v>0</v>
      </c>
      <c r="D20" s="33" t="s">
        <v>6</v>
      </c>
      <c r="E20" s="33" t="s">
        <v>4</v>
      </c>
      <c r="F20" s="33" t="s">
        <v>2</v>
      </c>
      <c r="G20" s="33" t="s">
        <v>7</v>
      </c>
      <c r="H20" s="45" t="s">
        <v>96</v>
      </c>
      <c r="I20" s="45" t="s">
        <v>150</v>
      </c>
      <c r="J20" s="45" t="s">
        <v>119</v>
      </c>
      <c r="K20" s="45" t="s">
        <v>129</v>
      </c>
      <c r="L20" s="33" t="s">
        <v>62</v>
      </c>
    </row>
    <row r="21" spans="1:12" x14ac:dyDescent="0.25">
      <c r="A21" s="33" t="s">
        <v>173</v>
      </c>
      <c r="B21" s="33">
        <v>4</v>
      </c>
      <c r="C21" s="33">
        <v>3</v>
      </c>
      <c r="D21" s="33">
        <v>5</v>
      </c>
      <c r="E21" s="33" t="s">
        <v>32</v>
      </c>
      <c r="F21" s="33">
        <v>6</v>
      </c>
      <c r="G21" s="33">
        <v>9</v>
      </c>
      <c r="H21" s="45" t="s">
        <v>2337</v>
      </c>
      <c r="I21" s="45" t="s">
        <v>2340</v>
      </c>
      <c r="J21" s="45" t="s">
        <v>2341</v>
      </c>
      <c r="K21" s="45" t="s">
        <v>2341</v>
      </c>
      <c r="L21" s="33">
        <v>2</v>
      </c>
    </row>
    <row r="22" spans="1:12" x14ac:dyDescent="0.25">
      <c r="L22" s="45"/>
    </row>
    <row r="23" spans="1:12" x14ac:dyDescent="0.25">
      <c r="A23" s="13" t="s">
        <v>265</v>
      </c>
    </row>
    <row r="24" spans="1:12" x14ac:dyDescent="0.25">
      <c r="A24" s="42" t="s">
        <v>37</v>
      </c>
      <c r="B24" s="42" t="s">
        <v>63</v>
      </c>
      <c r="C24" s="42" t="s">
        <v>0</v>
      </c>
      <c r="D24" s="42" t="s">
        <v>6</v>
      </c>
      <c r="E24" s="42" t="s">
        <v>4</v>
      </c>
      <c r="F24" s="42" t="s">
        <v>2</v>
      </c>
      <c r="G24" s="42" t="s">
        <v>7</v>
      </c>
      <c r="H24" s="45" t="s">
        <v>96</v>
      </c>
      <c r="I24" s="45" t="s">
        <v>150</v>
      </c>
      <c r="J24" s="45" t="s">
        <v>119</v>
      </c>
      <c r="K24" s="45" t="s">
        <v>129</v>
      </c>
      <c r="L24" s="42" t="s">
        <v>62</v>
      </c>
    </row>
    <row r="25" spans="1:12" x14ac:dyDescent="0.25">
      <c r="A25" s="42" t="s">
        <v>173</v>
      </c>
      <c r="B25" s="42">
        <v>4</v>
      </c>
      <c r="C25" s="42">
        <v>3</v>
      </c>
      <c r="D25" s="42">
        <v>5</v>
      </c>
      <c r="E25" s="42" t="s">
        <v>32</v>
      </c>
      <c r="F25" s="42">
        <v>6</v>
      </c>
      <c r="G25" s="42">
        <v>9</v>
      </c>
      <c r="H25" s="45" t="s">
        <v>2337</v>
      </c>
      <c r="I25" s="45" t="s">
        <v>2340</v>
      </c>
      <c r="J25" s="45" t="s">
        <v>2341</v>
      </c>
      <c r="K25" s="45" t="s">
        <v>2341</v>
      </c>
      <c r="L25" s="42">
        <v>2</v>
      </c>
    </row>
    <row r="26" spans="1:12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</row>
    <row r="27" spans="1:12" x14ac:dyDescent="0.25">
      <c r="A27" s="13" t="s">
        <v>2336</v>
      </c>
    </row>
    <row r="28" spans="1:12" x14ac:dyDescent="0.25">
      <c r="A28" s="45" t="s">
        <v>37</v>
      </c>
      <c r="B28" s="45" t="s">
        <v>63</v>
      </c>
      <c r="C28" s="45" t="s">
        <v>0</v>
      </c>
      <c r="D28" s="45" t="s">
        <v>6</v>
      </c>
      <c r="E28" s="45" t="s">
        <v>4</v>
      </c>
      <c r="F28" s="45" t="s">
        <v>2</v>
      </c>
      <c r="G28" s="45" t="s">
        <v>7</v>
      </c>
      <c r="H28" s="45" t="s">
        <v>96</v>
      </c>
      <c r="I28" s="45" t="s">
        <v>150</v>
      </c>
      <c r="J28" s="45" t="s">
        <v>119</v>
      </c>
      <c r="K28" s="45" t="s">
        <v>129</v>
      </c>
      <c r="L28" s="45" t="s">
        <v>62</v>
      </c>
    </row>
    <row r="29" spans="1:12" x14ac:dyDescent="0.25">
      <c r="A29" s="45">
        <v>6</v>
      </c>
      <c r="B29" s="45">
        <v>1</v>
      </c>
      <c r="C29" s="45">
        <v>9</v>
      </c>
      <c r="D29" s="45">
        <v>2</v>
      </c>
      <c r="E29" s="45">
        <v>11</v>
      </c>
      <c r="F29" s="45">
        <v>4</v>
      </c>
      <c r="G29" s="45">
        <v>10</v>
      </c>
      <c r="H29" s="45">
        <v>3</v>
      </c>
      <c r="I29" s="45">
        <v>5</v>
      </c>
      <c r="J29" s="45">
        <v>7</v>
      </c>
      <c r="K29" s="45">
        <v>8</v>
      </c>
      <c r="L29" s="45">
        <v>2</v>
      </c>
    </row>
  </sheetData>
  <mergeCells count="3">
    <mergeCell ref="A2:D2"/>
    <mergeCell ref="F2:M2"/>
    <mergeCell ref="A9:D9"/>
  </mergeCells>
  <conditionalFormatting sqref="F2:M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S402"/>
  <sheetViews>
    <sheetView workbookViewId="0"/>
  </sheetViews>
  <sheetFormatPr defaultColWidth="20.7109375" defaultRowHeight="15" x14ac:dyDescent="0.25"/>
  <cols>
    <col min="2" max="4" width="20.7109375" style="14"/>
    <col min="5" max="5" width="35.42578125" style="14" bestFit="1" customWidth="1"/>
    <col min="6" max="12" width="20.7109375" style="14"/>
    <col min="14" max="16384" width="20.7109375" style="14"/>
  </cols>
  <sheetData>
    <row r="1" spans="1:45" x14ac:dyDescent="0.25">
      <c r="A1" t="s">
        <v>1</v>
      </c>
      <c r="B1" s="14" t="s">
        <v>6</v>
      </c>
      <c r="C1" s="14" t="s">
        <v>96</v>
      </c>
      <c r="D1" s="14" t="s">
        <v>2</v>
      </c>
      <c r="E1" s="14" t="s">
        <v>150</v>
      </c>
      <c r="F1" s="14" t="s">
        <v>3</v>
      </c>
      <c r="G1" s="14" t="s">
        <v>108</v>
      </c>
      <c r="H1" s="14" t="s">
        <v>129</v>
      </c>
      <c r="I1" s="14" t="s">
        <v>127</v>
      </c>
      <c r="J1" s="14" t="s">
        <v>128</v>
      </c>
      <c r="K1" s="14" t="s">
        <v>271</v>
      </c>
      <c r="L1" s="14" t="s">
        <v>32</v>
      </c>
      <c r="M1" t="s">
        <v>142</v>
      </c>
      <c r="N1" s="14" t="s">
        <v>272</v>
      </c>
      <c r="O1" s="14" t="s">
        <v>5</v>
      </c>
      <c r="P1" s="14" t="s">
        <v>143</v>
      </c>
      <c r="Q1" s="14" t="s">
        <v>273</v>
      </c>
      <c r="R1" s="14" t="s">
        <v>138</v>
      </c>
      <c r="S1" s="14" t="s">
        <v>144</v>
      </c>
      <c r="T1" s="14" t="s">
        <v>274</v>
      </c>
      <c r="U1" s="14" t="s">
        <v>137</v>
      </c>
      <c r="V1" s="14" t="s">
        <v>145</v>
      </c>
      <c r="W1" s="14" t="s">
        <v>275</v>
      </c>
      <c r="X1" s="14" t="s">
        <v>139</v>
      </c>
      <c r="Y1" s="14" t="s">
        <v>146</v>
      </c>
      <c r="Z1" s="14" t="s">
        <v>276</v>
      </c>
      <c r="AA1" s="14" t="s">
        <v>266</v>
      </c>
      <c r="AB1" s="14" t="s">
        <v>277</v>
      </c>
      <c r="AC1" s="14" t="s">
        <v>278</v>
      </c>
      <c r="AD1" s="14" t="s">
        <v>279</v>
      </c>
      <c r="AE1" s="14" t="s">
        <v>283</v>
      </c>
      <c r="AF1" s="14" t="s">
        <v>280</v>
      </c>
      <c r="AG1" s="14" t="s">
        <v>140</v>
      </c>
      <c r="AH1" s="14" t="s">
        <v>147</v>
      </c>
      <c r="AI1" s="14" t="s">
        <v>299</v>
      </c>
      <c r="AJ1" s="14" t="s">
        <v>33</v>
      </c>
      <c r="AK1" s="14" t="s">
        <v>148</v>
      </c>
      <c r="AL1" s="14" t="s">
        <v>281</v>
      </c>
      <c r="AM1" s="14" t="s">
        <v>203</v>
      </c>
      <c r="AN1" s="14" t="s">
        <v>141</v>
      </c>
      <c r="AO1" s="14" t="s">
        <v>149</v>
      </c>
      <c r="AP1" s="14" t="s">
        <v>282</v>
      </c>
      <c r="AQ1" s="14" t="s">
        <v>118</v>
      </c>
      <c r="AR1" s="14" t="s">
        <v>267</v>
      </c>
      <c r="AS1" s="14" t="s">
        <v>268</v>
      </c>
    </row>
    <row r="2" spans="1:45" x14ac:dyDescent="0.25">
      <c r="A2">
        <v>32673925190</v>
      </c>
      <c r="B2" s="14" t="s">
        <v>308</v>
      </c>
      <c r="C2" s="14" t="s">
        <v>97</v>
      </c>
      <c r="D2" s="14" t="s">
        <v>309</v>
      </c>
      <c r="E2" s="14" t="s">
        <v>310</v>
      </c>
      <c r="F2" s="14">
        <v>1</v>
      </c>
      <c r="I2" s="14">
        <v>32673925190</v>
      </c>
      <c r="J2" s="14">
        <v>1</v>
      </c>
      <c r="K2" s="14" t="s">
        <v>140</v>
      </c>
      <c r="AG2" s="14">
        <v>32673925190</v>
      </c>
      <c r="AH2" s="14">
        <v>1</v>
      </c>
      <c r="AI2" s="14" t="s">
        <v>311</v>
      </c>
    </row>
    <row r="3" spans="1:45" x14ac:dyDescent="0.25">
      <c r="A3" t="s">
        <v>312</v>
      </c>
      <c r="B3" s="14" t="s">
        <v>313</v>
      </c>
      <c r="C3" s="14" t="s">
        <v>97</v>
      </c>
      <c r="D3" s="14" t="s">
        <v>314</v>
      </c>
      <c r="E3" s="14" t="s">
        <v>310</v>
      </c>
      <c r="F3" s="14">
        <v>0</v>
      </c>
      <c r="I3" s="14" t="s">
        <v>315</v>
      </c>
      <c r="J3" s="14">
        <v>9.31</v>
      </c>
      <c r="K3" s="14" t="s">
        <v>32</v>
      </c>
      <c r="L3" s="14" t="s">
        <v>315</v>
      </c>
      <c r="M3">
        <v>9.31</v>
      </c>
      <c r="N3" s="14" t="s">
        <v>316</v>
      </c>
      <c r="X3" s="14" t="s">
        <v>317</v>
      </c>
      <c r="Y3" s="14">
        <v>10.27</v>
      </c>
      <c r="Z3" s="14" t="s">
        <v>318</v>
      </c>
    </row>
    <row r="4" spans="1:45" x14ac:dyDescent="0.25">
      <c r="A4">
        <v>31.8201</v>
      </c>
      <c r="B4" s="14" t="s">
        <v>2252</v>
      </c>
      <c r="C4" s="14" t="s">
        <v>2253</v>
      </c>
      <c r="D4" s="14" t="s">
        <v>2254</v>
      </c>
      <c r="E4" s="14" t="s">
        <v>310</v>
      </c>
      <c r="F4" s="14">
        <v>4</v>
      </c>
      <c r="I4" s="14" t="s">
        <v>2255</v>
      </c>
      <c r="J4" s="14">
        <v>0.91</v>
      </c>
      <c r="K4" s="14" t="s">
        <v>32</v>
      </c>
      <c r="L4" s="14" t="s">
        <v>2255</v>
      </c>
      <c r="M4">
        <v>0.91</v>
      </c>
      <c r="N4" s="14" t="s">
        <v>2256</v>
      </c>
      <c r="O4" s="14">
        <v>1162740</v>
      </c>
      <c r="P4" s="14">
        <v>0.505</v>
      </c>
      <c r="Q4" s="14" t="s">
        <v>2257</v>
      </c>
      <c r="AK4" s="14">
        <v>0.505</v>
      </c>
    </row>
    <row r="5" spans="1:45" x14ac:dyDescent="0.25">
      <c r="A5">
        <v>853.12009999999998</v>
      </c>
      <c r="B5" s="14" t="s">
        <v>2252</v>
      </c>
      <c r="C5" s="14" t="s">
        <v>2253</v>
      </c>
      <c r="D5" s="14" t="s">
        <v>2258</v>
      </c>
      <c r="E5" s="14" t="s">
        <v>310</v>
      </c>
      <c r="F5" s="14">
        <v>4</v>
      </c>
      <c r="I5" s="14" t="s">
        <v>2259</v>
      </c>
      <c r="J5" s="14">
        <v>1.27</v>
      </c>
      <c r="K5" s="14" t="s">
        <v>32</v>
      </c>
      <c r="L5" s="14" t="s">
        <v>2259</v>
      </c>
      <c r="M5">
        <v>1.27</v>
      </c>
      <c r="N5" s="14" t="s">
        <v>2260</v>
      </c>
      <c r="O5" s="14">
        <v>1829519</v>
      </c>
      <c r="P5" s="14">
        <v>0.78900000000000003</v>
      </c>
      <c r="Q5" s="14" t="s">
        <v>2261</v>
      </c>
      <c r="AK5" s="14">
        <v>0.78900000000000003</v>
      </c>
    </row>
    <row r="6" spans="1:45" x14ac:dyDescent="0.25">
      <c r="A6" t="s">
        <v>12</v>
      </c>
      <c r="B6" s="14" t="s">
        <v>319</v>
      </c>
      <c r="C6" s="14" t="s">
        <v>320</v>
      </c>
      <c r="D6" s="14" t="s">
        <v>321</v>
      </c>
      <c r="E6" s="14" t="s">
        <v>322</v>
      </c>
      <c r="F6" s="14">
        <v>19</v>
      </c>
      <c r="I6" s="14">
        <v>8540829</v>
      </c>
      <c r="J6" s="14">
        <v>0.246</v>
      </c>
      <c r="K6" s="14" t="s">
        <v>5</v>
      </c>
      <c r="O6" s="14">
        <v>8540829</v>
      </c>
      <c r="P6" s="14">
        <v>0.246</v>
      </c>
      <c r="Q6" s="14" t="s">
        <v>323</v>
      </c>
      <c r="AK6" s="14">
        <v>0.246</v>
      </c>
    </row>
    <row r="7" spans="1:45" x14ac:dyDescent="0.25">
      <c r="A7" t="s">
        <v>324</v>
      </c>
      <c r="B7" s="14" t="s">
        <v>319</v>
      </c>
      <c r="C7" s="14" t="s">
        <v>325</v>
      </c>
      <c r="D7" s="14" t="s">
        <v>326</v>
      </c>
      <c r="E7" s="14" t="s">
        <v>322</v>
      </c>
      <c r="F7" s="14">
        <v>10</v>
      </c>
      <c r="I7" s="14">
        <v>8540853</v>
      </c>
      <c r="J7" s="14">
        <v>0.34</v>
      </c>
      <c r="K7" s="14" t="s">
        <v>5</v>
      </c>
      <c r="O7" s="14">
        <v>8540853</v>
      </c>
      <c r="P7" s="14">
        <v>0.34</v>
      </c>
      <c r="Q7" s="14" t="s">
        <v>327</v>
      </c>
      <c r="AK7" s="14">
        <v>0.34</v>
      </c>
    </row>
    <row r="8" spans="1:45" x14ac:dyDescent="0.25">
      <c r="A8" t="s">
        <v>332</v>
      </c>
      <c r="B8" s="14" t="s">
        <v>319</v>
      </c>
      <c r="C8" s="14" t="s">
        <v>333</v>
      </c>
      <c r="D8" s="14" t="s">
        <v>334</v>
      </c>
      <c r="E8" s="14" t="s">
        <v>322</v>
      </c>
      <c r="F8" s="14">
        <v>10</v>
      </c>
      <c r="I8" s="14">
        <v>8540861</v>
      </c>
      <c r="J8" s="14">
        <v>0.44600000000000001</v>
      </c>
      <c r="K8" s="14" t="s">
        <v>5</v>
      </c>
      <c r="O8" s="14">
        <v>8540861</v>
      </c>
      <c r="P8" s="14">
        <v>0.44600000000000001</v>
      </c>
      <c r="Q8" s="14" t="s">
        <v>335</v>
      </c>
      <c r="AK8" s="14">
        <v>0.44600000000000001</v>
      </c>
    </row>
    <row r="9" spans="1:45" x14ac:dyDescent="0.25">
      <c r="A9" t="s">
        <v>890</v>
      </c>
      <c r="B9" s="14" t="s">
        <v>319</v>
      </c>
      <c r="C9" s="14" t="s">
        <v>891</v>
      </c>
      <c r="D9" s="14" t="s">
        <v>334</v>
      </c>
      <c r="E9" s="14" t="s">
        <v>322</v>
      </c>
      <c r="F9" s="14">
        <v>5</v>
      </c>
      <c r="I9" s="14">
        <v>1605571</v>
      </c>
      <c r="J9" s="14">
        <v>0.44600000000000001</v>
      </c>
      <c r="K9" s="14" t="s">
        <v>5</v>
      </c>
      <c r="O9" s="14">
        <v>1605571</v>
      </c>
      <c r="P9" s="14">
        <v>0.44600000000000001</v>
      </c>
      <c r="Q9" s="14" t="s">
        <v>892</v>
      </c>
      <c r="AK9" s="14">
        <v>0.44600000000000001</v>
      </c>
    </row>
    <row r="10" spans="1:45" x14ac:dyDescent="0.25">
      <c r="A10" t="s">
        <v>336</v>
      </c>
      <c r="B10" s="14" t="s">
        <v>337</v>
      </c>
      <c r="C10" s="14" t="s">
        <v>97</v>
      </c>
      <c r="D10" s="14" t="s">
        <v>2439</v>
      </c>
      <c r="E10" s="14" t="s">
        <v>339</v>
      </c>
      <c r="F10" s="14">
        <v>1</v>
      </c>
      <c r="I10" s="14" t="s">
        <v>340</v>
      </c>
      <c r="J10" s="14">
        <v>2.13</v>
      </c>
      <c r="K10" s="14" t="s">
        <v>32</v>
      </c>
      <c r="L10" s="14" t="s">
        <v>340</v>
      </c>
      <c r="M10">
        <v>2.13</v>
      </c>
      <c r="N10" s="14" t="s">
        <v>341</v>
      </c>
    </row>
    <row r="11" spans="1:45" x14ac:dyDescent="0.25">
      <c r="A11">
        <v>90990</v>
      </c>
      <c r="B11" s="14" t="s">
        <v>29</v>
      </c>
      <c r="C11" s="14" t="s">
        <v>328</v>
      </c>
      <c r="D11" s="14" t="s">
        <v>329</v>
      </c>
      <c r="E11" s="14" t="s">
        <v>330</v>
      </c>
      <c r="F11" s="14">
        <v>0</v>
      </c>
      <c r="I11" s="14">
        <v>90990</v>
      </c>
      <c r="J11" s="14">
        <v>13.1</v>
      </c>
      <c r="K11" s="14" t="s">
        <v>33</v>
      </c>
      <c r="AJ11" s="14">
        <v>90990</v>
      </c>
      <c r="AK11" s="14">
        <v>13.1</v>
      </c>
      <c r="AL11" s="14" t="s">
        <v>331</v>
      </c>
    </row>
    <row r="12" spans="1:45" x14ac:dyDescent="0.25">
      <c r="A12" t="s">
        <v>478</v>
      </c>
      <c r="B12" s="14" t="s">
        <v>479</v>
      </c>
      <c r="C12" s="14" t="s">
        <v>480</v>
      </c>
      <c r="D12" s="14" t="s">
        <v>481</v>
      </c>
      <c r="E12" s="14" t="s">
        <v>482</v>
      </c>
      <c r="F12" s="14">
        <v>4</v>
      </c>
      <c r="I12" s="14" t="s">
        <v>483</v>
      </c>
      <c r="J12" s="14">
        <v>1.21</v>
      </c>
      <c r="K12" s="14" t="s">
        <v>32</v>
      </c>
      <c r="L12" s="14" t="s">
        <v>483</v>
      </c>
      <c r="M12">
        <v>1.21</v>
      </c>
      <c r="N12" s="14" t="s">
        <v>484</v>
      </c>
    </row>
    <row r="13" spans="1:45" x14ac:dyDescent="0.25">
      <c r="A13">
        <v>54</v>
      </c>
      <c r="B13" s="14" t="s">
        <v>449</v>
      </c>
      <c r="C13" s="14" t="s">
        <v>1057</v>
      </c>
      <c r="D13" s="14" t="s">
        <v>1058</v>
      </c>
      <c r="E13" s="14" t="s">
        <v>482</v>
      </c>
      <c r="F13" s="14">
        <v>6</v>
      </c>
      <c r="G13" s="14">
        <v>4</v>
      </c>
      <c r="H13" s="14">
        <v>1</v>
      </c>
      <c r="I13" s="14" t="s">
        <v>1059</v>
      </c>
      <c r="J13" s="14">
        <v>0.56000000000000005</v>
      </c>
      <c r="K13" s="14" t="s">
        <v>32</v>
      </c>
      <c r="L13" s="14" t="s">
        <v>1059</v>
      </c>
      <c r="M13">
        <v>0.56000000000000005</v>
      </c>
      <c r="N13" s="14" t="s">
        <v>1060</v>
      </c>
      <c r="X13" s="14" t="s">
        <v>1061</v>
      </c>
      <c r="Y13" s="14">
        <v>0.58899999999999997</v>
      </c>
      <c r="Z13" s="14" t="s">
        <v>1062</v>
      </c>
    </row>
    <row r="14" spans="1:45" x14ac:dyDescent="0.25">
      <c r="A14" t="s">
        <v>42</v>
      </c>
      <c r="B14" s="14" t="s">
        <v>358</v>
      </c>
      <c r="C14" s="14" t="s">
        <v>97</v>
      </c>
      <c r="D14" s="14" t="s">
        <v>2440</v>
      </c>
      <c r="E14" s="14" t="s">
        <v>359</v>
      </c>
      <c r="F14" s="14">
        <v>0</v>
      </c>
      <c r="I14" s="14" t="s">
        <v>360</v>
      </c>
      <c r="J14" s="14">
        <v>15.9</v>
      </c>
      <c r="K14" s="14" t="s">
        <v>32</v>
      </c>
      <c r="L14" s="14" t="s">
        <v>360</v>
      </c>
      <c r="M14">
        <v>15.9</v>
      </c>
      <c r="N14" s="14" t="s">
        <v>361</v>
      </c>
    </row>
    <row r="15" spans="1:45" x14ac:dyDescent="0.25">
      <c r="A15" t="s">
        <v>362</v>
      </c>
      <c r="B15" s="14" t="s">
        <v>363</v>
      </c>
      <c r="C15" s="14" t="s">
        <v>97</v>
      </c>
      <c r="D15" s="14" t="s">
        <v>2441</v>
      </c>
      <c r="E15" s="14" t="s">
        <v>359</v>
      </c>
      <c r="F15" s="14">
        <v>0</v>
      </c>
      <c r="I15" s="14" t="s">
        <v>364</v>
      </c>
      <c r="J15" s="14">
        <v>15.8</v>
      </c>
      <c r="K15" s="14" t="s">
        <v>32</v>
      </c>
      <c r="L15" s="14" t="s">
        <v>364</v>
      </c>
      <c r="M15">
        <v>15.8</v>
      </c>
      <c r="N15" s="14" t="s">
        <v>365</v>
      </c>
    </row>
    <row r="16" spans="1:45" x14ac:dyDescent="0.25">
      <c r="A16" t="s">
        <v>366</v>
      </c>
      <c r="B16" s="14" t="s">
        <v>367</v>
      </c>
      <c r="C16" s="14" t="s">
        <v>97</v>
      </c>
      <c r="D16" s="14" t="s">
        <v>2442</v>
      </c>
      <c r="E16" s="14" t="s">
        <v>359</v>
      </c>
      <c r="F16" s="14">
        <v>0</v>
      </c>
      <c r="I16" s="14" t="s">
        <v>368</v>
      </c>
      <c r="J16" s="14">
        <v>9.6999999999999993</v>
      </c>
      <c r="K16" s="14" t="s">
        <v>32</v>
      </c>
      <c r="L16" s="14" t="s">
        <v>368</v>
      </c>
      <c r="M16">
        <v>9.6999999999999993</v>
      </c>
      <c r="N16" s="14" t="s">
        <v>369</v>
      </c>
    </row>
    <row r="17" spans="1:37" x14ac:dyDescent="0.25">
      <c r="A17" t="s">
        <v>370</v>
      </c>
      <c r="B17" s="14" t="s">
        <v>371</v>
      </c>
      <c r="C17" s="14" t="s">
        <v>97</v>
      </c>
      <c r="D17" s="14" t="s">
        <v>372</v>
      </c>
      <c r="E17" s="14" t="s">
        <v>359</v>
      </c>
      <c r="F17" s="14">
        <v>0</v>
      </c>
      <c r="I17" s="14" t="s">
        <v>373</v>
      </c>
      <c r="J17" s="14">
        <v>7.86</v>
      </c>
      <c r="K17" s="14" t="s">
        <v>138</v>
      </c>
      <c r="R17" s="14" t="s">
        <v>373</v>
      </c>
      <c r="S17" s="14">
        <v>7.86</v>
      </c>
      <c r="T17" s="14" t="s">
        <v>374</v>
      </c>
    </row>
    <row r="18" spans="1:37" x14ac:dyDescent="0.25">
      <c r="A18" t="s">
        <v>132</v>
      </c>
      <c r="B18" s="14" t="s">
        <v>375</v>
      </c>
      <c r="C18" s="14" t="s">
        <v>376</v>
      </c>
      <c r="D18" s="14" t="s">
        <v>377</v>
      </c>
      <c r="E18" s="14" t="s">
        <v>378</v>
      </c>
      <c r="F18" s="14">
        <v>1</v>
      </c>
      <c r="I18" s="14" t="s">
        <v>379</v>
      </c>
      <c r="J18" s="14">
        <v>2</v>
      </c>
      <c r="K18" s="14" t="s">
        <v>32</v>
      </c>
      <c r="L18" s="14" t="s">
        <v>379</v>
      </c>
      <c r="M18">
        <v>2</v>
      </c>
      <c r="N18" s="14" t="s">
        <v>380</v>
      </c>
    </row>
    <row r="19" spans="1:37" x14ac:dyDescent="0.25">
      <c r="A19" t="s">
        <v>30</v>
      </c>
      <c r="B19" s="14" t="s">
        <v>381</v>
      </c>
      <c r="C19" s="14" t="s">
        <v>97</v>
      </c>
      <c r="D19" s="14" t="s">
        <v>382</v>
      </c>
      <c r="E19" s="14" t="s">
        <v>383</v>
      </c>
      <c r="F19" s="14">
        <v>1</v>
      </c>
      <c r="I19" s="14" t="s">
        <v>384</v>
      </c>
      <c r="J19" s="14">
        <v>2.98</v>
      </c>
      <c r="K19" s="14" t="s">
        <v>32</v>
      </c>
      <c r="L19" s="14" t="s">
        <v>384</v>
      </c>
      <c r="M19">
        <v>2.98</v>
      </c>
      <c r="N19" s="14" t="s">
        <v>385</v>
      </c>
    </row>
    <row r="20" spans="1:37" x14ac:dyDescent="0.25">
      <c r="A20" t="s">
        <v>386</v>
      </c>
      <c r="B20" s="14" t="s">
        <v>387</v>
      </c>
      <c r="C20" s="14" t="s">
        <v>97</v>
      </c>
      <c r="D20" s="14" t="s">
        <v>388</v>
      </c>
      <c r="E20" s="14" t="s">
        <v>389</v>
      </c>
      <c r="F20" s="14">
        <v>1</v>
      </c>
      <c r="G20" s="14">
        <v>1</v>
      </c>
      <c r="H20" s="14">
        <v>1</v>
      </c>
      <c r="I20" s="14" t="s">
        <v>390</v>
      </c>
      <c r="J20" s="14">
        <v>28.01</v>
      </c>
      <c r="K20" s="14" t="s">
        <v>138</v>
      </c>
      <c r="R20" s="14" t="s">
        <v>390</v>
      </c>
      <c r="S20" s="14">
        <v>28.01</v>
      </c>
      <c r="T20" s="14" t="s">
        <v>391</v>
      </c>
    </row>
    <row r="21" spans="1:37" x14ac:dyDescent="0.25">
      <c r="A21" t="s">
        <v>392</v>
      </c>
      <c r="B21" s="14" t="s">
        <v>387</v>
      </c>
      <c r="C21" s="14" t="s">
        <v>97</v>
      </c>
      <c r="D21" s="14" t="s">
        <v>393</v>
      </c>
      <c r="E21" s="14" t="s">
        <v>389</v>
      </c>
      <c r="F21" s="14">
        <v>1</v>
      </c>
      <c r="G21" s="14">
        <v>1</v>
      </c>
      <c r="H21" s="14">
        <v>1</v>
      </c>
      <c r="I21" s="14" t="s">
        <v>394</v>
      </c>
      <c r="J21" s="14">
        <v>27.02</v>
      </c>
      <c r="K21" s="14" t="s">
        <v>138</v>
      </c>
      <c r="R21" s="14" t="s">
        <v>394</v>
      </c>
      <c r="S21" s="14">
        <v>27.02</v>
      </c>
      <c r="T21" s="14" t="s">
        <v>395</v>
      </c>
    </row>
    <row r="22" spans="1:37" x14ac:dyDescent="0.25">
      <c r="A22" t="s">
        <v>9</v>
      </c>
      <c r="B22" s="14" t="s">
        <v>300</v>
      </c>
      <c r="C22" s="14" t="s">
        <v>301</v>
      </c>
      <c r="D22" s="14" t="s">
        <v>302</v>
      </c>
      <c r="E22" s="14" t="s">
        <v>303</v>
      </c>
      <c r="F22" s="14">
        <v>48</v>
      </c>
      <c r="I22" s="14">
        <v>9451234</v>
      </c>
      <c r="J22" s="14">
        <v>5.0900000000000001E-2</v>
      </c>
      <c r="K22" s="14" t="s">
        <v>5</v>
      </c>
      <c r="O22" s="14">
        <v>9451234</v>
      </c>
      <c r="P22" s="14">
        <v>5.0900000000000001E-2</v>
      </c>
      <c r="Q22" s="14" t="s">
        <v>304</v>
      </c>
      <c r="AK22" s="14">
        <v>5.0900000000000001E-2</v>
      </c>
    </row>
    <row r="23" spans="1:37" x14ac:dyDescent="0.25">
      <c r="A23" t="s">
        <v>10</v>
      </c>
      <c r="B23" s="14" t="s">
        <v>300</v>
      </c>
      <c r="C23" s="14" t="s">
        <v>305</v>
      </c>
      <c r="D23" s="14" t="s">
        <v>306</v>
      </c>
      <c r="E23" s="14" t="s">
        <v>303</v>
      </c>
      <c r="F23" s="14">
        <v>48</v>
      </c>
      <c r="I23" s="14">
        <v>9451242</v>
      </c>
      <c r="J23" s="14">
        <v>5.1700000000000003E-2</v>
      </c>
      <c r="K23" s="14" t="s">
        <v>5</v>
      </c>
      <c r="O23" s="14">
        <v>9451242</v>
      </c>
      <c r="P23" s="14">
        <v>5.1700000000000003E-2</v>
      </c>
      <c r="Q23" s="14" t="s">
        <v>307</v>
      </c>
      <c r="AK23" s="14">
        <v>5.1700000000000003E-2</v>
      </c>
    </row>
    <row r="24" spans="1:37" x14ac:dyDescent="0.25">
      <c r="A24">
        <v>860021374008</v>
      </c>
      <c r="B24" s="14" t="s">
        <v>396</v>
      </c>
      <c r="C24" s="14" t="s">
        <v>97</v>
      </c>
      <c r="D24" s="14" t="s">
        <v>397</v>
      </c>
      <c r="E24" s="14" t="s">
        <v>303</v>
      </c>
      <c r="F24" s="14">
        <v>4</v>
      </c>
      <c r="I24" s="14" t="s">
        <v>398</v>
      </c>
      <c r="J24" s="14">
        <v>0.43</v>
      </c>
      <c r="K24" s="14" t="s">
        <v>32</v>
      </c>
      <c r="L24" s="14" t="s">
        <v>398</v>
      </c>
      <c r="M24">
        <v>0.43</v>
      </c>
      <c r="N24" s="14" t="s">
        <v>399</v>
      </c>
    </row>
    <row r="25" spans="1:37" x14ac:dyDescent="0.25">
      <c r="A25">
        <v>885012107010</v>
      </c>
      <c r="B25" s="14" t="s">
        <v>396</v>
      </c>
      <c r="C25" s="14" t="s">
        <v>400</v>
      </c>
      <c r="D25" s="14" t="s">
        <v>401</v>
      </c>
      <c r="E25" s="14" t="s">
        <v>303</v>
      </c>
      <c r="F25" s="14">
        <v>6</v>
      </c>
      <c r="I25" s="14" t="s">
        <v>402</v>
      </c>
      <c r="J25" s="14">
        <v>0.18</v>
      </c>
      <c r="K25" s="14" t="s">
        <v>32</v>
      </c>
      <c r="L25" s="14" t="s">
        <v>402</v>
      </c>
      <c r="M25">
        <v>0.18</v>
      </c>
      <c r="N25" s="14" t="s">
        <v>403</v>
      </c>
    </row>
    <row r="26" spans="1:37" x14ac:dyDescent="0.25">
      <c r="A26">
        <v>885012107018</v>
      </c>
      <c r="B26" s="14" t="s">
        <v>396</v>
      </c>
      <c r="C26" s="14" t="s">
        <v>404</v>
      </c>
      <c r="D26" s="14" t="s">
        <v>405</v>
      </c>
      <c r="E26" s="14" t="s">
        <v>303</v>
      </c>
      <c r="F26" s="14">
        <v>7</v>
      </c>
      <c r="I26" s="14" t="s">
        <v>406</v>
      </c>
      <c r="J26" s="14">
        <v>0.151</v>
      </c>
      <c r="K26" s="14" t="s">
        <v>32</v>
      </c>
      <c r="L26" s="14" t="s">
        <v>406</v>
      </c>
      <c r="M26">
        <v>0.151</v>
      </c>
      <c r="N26" s="14" t="s">
        <v>407</v>
      </c>
      <c r="X26" s="14" t="s">
        <v>408</v>
      </c>
      <c r="Y26" s="14">
        <v>0.16600000000000001</v>
      </c>
      <c r="Z26" s="14" t="s">
        <v>409</v>
      </c>
    </row>
    <row r="27" spans="1:37" x14ac:dyDescent="0.25">
      <c r="A27">
        <v>885012207064</v>
      </c>
      <c r="B27" s="14" t="s">
        <v>396</v>
      </c>
      <c r="C27" s="14" t="s">
        <v>410</v>
      </c>
      <c r="D27" s="14" t="s">
        <v>411</v>
      </c>
      <c r="E27" s="14" t="s">
        <v>303</v>
      </c>
      <c r="F27" s="14">
        <v>8</v>
      </c>
      <c r="I27" s="14" t="s">
        <v>412</v>
      </c>
      <c r="J27" s="14">
        <v>3.5999999999999997E-2</v>
      </c>
      <c r="K27" s="14" t="s">
        <v>32</v>
      </c>
      <c r="L27" s="14" t="s">
        <v>412</v>
      </c>
      <c r="M27">
        <v>3.5999999999999997E-2</v>
      </c>
      <c r="N27" s="14" t="s">
        <v>413</v>
      </c>
    </row>
    <row r="28" spans="1:37" x14ac:dyDescent="0.25">
      <c r="A28">
        <v>885012207076</v>
      </c>
      <c r="B28" s="14" t="s">
        <v>396</v>
      </c>
      <c r="C28" s="14" t="s">
        <v>414</v>
      </c>
      <c r="D28" s="14" t="s">
        <v>415</v>
      </c>
      <c r="E28" s="14" t="s">
        <v>303</v>
      </c>
      <c r="F28" s="14">
        <v>9</v>
      </c>
      <c r="I28" s="14" t="s">
        <v>416</v>
      </c>
      <c r="J28" s="14">
        <v>0.10199999999999999</v>
      </c>
      <c r="K28" s="14" t="s">
        <v>32</v>
      </c>
      <c r="L28" s="14" t="s">
        <v>416</v>
      </c>
      <c r="M28">
        <v>0.10199999999999999</v>
      </c>
      <c r="N28" s="14" t="s">
        <v>417</v>
      </c>
    </row>
    <row r="29" spans="1:37" x14ac:dyDescent="0.25">
      <c r="A29">
        <v>885012207078</v>
      </c>
      <c r="B29" s="14" t="s">
        <v>396</v>
      </c>
      <c r="C29" s="14" t="s">
        <v>418</v>
      </c>
      <c r="D29" s="14" t="s">
        <v>419</v>
      </c>
      <c r="E29" s="14" t="s">
        <v>303</v>
      </c>
      <c r="F29" s="14">
        <v>27</v>
      </c>
      <c r="G29" s="14">
        <v>10</v>
      </c>
      <c r="H29" s="14">
        <v>1</v>
      </c>
      <c r="I29" s="14" t="s">
        <v>420</v>
      </c>
      <c r="J29" s="14">
        <v>0.08</v>
      </c>
      <c r="K29" s="14" t="s">
        <v>32</v>
      </c>
      <c r="L29" s="14" t="s">
        <v>420</v>
      </c>
      <c r="M29">
        <v>0.08</v>
      </c>
      <c r="N29" s="14" t="s">
        <v>421</v>
      </c>
      <c r="X29" s="14" t="s">
        <v>422</v>
      </c>
      <c r="Y29" s="14">
        <v>0.16300000000000001</v>
      </c>
      <c r="Z29" s="14" t="s">
        <v>423</v>
      </c>
    </row>
    <row r="30" spans="1:37" x14ac:dyDescent="0.25">
      <c r="A30" t="s">
        <v>206</v>
      </c>
      <c r="B30" s="14" t="s">
        <v>424</v>
      </c>
      <c r="C30" s="14" t="s">
        <v>425</v>
      </c>
      <c r="D30" s="14" t="s">
        <v>426</v>
      </c>
      <c r="E30" s="14" t="s">
        <v>303</v>
      </c>
      <c r="F30" s="14">
        <v>133</v>
      </c>
      <c r="G30" s="14">
        <v>100</v>
      </c>
      <c r="H30" s="14">
        <v>1</v>
      </c>
      <c r="I30" s="14" t="s">
        <v>427</v>
      </c>
      <c r="J30" s="14">
        <v>2.7E-2</v>
      </c>
      <c r="K30" s="14" t="s">
        <v>32</v>
      </c>
      <c r="L30" s="14" t="s">
        <v>427</v>
      </c>
      <c r="M30">
        <v>2.7E-2</v>
      </c>
      <c r="N30" s="14" t="s">
        <v>428</v>
      </c>
    </row>
    <row r="31" spans="1:37" x14ac:dyDescent="0.25">
      <c r="A31" t="s">
        <v>60</v>
      </c>
      <c r="B31" s="14" t="s">
        <v>424</v>
      </c>
      <c r="C31" s="14" t="s">
        <v>429</v>
      </c>
      <c r="D31" s="14" t="s">
        <v>430</v>
      </c>
      <c r="E31" s="14" t="s">
        <v>303</v>
      </c>
      <c r="F31" s="14">
        <v>16</v>
      </c>
      <c r="I31" s="14" t="s">
        <v>431</v>
      </c>
      <c r="J31" s="14">
        <v>0.27</v>
      </c>
      <c r="K31" s="14" t="s">
        <v>32</v>
      </c>
      <c r="L31" s="14" t="s">
        <v>431</v>
      </c>
      <c r="M31">
        <v>0.27</v>
      </c>
      <c r="N31" s="14" t="s">
        <v>432</v>
      </c>
    </row>
    <row r="32" spans="1:37" x14ac:dyDescent="0.25">
      <c r="A32" t="s">
        <v>19</v>
      </c>
      <c r="B32" s="14" t="s">
        <v>443</v>
      </c>
      <c r="C32" s="14" t="s">
        <v>444</v>
      </c>
      <c r="D32" s="14" t="s">
        <v>445</v>
      </c>
      <c r="E32" s="14" t="s">
        <v>303</v>
      </c>
      <c r="F32" s="14">
        <v>83</v>
      </c>
      <c r="I32" s="14" t="s">
        <v>446</v>
      </c>
      <c r="J32" s="14">
        <v>0.42</v>
      </c>
      <c r="K32" s="14" t="s">
        <v>32</v>
      </c>
      <c r="L32" s="14" t="s">
        <v>446</v>
      </c>
      <c r="M32">
        <v>0.42</v>
      </c>
      <c r="N32" s="14" t="s">
        <v>447</v>
      </c>
      <c r="O32" s="14">
        <v>2896645</v>
      </c>
      <c r="P32" s="14">
        <v>0.106</v>
      </c>
      <c r="Q32" s="14" t="s">
        <v>448</v>
      </c>
      <c r="AK32" s="14">
        <v>0.106</v>
      </c>
    </row>
    <row r="33" spans="1:45" x14ac:dyDescent="0.25">
      <c r="A33">
        <v>22284360</v>
      </c>
      <c r="B33" s="14" t="s">
        <v>459</v>
      </c>
      <c r="C33" s="14" t="s">
        <v>97</v>
      </c>
      <c r="D33" s="14" t="s">
        <v>2443</v>
      </c>
      <c r="E33" s="14" t="s">
        <v>460</v>
      </c>
      <c r="F33" s="14">
        <v>2.5</v>
      </c>
      <c r="I33" s="14" t="s">
        <v>461</v>
      </c>
      <c r="J33" s="14">
        <v>1.02</v>
      </c>
      <c r="K33" s="14" t="s">
        <v>32</v>
      </c>
      <c r="L33" s="14" t="s">
        <v>461</v>
      </c>
      <c r="M33">
        <v>1.02</v>
      </c>
      <c r="N33" s="14" t="s">
        <v>462</v>
      </c>
      <c r="O33" s="14">
        <v>1654535</v>
      </c>
      <c r="P33" s="14">
        <v>1.55</v>
      </c>
      <c r="Q33" s="14" t="s">
        <v>463</v>
      </c>
      <c r="AK33" s="14">
        <v>1.55</v>
      </c>
    </row>
    <row r="34" spans="1:45" x14ac:dyDescent="0.25">
      <c r="A34" t="s">
        <v>464</v>
      </c>
      <c r="B34" s="14" t="s">
        <v>465</v>
      </c>
      <c r="C34" s="14" t="s">
        <v>97</v>
      </c>
      <c r="D34" s="14" t="s">
        <v>466</v>
      </c>
      <c r="E34" s="14" t="s">
        <v>460</v>
      </c>
      <c r="F34" s="14">
        <v>5</v>
      </c>
      <c r="I34" s="14">
        <v>32845729569</v>
      </c>
      <c r="J34" s="14">
        <v>0.127</v>
      </c>
      <c r="K34" s="14" t="s">
        <v>140</v>
      </c>
      <c r="AG34" s="14">
        <v>32845729569</v>
      </c>
      <c r="AH34" s="14">
        <v>0.127</v>
      </c>
      <c r="AI34" s="14" t="s">
        <v>467</v>
      </c>
    </row>
    <row r="35" spans="1:45" x14ac:dyDescent="0.25">
      <c r="A35" t="s">
        <v>468</v>
      </c>
      <c r="B35" s="14" t="s">
        <v>465</v>
      </c>
      <c r="C35" s="14" t="s">
        <v>97</v>
      </c>
      <c r="D35" s="14" t="s">
        <v>469</v>
      </c>
      <c r="E35" s="14" t="s">
        <v>460</v>
      </c>
      <c r="F35" s="14">
        <v>5</v>
      </c>
      <c r="I35" s="14">
        <v>32845729569</v>
      </c>
      <c r="J35" s="14">
        <v>0.127</v>
      </c>
      <c r="K35" s="14" t="s">
        <v>140</v>
      </c>
      <c r="AG35" s="14">
        <v>32845729569</v>
      </c>
      <c r="AH35" s="14">
        <v>0.127</v>
      </c>
      <c r="AI35" s="14" t="s">
        <v>467</v>
      </c>
    </row>
    <row r="36" spans="1:45" x14ac:dyDescent="0.25">
      <c r="A36">
        <v>61304011021</v>
      </c>
      <c r="B36" s="14" t="s">
        <v>470</v>
      </c>
      <c r="C36" s="14" t="s">
        <v>97</v>
      </c>
      <c r="D36" s="14" t="s">
        <v>471</v>
      </c>
      <c r="E36" s="14" t="s">
        <v>460</v>
      </c>
      <c r="F36" s="14">
        <v>9.65</v>
      </c>
      <c r="G36" s="14">
        <v>2</v>
      </c>
      <c r="H36" s="14">
        <v>1</v>
      </c>
      <c r="I36" s="14" t="s">
        <v>472</v>
      </c>
      <c r="J36" s="14">
        <v>1.44</v>
      </c>
      <c r="K36" s="14" t="s">
        <v>32</v>
      </c>
      <c r="L36" s="14" t="s">
        <v>472</v>
      </c>
      <c r="M36">
        <v>1.44</v>
      </c>
      <c r="N36" s="14" t="s">
        <v>473</v>
      </c>
      <c r="O36" s="14">
        <v>2356192</v>
      </c>
      <c r="P36" s="14">
        <v>1.58</v>
      </c>
      <c r="Q36" s="14" t="s">
        <v>474</v>
      </c>
      <c r="AK36" s="14">
        <v>1.58</v>
      </c>
    </row>
    <row r="37" spans="1:45" x14ac:dyDescent="0.25">
      <c r="A37">
        <v>965083</v>
      </c>
      <c r="B37" s="14" t="s">
        <v>29</v>
      </c>
      <c r="C37" s="14" t="s">
        <v>97</v>
      </c>
      <c r="D37" s="14" t="s">
        <v>485</v>
      </c>
      <c r="E37" s="14" t="s">
        <v>460</v>
      </c>
      <c r="F37" s="14">
        <v>1.8</v>
      </c>
      <c r="G37" s="14">
        <v>1</v>
      </c>
      <c r="H37" s="14">
        <v>1</v>
      </c>
      <c r="I37" s="14">
        <v>965083</v>
      </c>
      <c r="J37" s="14">
        <v>3.18</v>
      </c>
      <c r="K37" s="14" t="s">
        <v>33</v>
      </c>
      <c r="AJ37" s="14">
        <v>965083</v>
      </c>
      <c r="AK37" s="14">
        <v>3.18</v>
      </c>
      <c r="AL37" s="14" t="s">
        <v>486</v>
      </c>
    </row>
    <row r="38" spans="1:45" x14ac:dyDescent="0.25">
      <c r="A38" t="s">
        <v>487</v>
      </c>
      <c r="B38" s="14" t="s">
        <v>488</v>
      </c>
      <c r="C38" s="14" t="s">
        <v>97</v>
      </c>
      <c r="D38" s="14" t="s">
        <v>2444</v>
      </c>
      <c r="E38" s="14" t="s">
        <v>460</v>
      </c>
      <c r="F38" s="14">
        <v>0</v>
      </c>
      <c r="I38" s="14" t="s">
        <v>489</v>
      </c>
      <c r="J38" s="14">
        <v>0.89</v>
      </c>
      <c r="K38" s="14" t="s">
        <v>32</v>
      </c>
      <c r="L38" s="14" t="s">
        <v>489</v>
      </c>
      <c r="M38">
        <v>0.89</v>
      </c>
      <c r="N38" s="14" t="s">
        <v>490</v>
      </c>
    </row>
    <row r="39" spans="1:45" x14ac:dyDescent="0.25">
      <c r="A39" t="s">
        <v>491</v>
      </c>
      <c r="B39" s="14" t="s">
        <v>342</v>
      </c>
      <c r="C39" s="14" t="s">
        <v>97</v>
      </c>
      <c r="D39" s="14" t="s">
        <v>2445</v>
      </c>
      <c r="E39" s="14" t="s">
        <v>460</v>
      </c>
      <c r="F39" s="14">
        <v>0</v>
      </c>
      <c r="I39" s="14" t="s">
        <v>492</v>
      </c>
      <c r="J39" s="14">
        <v>0.72</v>
      </c>
      <c r="K39" s="14" t="s">
        <v>32</v>
      </c>
      <c r="L39" s="14" t="s">
        <v>492</v>
      </c>
      <c r="M39">
        <v>0.72</v>
      </c>
      <c r="N39" s="14" t="s">
        <v>493</v>
      </c>
    </row>
    <row r="40" spans="1:45" x14ac:dyDescent="0.25">
      <c r="A40" t="s">
        <v>494</v>
      </c>
      <c r="B40" s="14" t="s">
        <v>342</v>
      </c>
      <c r="C40" s="14" t="s">
        <v>97</v>
      </c>
      <c r="D40" s="14" t="s">
        <v>2446</v>
      </c>
      <c r="E40" s="14" t="s">
        <v>460</v>
      </c>
      <c r="F40" s="14">
        <v>0</v>
      </c>
      <c r="I40" s="14" t="s">
        <v>495</v>
      </c>
      <c r="J40" s="14">
        <v>0.98</v>
      </c>
      <c r="K40" s="14" t="s">
        <v>32</v>
      </c>
      <c r="L40" s="14" t="s">
        <v>495</v>
      </c>
      <c r="M40">
        <v>0.98</v>
      </c>
      <c r="N40" s="14" t="s">
        <v>496</v>
      </c>
    </row>
    <row r="41" spans="1:45" x14ac:dyDescent="0.25">
      <c r="A41" t="s">
        <v>497</v>
      </c>
      <c r="B41" s="14" t="s">
        <v>498</v>
      </c>
      <c r="C41" s="14" t="s">
        <v>97</v>
      </c>
      <c r="D41" s="14" t="s">
        <v>499</v>
      </c>
      <c r="E41" s="14" t="s">
        <v>460</v>
      </c>
      <c r="F41" s="14">
        <v>0</v>
      </c>
      <c r="I41" s="14" t="s">
        <v>500</v>
      </c>
      <c r="J41" s="14">
        <v>2.8</v>
      </c>
      <c r="K41" s="14" t="s">
        <v>138</v>
      </c>
      <c r="R41" s="14" t="s">
        <v>500</v>
      </c>
      <c r="S41" s="14">
        <v>2.8</v>
      </c>
      <c r="T41" s="14" t="s">
        <v>501</v>
      </c>
    </row>
    <row r="42" spans="1:45" x14ac:dyDescent="0.25">
      <c r="A42" t="s">
        <v>502</v>
      </c>
      <c r="B42" s="14" t="s">
        <v>503</v>
      </c>
      <c r="C42" s="14" t="s">
        <v>504</v>
      </c>
      <c r="D42" s="14" t="s">
        <v>505</v>
      </c>
      <c r="E42" s="14" t="s">
        <v>460</v>
      </c>
      <c r="F42" s="14">
        <v>2</v>
      </c>
      <c r="I42" s="14" t="s">
        <v>506</v>
      </c>
      <c r="J42" s="14">
        <v>0.62</v>
      </c>
      <c r="K42" s="14" t="s">
        <v>32</v>
      </c>
      <c r="L42" s="14" t="s">
        <v>506</v>
      </c>
      <c r="M42">
        <v>0.62</v>
      </c>
      <c r="N42" s="14" t="s">
        <v>507</v>
      </c>
    </row>
    <row r="43" spans="1:45" x14ac:dyDescent="0.25">
      <c r="A43" t="s">
        <v>41</v>
      </c>
      <c r="B43" s="14" t="s">
        <v>709</v>
      </c>
      <c r="C43" s="14" t="s">
        <v>480</v>
      </c>
      <c r="D43" s="14" t="s">
        <v>710</v>
      </c>
      <c r="E43" s="14" t="s">
        <v>460</v>
      </c>
      <c r="F43" s="14">
        <v>8</v>
      </c>
      <c r="G43" s="14">
        <v>2</v>
      </c>
      <c r="H43" s="14">
        <v>1</v>
      </c>
      <c r="I43" s="14" t="s">
        <v>711</v>
      </c>
      <c r="J43" s="14">
        <v>0.66500000000000004</v>
      </c>
      <c r="K43" s="14" t="s">
        <v>32</v>
      </c>
      <c r="L43" s="14" t="s">
        <v>711</v>
      </c>
      <c r="M43">
        <v>0.66500000000000004</v>
      </c>
      <c r="N43" s="14" t="s">
        <v>712</v>
      </c>
    </row>
    <row r="44" spans="1:45" x14ac:dyDescent="0.25">
      <c r="A44" t="s">
        <v>713</v>
      </c>
      <c r="B44" s="14" t="s">
        <v>300</v>
      </c>
      <c r="C44" s="14" t="s">
        <v>714</v>
      </c>
      <c r="D44" s="14" t="s">
        <v>715</v>
      </c>
      <c r="E44" s="14" t="s">
        <v>460</v>
      </c>
      <c r="F44" s="14">
        <v>3.8</v>
      </c>
      <c r="I44" s="14">
        <v>2725179</v>
      </c>
      <c r="J44" s="14">
        <v>0.28699999999999998</v>
      </c>
      <c r="K44" s="14" t="s">
        <v>5</v>
      </c>
      <c r="O44" s="14">
        <v>2725179</v>
      </c>
      <c r="P44" s="14">
        <v>0.28699999999999998</v>
      </c>
      <c r="Q44" s="14" t="s">
        <v>716</v>
      </c>
      <c r="AK44" s="14">
        <v>0.28699999999999998</v>
      </c>
    </row>
    <row r="45" spans="1:45" x14ac:dyDescent="0.25">
      <c r="A45" t="s">
        <v>115</v>
      </c>
      <c r="B45" s="14" t="s">
        <v>717</v>
      </c>
      <c r="C45" s="14" t="s">
        <v>714</v>
      </c>
      <c r="D45" s="14" t="s">
        <v>718</v>
      </c>
      <c r="E45" s="14" t="s">
        <v>460</v>
      </c>
      <c r="F45" s="14">
        <v>2.3050000000000002</v>
      </c>
      <c r="G45" s="14">
        <v>2</v>
      </c>
      <c r="H45" s="14">
        <v>1</v>
      </c>
      <c r="I45" s="14" t="s">
        <v>719</v>
      </c>
      <c r="J45" s="14">
        <v>3.12</v>
      </c>
      <c r="K45" s="14" t="s">
        <v>32</v>
      </c>
      <c r="L45" s="14" t="s">
        <v>719</v>
      </c>
      <c r="M45">
        <v>3.12</v>
      </c>
      <c r="N45" s="14" t="s">
        <v>720</v>
      </c>
      <c r="O45" s="14">
        <v>2064805</v>
      </c>
      <c r="P45" s="14">
        <v>2.95</v>
      </c>
      <c r="Q45" s="14" t="s">
        <v>721</v>
      </c>
      <c r="AK45" s="14">
        <v>2.95</v>
      </c>
    </row>
    <row r="46" spans="1:45" x14ac:dyDescent="0.25">
      <c r="A46" t="s">
        <v>749</v>
      </c>
      <c r="B46" s="14" t="s">
        <v>750</v>
      </c>
      <c r="C46" s="14" t="s">
        <v>714</v>
      </c>
      <c r="D46" s="14" t="s">
        <v>2447</v>
      </c>
      <c r="E46" s="14" t="s">
        <v>460</v>
      </c>
      <c r="F46" s="14">
        <v>3.3610000000000002</v>
      </c>
      <c r="G46" s="14">
        <v>2</v>
      </c>
      <c r="H46" s="14">
        <v>1</v>
      </c>
      <c r="I46" s="14" t="s">
        <v>751</v>
      </c>
      <c r="J46" s="14">
        <v>0.79</v>
      </c>
      <c r="K46" s="14" t="s">
        <v>32</v>
      </c>
      <c r="L46" s="14" t="s">
        <v>751</v>
      </c>
      <c r="M46">
        <v>0.79</v>
      </c>
      <c r="N46" s="14" t="s">
        <v>752</v>
      </c>
      <c r="X46" s="14" t="s">
        <v>753</v>
      </c>
      <c r="Y46" s="14">
        <v>0.76200000000000001</v>
      </c>
      <c r="Z46" s="14" t="s">
        <v>754</v>
      </c>
      <c r="AR46" s="14">
        <v>1</v>
      </c>
      <c r="AS46" s="14" t="s">
        <v>749</v>
      </c>
    </row>
    <row r="47" spans="1:45" x14ac:dyDescent="0.25">
      <c r="A47">
        <v>8500114</v>
      </c>
      <c r="B47" s="14" t="s">
        <v>508</v>
      </c>
      <c r="C47" s="14" t="s">
        <v>97</v>
      </c>
      <c r="D47" s="14" t="s">
        <v>509</v>
      </c>
      <c r="E47" s="14" t="s">
        <v>510</v>
      </c>
      <c r="F47" s="14">
        <v>0</v>
      </c>
      <c r="I47" s="14" t="s">
        <v>511</v>
      </c>
      <c r="J47" s="14">
        <v>0.10199999999999999</v>
      </c>
      <c r="K47" s="14" t="s">
        <v>32</v>
      </c>
      <c r="L47" s="14" t="s">
        <v>511</v>
      </c>
      <c r="M47">
        <v>0.10199999999999999</v>
      </c>
      <c r="N47" s="14" t="s">
        <v>512</v>
      </c>
    </row>
    <row r="48" spans="1:45" x14ac:dyDescent="0.25">
      <c r="A48" t="s">
        <v>513</v>
      </c>
      <c r="B48" s="14" t="s">
        <v>348</v>
      </c>
      <c r="C48" s="14" t="s">
        <v>514</v>
      </c>
      <c r="D48" s="14" t="s">
        <v>515</v>
      </c>
      <c r="E48" s="14" t="s">
        <v>516</v>
      </c>
      <c r="F48" s="14">
        <v>4</v>
      </c>
      <c r="I48" s="14" t="s">
        <v>517</v>
      </c>
      <c r="J48" s="14">
        <v>0.81</v>
      </c>
      <c r="K48" s="14" t="s">
        <v>32</v>
      </c>
      <c r="L48" s="14" t="s">
        <v>517</v>
      </c>
      <c r="M48">
        <v>0.81</v>
      </c>
      <c r="N48" s="14" t="s">
        <v>518</v>
      </c>
    </row>
    <row r="49" spans="1:14" x14ac:dyDescent="0.25">
      <c r="A49" t="s">
        <v>519</v>
      </c>
      <c r="B49" s="14" t="s">
        <v>348</v>
      </c>
      <c r="C49" s="14" t="s">
        <v>520</v>
      </c>
      <c r="D49" s="14" t="s">
        <v>521</v>
      </c>
      <c r="E49" s="14" t="s">
        <v>516</v>
      </c>
      <c r="F49" s="14">
        <v>2</v>
      </c>
      <c r="I49" s="14" t="s">
        <v>522</v>
      </c>
      <c r="J49" s="14">
        <v>1.19</v>
      </c>
      <c r="K49" s="14" t="s">
        <v>32</v>
      </c>
      <c r="L49" s="14" t="s">
        <v>522</v>
      </c>
      <c r="M49">
        <v>1.19</v>
      </c>
      <c r="N49" s="14" t="s">
        <v>523</v>
      </c>
    </row>
    <row r="50" spans="1:14" x14ac:dyDescent="0.25">
      <c r="A50" t="s">
        <v>524</v>
      </c>
      <c r="B50" s="14" t="s">
        <v>348</v>
      </c>
      <c r="C50" s="14" t="s">
        <v>97</v>
      </c>
      <c r="D50" s="14" t="s">
        <v>525</v>
      </c>
      <c r="E50" s="14" t="s">
        <v>516</v>
      </c>
      <c r="F50" s="14">
        <v>0</v>
      </c>
      <c r="I50" s="14" t="s">
        <v>526</v>
      </c>
      <c r="J50" s="14">
        <v>1.4</v>
      </c>
      <c r="K50" s="14" t="s">
        <v>32</v>
      </c>
      <c r="L50" s="14" t="s">
        <v>526</v>
      </c>
      <c r="M50">
        <v>1.4</v>
      </c>
      <c r="N50" s="14" t="s">
        <v>527</v>
      </c>
    </row>
    <row r="51" spans="1:14" x14ac:dyDescent="0.25">
      <c r="A51" t="s">
        <v>528</v>
      </c>
      <c r="B51" s="14" t="s">
        <v>348</v>
      </c>
      <c r="C51" s="14" t="s">
        <v>97</v>
      </c>
      <c r="D51" s="14" t="s">
        <v>529</v>
      </c>
      <c r="E51" s="14" t="s">
        <v>516</v>
      </c>
      <c r="F51" s="14">
        <v>0</v>
      </c>
      <c r="I51" s="14" t="s">
        <v>530</v>
      </c>
      <c r="J51" s="14">
        <v>1.73</v>
      </c>
      <c r="K51" s="14" t="s">
        <v>32</v>
      </c>
      <c r="L51" s="14" t="s">
        <v>530</v>
      </c>
      <c r="M51">
        <v>1.73</v>
      </c>
      <c r="N51" s="14" t="s">
        <v>531</v>
      </c>
    </row>
    <row r="52" spans="1:14" x14ac:dyDescent="0.25">
      <c r="A52" t="s">
        <v>532</v>
      </c>
      <c r="B52" s="14" t="s">
        <v>348</v>
      </c>
      <c r="C52" s="14" t="s">
        <v>97</v>
      </c>
      <c r="D52" s="14" t="s">
        <v>533</v>
      </c>
      <c r="E52" s="14" t="s">
        <v>516</v>
      </c>
      <c r="F52" s="14">
        <v>0</v>
      </c>
      <c r="I52" s="14" t="s">
        <v>534</v>
      </c>
      <c r="J52" s="14">
        <v>2.0699999999999998</v>
      </c>
      <c r="K52" s="14" t="s">
        <v>32</v>
      </c>
      <c r="L52" s="14" t="s">
        <v>534</v>
      </c>
      <c r="M52">
        <v>2.0699999999999998</v>
      </c>
      <c r="N52" s="14" t="s">
        <v>535</v>
      </c>
    </row>
    <row r="53" spans="1:14" x14ac:dyDescent="0.25">
      <c r="A53" t="s">
        <v>536</v>
      </c>
      <c r="B53" s="14" t="s">
        <v>348</v>
      </c>
      <c r="C53" s="14" t="s">
        <v>97</v>
      </c>
      <c r="D53" s="14" t="s">
        <v>537</v>
      </c>
      <c r="E53" s="14" t="s">
        <v>516</v>
      </c>
      <c r="F53" s="14">
        <v>0</v>
      </c>
      <c r="I53" s="14" t="s">
        <v>538</v>
      </c>
      <c r="J53" s="14">
        <v>2.4</v>
      </c>
      <c r="K53" s="14" t="s">
        <v>32</v>
      </c>
      <c r="L53" s="14" t="s">
        <v>538</v>
      </c>
      <c r="M53">
        <v>2.4</v>
      </c>
      <c r="N53" s="14" t="s">
        <v>539</v>
      </c>
    </row>
    <row r="54" spans="1:14" x14ac:dyDescent="0.25">
      <c r="A54" t="s">
        <v>540</v>
      </c>
      <c r="B54" s="14" t="s">
        <v>348</v>
      </c>
      <c r="C54" s="14" t="s">
        <v>97</v>
      </c>
      <c r="D54" s="14" t="s">
        <v>541</v>
      </c>
      <c r="E54" s="14" t="s">
        <v>516</v>
      </c>
      <c r="F54" s="14">
        <v>0</v>
      </c>
      <c r="I54" s="14" t="s">
        <v>542</v>
      </c>
      <c r="J54" s="14">
        <v>2.54</v>
      </c>
      <c r="K54" s="14" t="s">
        <v>32</v>
      </c>
      <c r="L54" s="14" t="s">
        <v>542</v>
      </c>
      <c r="M54">
        <v>2.54</v>
      </c>
      <c r="N54" s="14" t="s">
        <v>543</v>
      </c>
    </row>
    <row r="55" spans="1:14" x14ac:dyDescent="0.25">
      <c r="A55" t="s">
        <v>544</v>
      </c>
      <c r="B55" s="14" t="s">
        <v>348</v>
      </c>
      <c r="C55" s="14" t="s">
        <v>97</v>
      </c>
      <c r="D55" s="14" t="s">
        <v>545</v>
      </c>
      <c r="E55" s="14" t="s">
        <v>516</v>
      </c>
      <c r="F55" s="14">
        <v>0</v>
      </c>
      <c r="I55" s="14" t="s">
        <v>546</v>
      </c>
      <c r="J55" s="14">
        <v>2.85</v>
      </c>
      <c r="K55" s="14" t="s">
        <v>32</v>
      </c>
      <c r="L55" s="14" t="s">
        <v>546</v>
      </c>
      <c r="M55">
        <v>2.85</v>
      </c>
      <c r="N55" s="14" t="s">
        <v>547</v>
      </c>
    </row>
    <row r="56" spans="1:14" x14ac:dyDescent="0.25">
      <c r="A56" t="s">
        <v>548</v>
      </c>
      <c r="B56" s="14" t="s">
        <v>348</v>
      </c>
      <c r="C56" s="14" t="s">
        <v>97</v>
      </c>
      <c r="D56" s="14" t="s">
        <v>549</v>
      </c>
      <c r="E56" s="14" t="s">
        <v>516</v>
      </c>
      <c r="F56" s="14">
        <v>0</v>
      </c>
      <c r="I56" s="14" t="s">
        <v>550</v>
      </c>
      <c r="J56" s="14">
        <v>3.16</v>
      </c>
      <c r="K56" s="14" t="s">
        <v>32</v>
      </c>
      <c r="L56" s="14" t="s">
        <v>550</v>
      </c>
      <c r="M56">
        <v>3.16</v>
      </c>
      <c r="N56" s="14" t="s">
        <v>551</v>
      </c>
    </row>
    <row r="57" spans="1:14" x14ac:dyDescent="0.25">
      <c r="A57">
        <v>22013047</v>
      </c>
      <c r="B57" s="14" t="s">
        <v>508</v>
      </c>
      <c r="C57" s="14" t="s">
        <v>97</v>
      </c>
      <c r="D57" s="14" t="s">
        <v>552</v>
      </c>
      <c r="E57" s="14" t="s">
        <v>553</v>
      </c>
      <c r="F57" s="14">
        <v>0</v>
      </c>
      <c r="I57" s="14" t="s">
        <v>554</v>
      </c>
      <c r="J57" s="14">
        <v>0.2</v>
      </c>
      <c r="K57" s="14" t="s">
        <v>32</v>
      </c>
      <c r="L57" s="14" t="s">
        <v>554</v>
      </c>
      <c r="M57">
        <v>0.2</v>
      </c>
      <c r="N57" s="14" t="s">
        <v>555</v>
      </c>
    </row>
    <row r="58" spans="1:14" x14ac:dyDescent="0.25">
      <c r="A58">
        <v>22013057</v>
      </c>
      <c r="B58" s="14" t="s">
        <v>508</v>
      </c>
      <c r="C58" s="14" t="s">
        <v>97</v>
      </c>
      <c r="D58" s="14" t="s">
        <v>556</v>
      </c>
      <c r="E58" s="14" t="s">
        <v>553</v>
      </c>
      <c r="F58" s="14">
        <v>0</v>
      </c>
      <c r="I58" s="14" t="s">
        <v>557</v>
      </c>
      <c r="J58" s="14">
        <v>0.25</v>
      </c>
      <c r="K58" s="14" t="s">
        <v>32</v>
      </c>
      <c r="L58" s="14" t="s">
        <v>557</v>
      </c>
      <c r="M58">
        <v>0.25</v>
      </c>
      <c r="N58" s="14" t="s">
        <v>558</v>
      </c>
    </row>
    <row r="59" spans="1:14" x14ac:dyDescent="0.25">
      <c r="A59">
        <v>22013067</v>
      </c>
      <c r="B59" s="14" t="s">
        <v>508</v>
      </c>
      <c r="C59" s="14" t="s">
        <v>97</v>
      </c>
      <c r="D59" s="14" t="s">
        <v>559</v>
      </c>
      <c r="E59" s="14" t="s">
        <v>553</v>
      </c>
      <c r="F59" s="14">
        <v>0</v>
      </c>
      <c r="I59" s="14" t="s">
        <v>560</v>
      </c>
      <c r="J59" s="14">
        <v>0.28000000000000003</v>
      </c>
      <c r="K59" s="14" t="s">
        <v>32</v>
      </c>
      <c r="L59" s="14" t="s">
        <v>560</v>
      </c>
      <c r="M59">
        <v>0.28000000000000003</v>
      </c>
      <c r="N59" s="14" t="s">
        <v>561</v>
      </c>
    </row>
    <row r="60" spans="1:14" x14ac:dyDescent="0.25">
      <c r="A60">
        <v>22013077</v>
      </c>
      <c r="B60" s="14" t="s">
        <v>508</v>
      </c>
      <c r="C60" s="14" t="s">
        <v>97</v>
      </c>
      <c r="D60" s="14" t="s">
        <v>562</v>
      </c>
      <c r="E60" s="14" t="s">
        <v>553</v>
      </c>
      <c r="F60" s="14">
        <v>0</v>
      </c>
      <c r="I60" s="14" t="s">
        <v>563</v>
      </c>
      <c r="J60" s="14">
        <v>0.33</v>
      </c>
      <c r="K60" s="14" t="s">
        <v>32</v>
      </c>
      <c r="L60" s="14" t="s">
        <v>563</v>
      </c>
      <c r="M60">
        <v>0.33</v>
      </c>
      <c r="N60" s="14" t="s">
        <v>564</v>
      </c>
    </row>
    <row r="61" spans="1:14" x14ac:dyDescent="0.25">
      <c r="A61">
        <v>22013087</v>
      </c>
      <c r="B61" s="14" t="s">
        <v>508</v>
      </c>
      <c r="C61" s="14" t="s">
        <v>97</v>
      </c>
      <c r="D61" s="14" t="s">
        <v>565</v>
      </c>
      <c r="E61" s="14" t="s">
        <v>553</v>
      </c>
      <c r="F61" s="14">
        <v>0</v>
      </c>
      <c r="I61" s="14" t="s">
        <v>566</v>
      </c>
      <c r="J61" s="14">
        <v>0.38</v>
      </c>
      <c r="K61" s="14" t="s">
        <v>32</v>
      </c>
      <c r="L61" s="14" t="s">
        <v>566</v>
      </c>
      <c r="M61">
        <v>0.38</v>
      </c>
      <c r="N61" s="14" t="s">
        <v>567</v>
      </c>
    </row>
    <row r="62" spans="1:14" x14ac:dyDescent="0.25">
      <c r="A62">
        <v>22013097</v>
      </c>
      <c r="B62" s="14" t="s">
        <v>508</v>
      </c>
      <c r="C62" s="14" t="s">
        <v>97</v>
      </c>
      <c r="D62" s="14" t="s">
        <v>568</v>
      </c>
      <c r="E62" s="14" t="s">
        <v>553</v>
      </c>
      <c r="F62" s="14">
        <v>0</v>
      </c>
      <c r="I62" s="14" t="s">
        <v>569</v>
      </c>
      <c r="J62" s="14">
        <v>0.42</v>
      </c>
      <c r="K62" s="14" t="s">
        <v>32</v>
      </c>
      <c r="L62" s="14" t="s">
        <v>569</v>
      </c>
      <c r="M62">
        <v>0.42</v>
      </c>
      <c r="N62" s="14" t="s">
        <v>570</v>
      </c>
    </row>
    <row r="63" spans="1:14" x14ac:dyDescent="0.25">
      <c r="A63">
        <v>22013107</v>
      </c>
      <c r="B63" s="14" t="s">
        <v>508</v>
      </c>
      <c r="C63" s="14" t="s">
        <v>97</v>
      </c>
      <c r="D63" s="14" t="s">
        <v>571</v>
      </c>
      <c r="E63" s="14" t="s">
        <v>553</v>
      </c>
      <c r="F63" s="14">
        <v>0</v>
      </c>
      <c r="I63" s="14" t="s">
        <v>572</v>
      </c>
      <c r="J63" s="14">
        <v>0.41</v>
      </c>
      <c r="K63" s="14" t="s">
        <v>32</v>
      </c>
      <c r="L63" s="14" t="s">
        <v>572</v>
      </c>
      <c r="M63">
        <v>0.41</v>
      </c>
      <c r="N63" s="14" t="s">
        <v>573</v>
      </c>
    </row>
    <row r="64" spans="1:14" x14ac:dyDescent="0.25">
      <c r="A64">
        <v>22013127</v>
      </c>
      <c r="B64" s="14" t="s">
        <v>508</v>
      </c>
      <c r="C64" s="14" t="s">
        <v>97</v>
      </c>
      <c r="D64" s="14" t="s">
        <v>574</v>
      </c>
      <c r="E64" s="14" t="s">
        <v>553</v>
      </c>
      <c r="F64" s="14">
        <v>0</v>
      </c>
      <c r="I64" s="14" t="s">
        <v>575</v>
      </c>
      <c r="J64" s="14">
        <v>0.56999999999999995</v>
      </c>
      <c r="K64" s="14" t="s">
        <v>32</v>
      </c>
      <c r="L64" s="14" t="s">
        <v>575</v>
      </c>
      <c r="M64">
        <v>0.56999999999999995</v>
      </c>
      <c r="N64" s="14" t="s">
        <v>576</v>
      </c>
    </row>
    <row r="65" spans="1:14" x14ac:dyDescent="0.25">
      <c r="A65" t="s">
        <v>2338</v>
      </c>
      <c r="B65" s="14" t="s">
        <v>508</v>
      </c>
      <c r="C65" s="14" t="s">
        <v>97</v>
      </c>
      <c r="D65" s="14" t="s">
        <v>577</v>
      </c>
      <c r="E65" s="14" t="s">
        <v>553</v>
      </c>
      <c r="F65" s="14">
        <v>0</v>
      </c>
      <c r="I65" s="14" t="s">
        <v>578</v>
      </c>
      <c r="J65" s="14">
        <v>0.13</v>
      </c>
      <c r="K65" s="14" t="s">
        <v>32</v>
      </c>
      <c r="L65" s="14" t="s">
        <v>578</v>
      </c>
      <c r="M65">
        <v>0.13</v>
      </c>
      <c r="N65" s="14" t="s">
        <v>579</v>
      </c>
    </row>
    <row r="66" spans="1:14" x14ac:dyDescent="0.25">
      <c r="A66" t="s">
        <v>2339</v>
      </c>
      <c r="B66" s="14" t="s">
        <v>508</v>
      </c>
      <c r="C66" s="14" t="s">
        <v>97</v>
      </c>
      <c r="D66" s="14" t="s">
        <v>580</v>
      </c>
      <c r="E66" s="14" t="s">
        <v>553</v>
      </c>
      <c r="F66" s="14">
        <v>0</v>
      </c>
      <c r="I66" s="14" t="s">
        <v>581</v>
      </c>
      <c r="J66" s="14">
        <v>0.19</v>
      </c>
      <c r="K66" s="14" t="s">
        <v>32</v>
      </c>
      <c r="L66" s="14" t="s">
        <v>581</v>
      </c>
      <c r="M66">
        <v>0.19</v>
      </c>
      <c r="N66" s="14" t="s">
        <v>582</v>
      </c>
    </row>
    <row r="67" spans="1:14" x14ac:dyDescent="0.25">
      <c r="A67" t="s">
        <v>583</v>
      </c>
      <c r="B67" s="14" t="s">
        <v>348</v>
      </c>
      <c r="C67" s="14" t="s">
        <v>97</v>
      </c>
      <c r="D67" s="14" t="s">
        <v>584</v>
      </c>
      <c r="E67" s="14" t="s">
        <v>553</v>
      </c>
      <c r="F67" s="14">
        <v>0</v>
      </c>
      <c r="I67" s="14" t="s">
        <v>585</v>
      </c>
      <c r="J67" s="14">
        <v>1.34</v>
      </c>
      <c r="K67" s="14" t="s">
        <v>32</v>
      </c>
      <c r="L67" s="14" t="s">
        <v>585</v>
      </c>
      <c r="M67">
        <v>1.34</v>
      </c>
      <c r="N67" s="14" t="s">
        <v>586</v>
      </c>
    </row>
    <row r="68" spans="1:14" x14ac:dyDescent="0.25">
      <c r="A68" t="s">
        <v>587</v>
      </c>
      <c r="B68" s="14" t="s">
        <v>348</v>
      </c>
      <c r="C68" s="14" t="s">
        <v>97</v>
      </c>
      <c r="D68" s="14" t="s">
        <v>588</v>
      </c>
      <c r="E68" s="14" t="s">
        <v>553</v>
      </c>
      <c r="F68" s="14">
        <v>0</v>
      </c>
      <c r="I68" s="14" t="s">
        <v>589</v>
      </c>
      <c r="J68" s="14">
        <v>1.32</v>
      </c>
      <c r="K68" s="14" t="s">
        <v>32</v>
      </c>
      <c r="L68" s="14" t="s">
        <v>589</v>
      </c>
      <c r="M68">
        <v>1.32</v>
      </c>
      <c r="N68" s="14" t="s">
        <v>590</v>
      </c>
    </row>
    <row r="69" spans="1:14" x14ac:dyDescent="0.25">
      <c r="A69" t="s">
        <v>591</v>
      </c>
      <c r="B69" s="14" t="s">
        <v>348</v>
      </c>
      <c r="C69" s="14" t="s">
        <v>97</v>
      </c>
      <c r="D69" s="14" t="s">
        <v>592</v>
      </c>
      <c r="E69" s="14" t="s">
        <v>553</v>
      </c>
      <c r="F69" s="14">
        <v>0</v>
      </c>
      <c r="I69" s="14" t="s">
        <v>593</v>
      </c>
      <c r="J69" s="14">
        <v>1.2</v>
      </c>
      <c r="K69" s="14" t="s">
        <v>32</v>
      </c>
      <c r="L69" s="14" t="s">
        <v>593</v>
      </c>
      <c r="M69">
        <v>1.2</v>
      </c>
      <c r="N69" s="14" t="s">
        <v>594</v>
      </c>
    </row>
    <row r="70" spans="1:14" x14ac:dyDescent="0.25">
      <c r="A70" t="s">
        <v>595</v>
      </c>
      <c r="B70" s="14" t="s">
        <v>348</v>
      </c>
      <c r="C70" s="14" t="s">
        <v>97</v>
      </c>
      <c r="D70" s="14" t="s">
        <v>596</v>
      </c>
      <c r="E70" s="14" t="s">
        <v>553</v>
      </c>
      <c r="F70" s="14">
        <v>0</v>
      </c>
      <c r="I70" s="14" t="s">
        <v>597</v>
      </c>
      <c r="J70" s="14">
        <v>1.07</v>
      </c>
      <c r="K70" s="14" t="s">
        <v>32</v>
      </c>
      <c r="L70" s="14" t="s">
        <v>597</v>
      </c>
      <c r="M70">
        <v>1.07</v>
      </c>
      <c r="N70" s="14" t="s">
        <v>598</v>
      </c>
    </row>
    <row r="71" spans="1:14" x14ac:dyDescent="0.25">
      <c r="A71" t="s">
        <v>599</v>
      </c>
      <c r="B71" s="14" t="s">
        <v>348</v>
      </c>
      <c r="C71" s="14" t="s">
        <v>97</v>
      </c>
      <c r="D71" s="14" t="s">
        <v>600</v>
      </c>
      <c r="E71" s="14" t="s">
        <v>553</v>
      </c>
      <c r="F71" s="14">
        <v>0</v>
      </c>
      <c r="I71" s="14" t="s">
        <v>601</v>
      </c>
      <c r="J71" s="14">
        <v>0.75</v>
      </c>
      <c r="K71" s="14" t="s">
        <v>32</v>
      </c>
      <c r="L71" s="14" t="s">
        <v>601</v>
      </c>
      <c r="M71">
        <v>0.75</v>
      </c>
      <c r="N71" s="14" t="s">
        <v>602</v>
      </c>
    </row>
    <row r="72" spans="1:14" x14ac:dyDescent="0.25">
      <c r="A72" t="s">
        <v>603</v>
      </c>
      <c r="B72" s="14" t="s">
        <v>348</v>
      </c>
      <c r="C72" s="14" t="s">
        <v>604</v>
      </c>
      <c r="D72" s="14" t="s">
        <v>605</v>
      </c>
      <c r="E72" s="14" t="s">
        <v>553</v>
      </c>
      <c r="F72" s="14">
        <v>0</v>
      </c>
      <c r="I72" s="14" t="s">
        <v>606</v>
      </c>
      <c r="J72" s="14">
        <v>0.76</v>
      </c>
      <c r="K72" s="14" t="s">
        <v>32</v>
      </c>
      <c r="L72" s="14" t="s">
        <v>606</v>
      </c>
      <c r="M72">
        <v>0.76</v>
      </c>
      <c r="N72" s="14" t="s">
        <v>607</v>
      </c>
    </row>
    <row r="73" spans="1:14" x14ac:dyDescent="0.25">
      <c r="A73" t="s">
        <v>608</v>
      </c>
      <c r="B73" s="14" t="s">
        <v>348</v>
      </c>
      <c r="C73" s="14" t="s">
        <v>97</v>
      </c>
      <c r="D73" s="14" t="s">
        <v>609</v>
      </c>
      <c r="E73" s="14" t="s">
        <v>553</v>
      </c>
      <c r="F73" s="14">
        <v>0</v>
      </c>
      <c r="I73" s="14" t="s">
        <v>610</v>
      </c>
      <c r="J73" s="14">
        <v>0.66</v>
      </c>
      <c r="K73" s="14" t="s">
        <v>32</v>
      </c>
      <c r="L73" s="14" t="s">
        <v>610</v>
      </c>
      <c r="M73">
        <v>0.66</v>
      </c>
      <c r="N73" s="14" t="s">
        <v>611</v>
      </c>
    </row>
    <row r="74" spans="1:14" x14ac:dyDescent="0.25">
      <c r="A74" t="s">
        <v>612</v>
      </c>
      <c r="B74" s="14" t="s">
        <v>348</v>
      </c>
      <c r="C74" s="14" t="s">
        <v>97</v>
      </c>
      <c r="D74" s="14" t="s">
        <v>613</v>
      </c>
      <c r="E74" s="14" t="s">
        <v>553</v>
      </c>
      <c r="F74" s="14">
        <v>0</v>
      </c>
      <c r="I74" s="14" t="s">
        <v>614</v>
      </c>
      <c r="J74" s="14">
        <v>0.54</v>
      </c>
      <c r="K74" s="14" t="s">
        <v>32</v>
      </c>
      <c r="L74" s="14" t="s">
        <v>614</v>
      </c>
      <c r="M74">
        <v>0.54</v>
      </c>
      <c r="N74" s="14" t="s">
        <v>615</v>
      </c>
    </row>
    <row r="75" spans="1:14" x14ac:dyDescent="0.25">
      <c r="A75" t="s">
        <v>616</v>
      </c>
      <c r="B75" s="14" t="s">
        <v>348</v>
      </c>
      <c r="C75" s="14" t="s">
        <v>97</v>
      </c>
      <c r="D75" s="14" t="s">
        <v>617</v>
      </c>
      <c r="E75" s="14" t="s">
        <v>553</v>
      </c>
      <c r="F75" s="14">
        <v>0</v>
      </c>
      <c r="I75" s="14" t="s">
        <v>618</v>
      </c>
      <c r="J75" s="14">
        <v>0.8</v>
      </c>
      <c r="K75" s="14" t="s">
        <v>32</v>
      </c>
      <c r="L75" s="14" t="s">
        <v>618</v>
      </c>
      <c r="M75">
        <v>0.8</v>
      </c>
      <c r="N75" s="14" t="s">
        <v>619</v>
      </c>
    </row>
    <row r="76" spans="1:14" x14ac:dyDescent="0.25">
      <c r="A76">
        <v>22232031</v>
      </c>
      <c r="B76" s="14" t="s">
        <v>508</v>
      </c>
      <c r="C76" s="14" t="s">
        <v>97</v>
      </c>
      <c r="D76" s="14" t="s">
        <v>620</v>
      </c>
      <c r="E76" s="14" t="s">
        <v>621</v>
      </c>
      <c r="F76" s="14">
        <v>0</v>
      </c>
      <c r="I76" s="14" t="s">
        <v>622</v>
      </c>
      <c r="J76" s="14">
        <v>0.24</v>
      </c>
      <c r="K76" s="14" t="s">
        <v>32</v>
      </c>
      <c r="L76" s="14" t="s">
        <v>622</v>
      </c>
      <c r="M76">
        <v>0.24</v>
      </c>
      <c r="N76" s="14" t="s">
        <v>623</v>
      </c>
    </row>
    <row r="77" spans="1:14" x14ac:dyDescent="0.25">
      <c r="A77">
        <v>22232041</v>
      </c>
      <c r="B77" s="14" t="s">
        <v>508</v>
      </c>
      <c r="C77" s="14" t="s">
        <v>97</v>
      </c>
      <c r="D77" s="14" t="s">
        <v>624</v>
      </c>
      <c r="E77" s="14" t="s">
        <v>621</v>
      </c>
      <c r="F77" s="14">
        <v>0</v>
      </c>
      <c r="I77" s="14" t="s">
        <v>625</v>
      </c>
      <c r="J77" s="14">
        <v>0.27</v>
      </c>
      <c r="K77" s="14" t="s">
        <v>32</v>
      </c>
      <c r="L77" s="14" t="s">
        <v>625</v>
      </c>
      <c r="M77">
        <v>0.27</v>
      </c>
      <c r="N77" s="14" t="s">
        <v>626</v>
      </c>
    </row>
    <row r="78" spans="1:14" x14ac:dyDescent="0.25">
      <c r="A78">
        <v>22232051</v>
      </c>
      <c r="B78" s="14" t="s">
        <v>508</v>
      </c>
      <c r="C78" s="14" t="s">
        <v>97</v>
      </c>
      <c r="D78" s="14" t="s">
        <v>627</v>
      </c>
      <c r="E78" s="14" t="s">
        <v>621</v>
      </c>
      <c r="F78" s="14">
        <v>0</v>
      </c>
      <c r="I78" s="14" t="s">
        <v>628</v>
      </c>
      <c r="J78" s="14">
        <v>0.36</v>
      </c>
      <c r="K78" s="14" t="s">
        <v>32</v>
      </c>
      <c r="L78" s="14" t="s">
        <v>628</v>
      </c>
      <c r="M78">
        <v>0.36</v>
      </c>
      <c r="N78" s="14" t="s">
        <v>629</v>
      </c>
    </row>
    <row r="79" spans="1:14" x14ac:dyDescent="0.25">
      <c r="A79">
        <v>22232061</v>
      </c>
      <c r="B79" s="14" t="s">
        <v>508</v>
      </c>
      <c r="C79" s="14" t="s">
        <v>97</v>
      </c>
      <c r="D79" s="14" t="s">
        <v>630</v>
      </c>
      <c r="E79" s="14" t="s">
        <v>621</v>
      </c>
      <c r="F79" s="14">
        <v>0</v>
      </c>
      <c r="I79" s="14" t="s">
        <v>631</v>
      </c>
      <c r="J79" s="14">
        <v>0.42</v>
      </c>
      <c r="K79" s="14" t="s">
        <v>32</v>
      </c>
      <c r="L79" s="14" t="s">
        <v>631</v>
      </c>
      <c r="M79">
        <v>0.42</v>
      </c>
      <c r="N79" s="14" t="s">
        <v>632</v>
      </c>
    </row>
    <row r="80" spans="1:14" x14ac:dyDescent="0.25">
      <c r="A80">
        <v>22232071</v>
      </c>
      <c r="B80" s="14" t="s">
        <v>508</v>
      </c>
      <c r="C80" s="14" t="s">
        <v>97</v>
      </c>
      <c r="D80" s="14" t="s">
        <v>633</v>
      </c>
      <c r="E80" s="14" t="s">
        <v>621</v>
      </c>
      <c r="F80" s="14">
        <v>0</v>
      </c>
      <c r="I80" s="14" t="s">
        <v>634</v>
      </c>
      <c r="J80" s="14">
        <v>0.44</v>
      </c>
      <c r="K80" s="14" t="s">
        <v>32</v>
      </c>
      <c r="L80" s="14" t="s">
        <v>634</v>
      </c>
      <c r="M80">
        <v>0.44</v>
      </c>
      <c r="N80" s="14" t="s">
        <v>635</v>
      </c>
    </row>
    <row r="81" spans="1:37" x14ac:dyDescent="0.25">
      <c r="A81">
        <v>22232081</v>
      </c>
      <c r="B81" s="14" t="s">
        <v>508</v>
      </c>
      <c r="C81" s="14" t="s">
        <v>97</v>
      </c>
      <c r="D81" s="14" t="s">
        <v>636</v>
      </c>
      <c r="E81" s="14" t="s">
        <v>621</v>
      </c>
      <c r="F81" s="14">
        <v>0</v>
      </c>
      <c r="I81" s="14" t="s">
        <v>637</v>
      </c>
      <c r="J81" s="14">
        <v>0.54</v>
      </c>
      <c r="K81" s="14" t="s">
        <v>32</v>
      </c>
      <c r="L81" s="14" t="s">
        <v>637</v>
      </c>
      <c r="M81">
        <v>0.54</v>
      </c>
      <c r="N81" s="14" t="s">
        <v>638</v>
      </c>
    </row>
    <row r="82" spans="1:37" x14ac:dyDescent="0.25">
      <c r="A82">
        <v>22232091</v>
      </c>
      <c r="B82" s="14" t="s">
        <v>508</v>
      </c>
      <c r="C82" s="14" t="s">
        <v>97</v>
      </c>
      <c r="D82" s="14" t="s">
        <v>639</v>
      </c>
      <c r="E82" s="14" t="s">
        <v>621</v>
      </c>
      <c r="F82" s="14">
        <v>0</v>
      </c>
      <c r="I82" s="14" t="s">
        <v>640</v>
      </c>
      <c r="J82" s="14">
        <v>0.61</v>
      </c>
      <c r="K82" s="14" t="s">
        <v>32</v>
      </c>
      <c r="L82" s="14" t="s">
        <v>640</v>
      </c>
      <c r="M82">
        <v>0.61</v>
      </c>
      <c r="N82" s="14" t="s">
        <v>641</v>
      </c>
    </row>
    <row r="83" spans="1:37" x14ac:dyDescent="0.25">
      <c r="A83">
        <v>22232101</v>
      </c>
      <c r="B83" s="14" t="s">
        <v>508</v>
      </c>
      <c r="C83" s="14" t="s">
        <v>97</v>
      </c>
      <c r="D83" s="14" t="s">
        <v>642</v>
      </c>
      <c r="E83" s="14" t="s">
        <v>621</v>
      </c>
      <c r="F83" s="14">
        <v>0</v>
      </c>
      <c r="I83" s="14" t="s">
        <v>643</v>
      </c>
      <c r="J83" s="14">
        <v>0.6</v>
      </c>
      <c r="K83" s="14" t="s">
        <v>32</v>
      </c>
      <c r="L83" s="14" t="s">
        <v>643</v>
      </c>
      <c r="M83">
        <v>0.6</v>
      </c>
      <c r="N83" s="14" t="s">
        <v>644</v>
      </c>
    </row>
    <row r="84" spans="1:37" x14ac:dyDescent="0.25">
      <c r="A84">
        <v>22232121</v>
      </c>
      <c r="B84" s="14" t="s">
        <v>508</v>
      </c>
      <c r="C84" s="14" t="s">
        <v>97</v>
      </c>
      <c r="D84" s="14" t="s">
        <v>645</v>
      </c>
      <c r="E84" s="14" t="s">
        <v>621</v>
      </c>
      <c r="F84" s="14">
        <v>0</v>
      </c>
      <c r="I84" s="14" t="s">
        <v>646</v>
      </c>
      <c r="J84" s="14">
        <v>0.74</v>
      </c>
      <c r="K84" s="14" t="s">
        <v>32</v>
      </c>
      <c r="L84" s="14" t="s">
        <v>646</v>
      </c>
      <c r="M84">
        <v>0.74</v>
      </c>
      <c r="N84" s="14" t="s">
        <v>647</v>
      </c>
    </row>
    <row r="85" spans="1:37" x14ac:dyDescent="0.25">
      <c r="A85" t="s">
        <v>648</v>
      </c>
      <c r="B85" s="14" t="s">
        <v>508</v>
      </c>
      <c r="C85" s="14" t="s">
        <v>97</v>
      </c>
      <c r="D85" s="14" t="s">
        <v>649</v>
      </c>
      <c r="E85" s="14" t="s">
        <v>621</v>
      </c>
      <c r="F85" s="14">
        <v>0</v>
      </c>
      <c r="I85" s="14" t="s">
        <v>650</v>
      </c>
      <c r="J85" s="14">
        <v>0.17</v>
      </c>
      <c r="K85" s="14" t="s">
        <v>32</v>
      </c>
      <c r="L85" s="14" t="s">
        <v>650</v>
      </c>
      <c r="M85">
        <v>0.17</v>
      </c>
      <c r="N85" s="14" t="s">
        <v>651</v>
      </c>
    </row>
    <row r="86" spans="1:37" x14ac:dyDescent="0.25">
      <c r="A86" t="s">
        <v>652</v>
      </c>
      <c r="B86" s="14" t="s">
        <v>348</v>
      </c>
      <c r="C86" s="14" t="s">
        <v>514</v>
      </c>
      <c r="D86" s="14" t="s">
        <v>653</v>
      </c>
      <c r="E86" s="14" t="s">
        <v>621</v>
      </c>
      <c r="F86" s="14">
        <v>2</v>
      </c>
      <c r="I86" s="14" t="s">
        <v>654</v>
      </c>
      <c r="J86" s="14">
        <v>0.48</v>
      </c>
      <c r="K86" s="14" t="s">
        <v>32</v>
      </c>
      <c r="L86" s="14" t="s">
        <v>654</v>
      </c>
      <c r="M86">
        <v>0.48</v>
      </c>
      <c r="N86" s="14" t="s">
        <v>655</v>
      </c>
    </row>
    <row r="87" spans="1:37" x14ac:dyDescent="0.25">
      <c r="A87" t="s">
        <v>656</v>
      </c>
      <c r="B87" s="14" t="s">
        <v>348</v>
      </c>
      <c r="C87" s="14" t="s">
        <v>520</v>
      </c>
      <c r="D87" s="14" t="s">
        <v>657</v>
      </c>
      <c r="E87" s="14" t="s">
        <v>621</v>
      </c>
      <c r="F87" s="14">
        <v>2</v>
      </c>
      <c r="I87" s="14" t="s">
        <v>658</v>
      </c>
      <c r="J87" s="14">
        <v>0.7</v>
      </c>
      <c r="K87" s="14" t="s">
        <v>32</v>
      </c>
      <c r="L87" s="14" t="s">
        <v>658</v>
      </c>
      <c r="M87">
        <v>0.7</v>
      </c>
      <c r="N87" s="14" t="s">
        <v>659</v>
      </c>
    </row>
    <row r="88" spans="1:37" x14ac:dyDescent="0.25">
      <c r="A88" t="s">
        <v>660</v>
      </c>
      <c r="B88" s="14" t="s">
        <v>348</v>
      </c>
      <c r="C88" s="14" t="s">
        <v>97</v>
      </c>
      <c r="D88" s="14" t="s">
        <v>661</v>
      </c>
      <c r="E88" s="14" t="s">
        <v>621</v>
      </c>
      <c r="F88" s="14">
        <v>0</v>
      </c>
      <c r="I88" s="14" t="s">
        <v>662</v>
      </c>
      <c r="J88" s="14">
        <v>0.64</v>
      </c>
      <c r="K88" s="14" t="s">
        <v>32</v>
      </c>
      <c r="L88" s="14" t="s">
        <v>662</v>
      </c>
      <c r="M88">
        <v>0.64</v>
      </c>
      <c r="N88" s="14" t="s">
        <v>663</v>
      </c>
    </row>
    <row r="89" spans="1:37" x14ac:dyDescent="0.25">
      <c r="A89" t="s">
        <v>664</v>
      </c>
      <c r="B89" s="14" t="s">
        <v>348</v>
      </c>
      <c r="C89" s="14" t="s">
        <v>604</v>
      </c>
      <c r="D89" s="14" t="s">
        <v>665</v>
      </c>
      <c r="E89" s="14" t="s">
        <v>621</v>
      </c>
      <c r="F89" s="14">
        <v>2</v>
      </c>
      <c r="I89" s="14" t="s">
        <v>666</v>
      </c>
      <c r="J89" s="14">
        <v>0.75</v>
      </c>
      <c r="K89" s="14" t="s">
        <v>32</v>
      </c>
      <c r="L89" s="14" t="s">
        <v>666</v>
      </c>
      <c r="M89">
        <v>0.75</v>
      </c>
      <c r="N89" s="14" t="s">
        <v>667</v>
      </c>
    </row>
    <row r="90" spans="1:37" x14ac:dyDescent="0.25">
      <c r="A90" t="s">
        <v>668</v>
      </c>
      <c r="B90" s="14" t="s">
        <v>348</v>
      </c>
      <c r="C90" s="14" t="s">
        <v>97</v>
      </c>
      <c r="D90" s="14" t="s">
        <v>669</v>
      </c>
      <c r="E90" s="14" t="s">
        <v>621</v>
      </c>
      <c r="F90" s="14">
        <v>0</v>
      </c>
      <c r="I90" s="14" t="s">
        <v>670</v>
      </c>
      <c r="J90" s="14">
        <v>0.84</v>
      </c>
      <c r="K90" s="14" t="s">
        <v>32</v>
      </c>
      <c r="L90" s="14" t="s">
        <v>670</v>
      </c>
      <c r="M90">
        <v>0.84</v>
      </c>
      <c r="N90" s="14" t="s">
        <v>671</v>
      </c>
    </row>
    <row r="91" spans="1:37" x14ac:dyDescent="0.25">
      <c r="A91" t="s">
        <v>672</v>
      </c>
      <c r="B91" s="14" t="s">
        <v>348</v>
      </c>
      <c r="C91" s="14" t="s">
        <v>97</v>
      </c>
      <c r="D91" s="14" t="s">
        <v>673</v>
      </c>
      <c r="E91" s="14" t="s">
        <v>621</v>
      </c>
      <c r="F91" s="14">
        <v>0</v>
      </c>
      <c r="I91" s="14" t="s">
        <v>674</v>
      </c>
      <c r="J91" s="14">
        <v>0.96</v>
      </c>
      <c r="K91" s="14" t="s">
        <v>32</v>
      </c>
      <c r="L91" s="14" t="s">
        <v>674</v>
      </c>
      <c r="M91">
        <v>0.96</v>
      </c>
      <c r="N91" s="14" t="s">
        <v>675</v>
      </c>
    </row>
    <row r="92" spans="1:37" x14ac:dyDescent="0.25">
      <c r="A92" t="s">
        <v>676</v>
      </c>
      <c r="B92" s="14" t="s">
        <v>348</v>
      </c>
      <c r="C92" s="14" t="s">
        <v>97</v>
      </c>
      <c r="D92" s="14" t="s">
        <v>677</v>
      </c>
      <c r="E92" s="14" t="s">
        <v>621</v>
      </c>
      <c r="F92" s="14">
        <v>0</v>
      </c>
      <c r="I92" s="14" t="s">
        <v>678</v>
      </c>
      <c r="J92" s="14">
        <v>1.22</v>
      </c>
      <c r="K92" s="14" t="s">
        <v>32</v>
      </c>
      <c r="L92" s="14" t="s">
        <v>678</v>
      </c>
      <c r="M92">
        <v>1.22</v>
      </c>
      <c r="N92" s="14" t="s">
        <v>679</v>
      </c>
    </row>
    <row r="93" spans="1:37" x14ac:dyDescent="0.25">
      <c r="A93" t="s">
        <v>680</v>
      </c>
      <c r="B93" s="14" t="s">
        <v>348</v>
      </c>
      <c r="C93" s="14" t="s">
        <v>97</v>
      </c>
      <c r="D93" s="14" t="s">
        <v>681</v>
      </c>
      <c r="E93" s="14" t="s">
        <v>621</v>
      </c>
      <c r="F93" s="14">
        <v>0</v>
      </c>
      <c r="I93" s="14" t="s">
        <v>682</v>
      </c>
      <c r="J93" s="14">
        <v>1.31</v>
      </c>
      <c r="K93" s="14" t="s">
        <v>32</v>
      </c>
      <c r="L93" s="14" t="s">
        <v>682</v>
      </c>
      <c r="M93">
        <v>1.31</v>
      </c>
      <c r="N93" s="14" t="s">
        <v>683</v>
      </c>
    </row>
    <row r="94" spans="1:37" x14ac:dyDescent="0.25">
      <c r="A94" t="s">
        <v>684</v>
      </c>
      <c r="B94" s="14" t="s">
        <v>348</v>
      </c>
      <c r="C94" s="14" t="s">
        <v>97</v>
      </c>
      <c r="D94" s="14" t="s">
        <v>685</v>
      </c>
      <c r="E94" s="14" t="s">
        <v>621</v>
      </c>
      <c r="F94" s="14">
        <v>0</v>
      </c>
      <c r="I94" s="14" t="s">
        <v>686</v>
      </c>
      <c r="J94" s="14">
        <v>1.32</v>
      </c>
      <c r="K94" s="14" t="s">
        <v>32</v>
      </c>
      <c r="L94" s="14" t="s">
        <v>686</v>
      </c>
      <c r="M94">
        <v>1.32</v>
      </c>
      <c r="N94" s="14" t="s">
        <v>687</v>
      </c>
    </row>
    <row r="95" spans="1:37" x14ac:dyDescent="0.25">
      <c r="A95" t="s">
        <v>688</v>
      </c>
      <c r="B95" s="14" t="s">
        <v>689</v>
      </c>
      <c r="C95" s="14" t="s">
        <v>97</v>
      </c>
      <c r="D95" s="14" t="s">
        <v>690</v>
      </c>
      <c r="E95" s="14" t="s">
        <v>691</v>
      </c>
      <c r="F95" s="14">
        <v>1</v>
      </c>
      <c r="I95" s="14" t="s">
        <v>692</v>
      </c>
      <c r="J95" s="14">
        <v>6.07</v>
      </c>
      <c r="K95" s="14" t="s">
        <v>32</v>
      </c>
      <c r="L95" s="14" t="s">
        <v>692</v>
      </c>
      <c r="M95">
        <v>6.07</v>
      </c>
      <c r="N95" s="14" t="s">
        <v>693</v>
      </c>
    </row>
    <row r="96" spans="1:37" x14ac:dyDescent="0.25">
      <c r="A96" t="s">
        <v>694</v>
      </c>
      <c r="B96" s="14" t="s">
        <v>695</v>
      </c>
      <c r="C96" s="14" t="s">
        <v>97</v>
      </c>
      <c r="D96" s="14" t="s">
        <v>696</v>
      </c>
      <c r="E96" s="14" t="s">
        <v>697</v>
      </c>
      <c r="F96" s="14">
        <v>100</v>
      </c>
      <c r="G96" s="14">
        <v>10</v>
      </c>
      <c r="H96" s="14">
        <v>1</v>
      </c>
      <c r="I96" s="14">
        <v>9843680</v>
      </c>
      <c r="J96" s="14">
        <v>5.8900000000000001E-2</v>
      </c>
      <c r="K96" s="14" t="s">
        <v>5</v>
      </c>
      <c r="O96" s="14">
        <v>9843680</v>
      </c>
      <c r="P96" s="14">
        <v>5.8900000000000001E-2</v>
      </c>
      <c r="Q96" s="14" t="s">
        <v>698</v>
      </c>
      <c r="AK96" s="14">
        <v>5.8900000000000001E-2</v>
      </c>
    </row>
    <row r="97" spans="1:40" x14ac:dyDescent="0.25">
      <c r="A97" t="s">
        <v>699</v>
      </c>
      <c r="B97" s="14" t="s">
        <v>700</v>
      </c>
      <c r="C97" s="14" t="s">
        <v>97</v>
      </c>
      <c r="D97" s="14" t="s">
        <v>701</v>
      </c>
      <c r="E97" s="14" t="s">
        <v>697</v>
      </c>
      <c r="F97" s="14">
        <v>0</v>
      </c>
      <c r="I97" s="14" t="s">
        <v>702</v>
      </c>
      <c r="J97" s="14">
        <v>0.17</v>
      </c>
      <c r="K97" s="14" t="s">
        <v>32</v>
      </c>
      <c r="L97" s="14" t="s">
        <v>702</v>
      </c>
      <c r="M97">
        <v>0.17</v>
      </c>
      <c r="N97" s="14" t="s">
        <v>703</v>
      </c>
    </row>
    <row r="98" spans="1:40" x14ac:dyDescent="0.25">
      <c r="A98" t="s">
        <v>36</v>
      </c>
      <c r="B98" s="14" t="s">
        <v>704</v>
      </c>
      <c r="C98" s="14" t="s">
        <v>705</v>
      </c>
      <c r="D98" s="14" t="s">
        <v>706</v>
      </c>
      <c r="E98" s="14" t="s">
        <v>707</v>
      </c>
      <c r="F98" s="14">
        <v>10</v>
      </c>
      <c r="I98" s="14">
        <v>2769437</v>
      </c>
      <c r="J98" s="14">
        <v>0.54600000000000004</v>
      </c>
      <c r="K98" s="14" t="s">
        <v>5</v>
      </c>
      <c r="O98" s="14">
        <v>2769437</v>
      </c>
      <c r="P98" s="14">
        <v>0.54600000000000004</v>
      </c>
      <c r="Q98" s="14" t="s">
        <v>708</v>
      </c>
      <c r="AK98" s="14">
        <v>0.54600000000000004</v>
      </c>
    </row>
    <row r="99" spans="1:40" x14ac:dyDescent="0.25">
      <c r="A99" t="s">
        <v>821</v>
      </c>
      <c r="B99" s="14" t="s">
        <v>704</v>
      </c>
      <c r="C99" s="14" t="s">
        <v>822</v>
      </c>
      <c r="D99" s="14" t="s">
        <v>823</v>
      </c>
      <c r="E99" s="14" t="s">
        <v>707</v>
      </c>
      <c r="F99" s="14">
        <v>5</v>
      </c>
      <c r="I99" s="14">
        <v>1103041</v>
      </c>
      <c r="J99" s="14">
        <v>0.68600000000000005</v>
      </c>
      <c r="K99" s="14" t="s">
        <v>5</v>
      </c>
      <c r="O99" s="14">
        <v>1103041</v>
      </c>
      <c r="P99" s="14">
        <v>0.68600000000000005</v>
      </c>
      <c r="Q99" s="14" t="s">
        <v>824</v>
      </c>
      <c r="AK99" s="14">
        <v>0.68600000000000005</v>
      </c>
    </row>
    <row r="100" spans="1:40" x14ac:dyDescent="0.25">
      <c r="A100" t="s">
        <v>2196</v>
      </c>
      <c r="B100" s="14" t="s">
        <v>987</v>
      </c>
      <c r="C100" s="14" t="s">
        <v>2197</v>
      </c>
      <c r="D100" s="14" t="s">
        <v>2198</v>
      </c>
      <c r="E100" s="14" t="s">
        <v>2199</v>
      </c>
      <c r="F100" s="14">
        <v>2</v>
      </c>
      <c r="I100" s="14" t="s">
        <v>2196</v>
      </c>
      <c r="J100" s="14">
        <v>0</v>
      </c>
      <c r="K100" s="14" t="s">
        <v>141</v>
      </c>
      <c r="AM100" s="14" t="s">
        <v>141</v>
      </c>
      <c r="AN100" s="14" t="s">
        <v>2196</v>
      </c>
    </row>
    <row r="101" spans="1:40" x14ac:dyDescent="0.25">
      <c r="A101" t="s">
        <v>2236</v>
      </c>
      <c r="B101" s="14" t="s">
        <v>987</v>
      </c>
      <c r="C101" s="14" t="s">
        <v>2197</v>
      </c>
      <c r="D101" s="14" t="s">
        <v>2237</v>
      </c>
      <c r="E101" s="14" t="s">
        <v>2199</v>
      </c>
      <c r="F101" s="14">
        <v>2</v>
      </c>
      <c r="I101" s="14" t="s">
        <v>2236</v>
      </c>
      <c r="J101" s="14">
        <v>0</v>
      </c>
      <c r="K101" s="14" t="s">
        <v>141</v>
      </c>
      <c r="AM101" s="14" t="s">
        <v>141</v>
      </c>
      <c r="AN101" s="14" t="s">
        <v>2236</v>
      </c>
    </row>
    <row r="102" spans="1:40" x14ac:dyDescent="0.25">
      <c r="A102" t="s">
        <v>722</v>
      </c>
      <c r="B102" s="14" t="s">
        <v>723</v>
      </c>
      <c r="C102" s="14" t="s">
        <v>97</v>
      </c>
      <c r="D102" s="14" t="s">
        <v>724</v>
      </c>
      <c r="E102" s="14" t="s">
        <v>725</v>
      </c>
      <c r="F102" s="14">
        <v>1</v>
      </c>
      <c r="G102" s="14">
        <v>1</v>
      </c>
      <c r="H102" s="14">
        <v>1</v>
      </c>
      <c r="I102" s="14" t="s">
        <v>726</v>
      </c>
      <c r="J102" s="14">
        <v>15.95</v>
      </c>
      <c r="K102" s="14" t="s">
        <v>32</v>
      </c>
      <c r="L102" s="14" t="s">
        <v>726</v>
      </c>
      <c r="M102">
        <v>15.95</v>
      </c>
      <c r="N102" s="14" t="s">
        <v>727</v>
      </c>
    </row>
    <row r="103" spans="1:40" x14ac:dyDescent="0.25">
      <c r="A103" t="s">
        <v>253</v>
      </c>
      <c r="B103" s="14" t="s">
        <v>728</v>
      </c>
      <c r="C103" s="14" t="s">
        <v>729</v>
      </c>
      <c r="D103" s="14" t="s">
        <v>730</v>
      </c>
      <c r="E103" s="14" t="s">
        <v>731</v>
      </c>
      <c r="F103" s="14">
        <v>5</v>
      </c>
      <c r="G103" s="14">
        <v>5</v>
      </c>
      <c r="H103" s="14">
        <v>1</v>
      </c>
      <c r="I103" s="14" t="s">
        <v>732</v>
      </c>
      <c r="J103" s="14">
        <v>0.44</v>
      </c>
      <c r="K103" s="14" t="s">
        <v>32</v>
      </c>
      <c r="L103" s="14" t="s">
        <v>732</v>
      </c>
      <c r="M103">
        <v>0.44</v>
      </c>
      <c r="N103" s="14" t="s">
        <v>733</v>
      </c>
      <c r="X103" s="14" t="s">
        <v>734</v>
      </c>
      <c r="Y103" s="14">
        <v>0.44</v>
      </c>
      <c r="Z103" s="14" t="s">
        <v>735</v>
      </c>
    </row>
    <row r="104" spans="1:40" x14ac:dyDescent="0.25">
      <c r="A104" t="s">
        <v>136</v>
      </c>
      <c r="B104" s="14" t="s">
        <v>728</v>
      </c>
      <c r="C104" s="14" t="s">
        <v>736</v>
      </c>
      <c r="D104" s="14" t="s">
        <v>737</v>
      </c>
      <c r="E104" s="14" t="s">
        <v>731</v>
      </c>
      <c r="F104" s="14">
        <v>9</v>
      </c>
      <c r="G104" s="14">
        <v>5</v>
      </c>
      <c r="H104" s="14">
        <v>1</v>
      </c>
      <c r="I104" s="14" t="s">
        <v>738</v>
      </c>
      <c r="J104" s="14">
        <v>0.34</v>
      </c>
      <c r="K104" s="14" t="s">
        <v>32</v>
      </c>
      <c r="L104" s="14" t="s">
        <v>738</v>
      </c>
      <c r="M104">
        <v>0.34</v>
      </c>
      <c r="N104" s="14" t="s">
        <v>739</v>
      </c>
    </row>
    <row r="105" spans="1:40" x14ac:dyDescent="0.25">
      <c r="A105" t="s">
        <v>740</v>
      </c>
      <c r="B105" s="14" t="s">
        <v>741</v>
      </c>
      <c r="C105" s="14" t="s">
        <v>97</v>
      </c>
      <c r="D105" s="14" t="s">
        <v>742</v>
      </c>
      <c r="E105" s="14" t="s">
        <v>731</v>
      </c>
      <c r="F105" s="14">
        <v>3</v>
      </c>
      <c r="G105" s="14">
        <v>2</v>
      </c>
      <c r="H105" s="14">
        <v>1</v>
      </c>
      <c r="I105" s="14" t="s">
        <v>743</v>
      </c>
      <c r="J105" s="14">
        <v>1.82</v>
      </c>
      <c r="K105" s="14" t="s">
        <v>32</v>
      </c>
      <c r="L105" s="14" t="s">
        <v>743</v>
      </c>
      <c r="M105">
        <v>1.82</v>
      </c>
      <c r="N105" s="14" t="s">
        <v>744</v>
      </c>
    </row>
    <row r="106" spans="1:40" x14ac:dyDescent="0.25">
      <c r="A106">
        <v>431015</v>
      </c>
      <c r="B106" s="14" t="s">
        <v>745</v>
      </c>
      <c r="C106" s="14" t="s">
        <v>97</v>
      </c>
      <c r="D106" s="14" t="s">
        <v>746</v>
      </c>
      <c r="E106" s="14" t="s">
        <v>731</v>
      </c>
      <c r="F106" s="14">
        <v>0</v>
      </c>
      <c r="I106" s="14" t="s">
        <v>747</v>
      </c>
      <c r="J106" s="14">
        <v>0.31</v>
      </c>
      <c r="K106" s="14" t="s">
        <v>137</v>
      </c>
      <c r="U106" s="14" t="s">
        <v>747</v>
      </c>
      <c r="V106" s="14">
        <v>0.31</v>
      </c>
      <c r="W106" s="14" t="s">
        <v>748</v>
      </c>
    </row>
    <row r="107" spans="1:40" x14ac:dyDescent="0.25">
      <c r="A107" t="s">
        <v>760</v>
      </c>
      <c r="B107" s="14" t="s">
        <v>761</v>
      </c>
      <c r="C107" s="14" t="s">
        <v>97</v>
      </c>
      <c r="D107" s="14" t="s">
        <v>762</v>
      </c>
      <c r="E107" s="14" t="s">
        <v>731</v>
      </c>
      <c r="F107" s="14">
        <v>0</v>
      </c>
      <c r="I107" s="14" t="s">
        <v>763</v>
      </c>
      <c r="J107" s="14">
        <v>0.62</v>
      </c>
      <c r="K107" s="14" t="s">
        <v>32</v>
      </c>
      <c r="L107" s="14" t="s">
        <v>763</v>
      </c>
      <c r="M107">
        <v>0.62</v>
      </c>
      <c r="N107" s="14" t="s">
        <v>764</v>
      </c>
    </row>
    <row r="108" spans="1:40" x14ac:dyDescent="0.25">
      <c r="A108" t="s">
        <v>64</v>
      </c>
      <c r="B108" s="14" t="s">
        <v>761</v>
      </c>
      <c r="C108" s="14" t="s">
        <v>765</v>
      </c>
      <c r="D108" s="14" t="s">
        <v>766</v>
      </c>
      <c r="E108" s="14" t="s">
        <v>731</v>
      </c>
      <c r="F108" s="14">
        <v>6</v>
      </c>
      <c r="G108" s="14">
        <v>5</v>
      </c>
      <c r="H108" s="14">
        <v>1</v>
      </c>
      <c r="I108" s="14" t="s">
        <v>767</v>
      </c>
      <c r="J108" s="14">
        <v>0.97</v>
      </c>
      <c r="K108" s="14" t="s">
        <v>32</v>
      </c>
      <c r="L108" s="14" t="s">
        <v>767</v>
      </c>
      <c r="M108">
        <v>0.97</v>
      </c>
      <c r="N108" s="14" t="s">
        <v>768</v>
      </c>
      <c r="X108" s="14" t="s">
        <v>769</v>
      </c>
      <c r="Y108" s="14">
        <v>0.94799999999999995</v>
      </c>
      <c r="Z108" s="14" t="s">
        <v>770</v>
      </c>
    </row>
    <row r="109" spans="1:40" x14ac:dyDescent="0.25">
      <c r="A109" t="s">
        <v>11</v>
      </c>
      <c r="B109" s="14" t="s">
        <v>300</v>
      </c>
      <c r="C109" s="14" t="s">
        <v>2304</v>
      </c>
      <c r="D109" s="14" t="s">
        <v>2305</v>
      </c>
      <c r="E109" s="14" t="s">
        <v>731</v>
      </c>
      <c r="F109" s="14">
        <v>14</v>
      </c>
      <c r="G109" s="14">
        <v>5</v>
      </c>
      <c r="H109" s="14">
        <v>1</v>
      </c>
      <c r="I109" s="14">
        <v>2461217</v>
      </c>
      <c r="J109" s="14">
        <v>0.20200000000000001</v>
      </c>
      <c r="K109" s="14" t="s">
        <v>5</v>
      </c>
      <c r="O109" s="14">
        <v>2461217</v>
      </c>
      <c r="P109" s="14">
        <v>0.20200000000000001</v>
      </c>
      <c r="Q109" s="14" t="s">
        <v>2306</v>
      </c>
      <c r="AK109" s="14">
        <v>0.20200000000000001</v>
      </c>
    </row>
    <row r="110" spans="1:40" x14ac:dyDescent="0.25">
      <c r="A110" t="s">
        <v>2307</v>
      </c>
      <c r="B110" s="14" t="s">
        <v>2308</v>
      </c>
      <c r="C110" s="14" t="s">
        <v>2309</v>
      </c>
      <c r="D110" s="14" t="s">
        <v>2310</v>
      </c>
      <c r="E110" s="14" t="s">
        <v>731</v>
      </c>
      <c r="F110" s="14">
        <v>0.75</v>
      </c>
      <c r="G110" s="14">
        <v>0.25</v>
      </c>
      <c r="H110" s="14">
        <v>1</v>
      </c>
      <c r="I110" s="14" t="s">
        <v>2311</v>
      </c>
      <c r="J110" s="14">
        <v>5.39</v>
      </c>
      <c r="K110" s="14" t="s">
        <v>138</v>
      </c>
      <c r="R110" s="14" t="s">
        <v>2311</v>
      </c>
      <c r="S110" s="14">
        <v>5.39</v>
      </c>
      <c r="T110" s="14" t="s">
        <v>2312</v>
      </c>
      <c r="X110" s="14" t="s">
        <v>2313</v>
      </c>
      <c r="Y110" s="14">
        <v>9.31</v>
      </c>
      <c r="Z110" s="14" t="s">
        <v>2314</v>
      </c>
    </row>
    <row r="111" spans="1:40" x14ac:dyDescent="0.25">
      <c r="A111" t="s">
        <v>771</v>
      </c>
      <c r="B111" s="14" t="s">
        <v>772</v>
      </c>
      <c r="C111" s="14" t="s">
        <v>97</v>
      </c>
      <c r="D111" s="14" t="s">
        <v>773</v>
      </c>
      <c r="E111" s="14" t="s">
        <v>774</v>
      </c>
      <c r="F111" s="14">
        <v>2</v>
      </c>
      <c r="I111" s="14" t="s">
        <v>775</v>
      </c>
      <c r="J111" s="14">
        <v>1.34</v>
      </c>
      <c r="K111" s="14" t="s">
        <v>32</v>
      </c>
      <c r="L111" s="14" t="s">
        <v>775</v>
      </c>
      <c r="M111">
        <v>1.34</v>
      </c>
      <c r="N111" s="14" t="s">
        <v>776</v>
      </c>
      <c r="R111" s="14" t="s">
        <v>777</v>
      </c>
      <c r="S111" s="14">
        <v>1.04</v>
      </c>
      <c r="T111" s="14" t="s">
        <v>778</v>
      </c>
    </row>
    <row r="112" spans="1:40" x14ac:dyDescent="0.25">
      <c r="A112" t="s">
        <v>15</v>
      </c>
      <c r="B112" s="14" t="s">
        <v>319</v>
      </c>
      <c r="C112" s="14" t="s">
        <v>779</v>
      </c>
      <c r="D112" s="14" t="s">
        <v>780</v>
      </c>
      <c r="E112" s="14" t="s">
        <v>774</v>
      </c>
      <c r="F112" s="14">
        <v>6</v>
      </c>
      <c r="G112" s="14">
        <v>5</v>
      </c>
      <c r="H112" s="14">
        <v>1</v>
      </c>
      <c r="I112" s="14" t="s">
        <v>781</v>
      </c>
      <c r="J112" s="14">
        <v>0.52</v>
      </c>
      <c r="K112" s="14" t="s">
        <v>32</v>
      </c>
      <c r="L112" s="14" t="s">
        <v>781</v>
      </c>
      <c r="M112">
        <v>0.52</v>
      </c>
      <c r="N112" s="14" t="s">
        <v>782</v>
      </c>
      <c r="O112" s="14">
        <v>1851909</v>
      </c>
      <c r="P112" s="14">
        <v>0.51600000000000001</v>
      </c>
      <c r="Q112" s="14" t="s">
        <v>783</v>
      </c>
      <c r="AK112" s="14">
        <v>0.51600000000000001</v>
      </c>
    </row>
    <row r="113" spans="1:37" x14ac:dyDescent="0.25">
      <c r="A113" t="s">
        <v>241</v>
      </c>
      <c r="B113" s="14" t="s">
        <v>375</v>
      </c>
      <c r="C113" s="14" t="s">
        <v>784</v>
      </c>
      <c r="D113" s="14" t="s">
        <v>785</v>
      </c>
      <c r="E113" s="14" t="s">
        <v>774</v>
      </c>
      <c r="F113" s="14">
        <v>2</v>
      </c>
      <c r="G113" s="14">
        <v>2</v>
      </c>
      <c r="H113" s="14">
        <v>1</v>
      </c>
      <c r="I113" s="14" t="s">
        <v>786</v>
      </c>
      <c r="J113" s="14">
        <v>2.16</v>
      </c>
      <c r="K113" s="14" t="s">
        <v>32</v>
      </c>
      <c r="L113" s="14" t="s">
        <v>786</v>
      </c>
      <c r="M113">
        <v>2.16</v>
      </c>
      <c r="N113" s="14" t="s">
        <v>787</v>
      </c>
    </row>
    <row r="114" spans="1:37" x14ac:dyDescent="0.25">
      <c r="A114" t="s">
        <v>14</v>
      </c>
      <c r="B114" s="14" t="s">
        <v>319</v>
      </c>
      <c r="C114" s="14" t="s">
        <v>788</v>
      </c>
      <c r="D114" s="14" t="s">
        <v>789</v>
      </c>
      <c r="E114" s="14" t="s">
        <v>774</v>
      </c>
      <c r="F114" s="14">
        <v>6</v>
      </c>
      <c r="G114" s="14">
        <v>1</v>
      </c>
      <c r="H114" s="14">
        <v>1</v>
      </c>
      <c r="I114" s="14">
        <v>1332159</v>
      </c>
      <c r="J114" s="14">
        <v>0.57499999999999996</v>
      </c>
      <c r="K114" s="14" t="s">
        <v>5</v>
      </c>
      <c r="O114" s="14">
        <v>1332159</v>
      </c>
      <c r="P114" s="14">
        <v>0.57499999999999996</v>
      </c>
      <c r="Q114" s="14" t="s">
        <v>790</v>
      </c>
      <c r="AK114" s="14">
        <v>0.57499999999999996</v>
      </c>
    </row>
    <row r="115" spans="1:37" x14ac:dyDescent="0.25">
      <c r="A115" t="s">
        <v>226</v>
      </c>
      <c r="B115" s="14" t="s">
        <v>375</v>
      </c>
      <c r="C115" s="14" t="s">
        <v>791</v>
      </c>
      <c r="D115" s="14" t="s">
        <v>792</v>
      </c>
      <c r="E115" s="14" t="s">
        <v>774</v>
      </c>
      <c r="F115" s="14">
        <v>2</v>
      </c>
      <c r="G115" s="14">
        <v>2</v>
      </c>
      <c r="H115" s="14">
        <v>1</v>
      </c>
      <c r="I115" s="14" t="s">
        <v>793</v>
      </c>
      <c r="J115" s="14">
        <v>0.32</v>
      </c>
      <c r="K115" s="14" t="s">
        <v>32</v>
      </c>
      <c r="L115" s="14" t="s">
        <v>793</v>
      </c>
      <c r="M115">
        <v>0.32</v>
      </c>
      <c r="N115" s="14" t="s">
        <v>794</v>
      </c>
    </row>
    <row r="116" spans="1:37" x14ac:dyDescent="0.25">
      <c r="A116" t="s">
        <v>795</v>
      </c>
      <c r="B116" s="14" t="s">
        <v>796</v>
      </c>
      <c r="C116" s="14" t="s">
        <v>797</v>
      </c>
      <c r="D116" s="14" t="s">
        <v>798</v>
      </c>
      <c r="E116" s="14" t="s">
        <v>774</v>
      </c>
      <c r="F116" s="14">
        <v>4</v>
      </c>
      <c r="I116" s="14" t="s">
        <v>799</v>
      </c>
      <c r="J116" s="14">
        <v>2.64</v>
      </c>
      <c r="K116" s="14" t="s">
        <v>32</v>
      </c>
      <c r="L116" s="14" t="s">
        <v>799</v>
      </c>
      <c r="M116">
        <v>2.64</v>
      </c>
      <c r="N116" s="14" t="s">
        <v>800</v>
      </c>
    </row>
    <row r="117" spans="1:37" x14ac:dyDescent="0.25">
      <c r="A117" t="s">
        <v>801</v>
      </c>
      <c r="B117" s="14" t="s">
        <v>802</v>
      </c>
      <c r="C117" s="14" t="s">
        <v>97</v>
      </c>
      <c r="D117" s="14" t="s">
        <v>803</v>
      </c>
      <c r="E117" s="14" t="s">
        <v>804</v>
      </c>
      <c r="F117" s="14">
        <v>1</v>
      </c>
      <c r="I117" s="14" t="s">
        <v>805</v>
      </c>
      <c r="J117" s="14">
        <v>0.72</v>
      </c>
      <c r="K117" s="14" t="s">
        <v>32</v>
      </c>
      <c r="L117" s="14" t="s">
        <v>805</v>
      </c>
      <c r="M117">
        <v>0.72</v>
      </c>
      <c r="N117" s="14" t="s">
        <v>806</v>
      </c>
    </row>
    <row r="118" spans="1:37" x14ac:dyDescent="0.25">
      <c r="A118" t="s">
        <v>807</v>
      </c>
      <c r="B118" s="14" t="s">
        <v>802</v>
      </c>
      <c r="C118" s="14" t="s">
        <v>97</v>
      </c>
      <c r="D118" s="14" t="s">
        <v>808</v>
      </c>
      <c r="E118" s="14" t="s">
        <v>804</v>
      </c>
      <c r="F118" s="14">
        <v>1</v>
      </c>
      <c r="I118" s="14" t="s">
        <v>809</v>
      </c>
      <c r="J118" s="14">
        <v>0.93</v>
      </c>
      <c r="K118" s="14" t="s">
        <v>32</v>
      </c>
      <c r="L118" s="14" t="s">
        <v>809</v>
      </c>
      <c r="M118">
        <v>0.93</v>
      </c>
      <c r="N118" s="14" t="s">
        <v>810</v>
      </c>
    </row>
    <row r="119" spans="1:37" x14ac:dyDescent="0.25">
      <c r="A119" t="s">
        <v>224</v>
      </c>
      <c r="B119" s="14" t="s">
        <v>342</v>
      </c>
      <c r="C119" s="14" t="s">
        <v>343</v>
      </c>
      <c r="D119" s="14" t="s">
        <v>2448</v>
      </c>
      <c r="E119" s="14" t="s">
        <v>344</v>
      </c>
      <c r="F119" s="14">
        <v>66</v>
      </c>
      <c r="G119" s="14">
        <v>50</v>
      </c>
      <c r="H119" s="14">
        <v>1</v>
      </c>
      <c r="I119" s="14" t="s">
        <v>345</v>
      </c>
      <c r="J119" s="14">
        <v>3.6999999999999998E-2</v>
      </c>
      <c r="K119" s="14" t="s">
        <v>32</v>
      </c>
      <c r="L119" s="14" t="s">
        <v>345</v>
      </c>
      <c r="M119">
        <v>3.6999999999999998E-2</v>
      </c>
      <c r="N119" s="14" t="s">
        <v>346</v>
      </c>
    </row>
    <row r="120" spans="1:37" x14ac:dyDescent="0.25">
      <c r="A120" t="s">
        <v>347</v>
      </c>
      <c r="B120" s="14" t="s">
        <v>348</v>
      </c>
      <c r="C120" s="14" t="s">
        <v>349</v>
      </c>
      <c r="D120" s="14" t="s">
        <v>2449</v>
      </c>
      <c r="E120" s="14" t="s">
        <v>344</v>
      </c>
      <c r="F120" s="14">
        <v>20</v>
      </c>
      <c r="I120" s="14" t="s">
        <v>350</v>
      </c>
      <c r="J120" s="14">
        <v>1.37</v>
      </c>
      <c r="K120" s="14" t="s">
        <v>32</v>
      </c>
      <c r="L120" s="14" t="s">
        <v>350</v>
      </c>
      <c r="M120">
        <v>1.37</v>
      </c>
      <c r="N120" s="14" t="s">
        <v>351</v>
      </c>
    </row>
    <row r="121" spans="1:37" x14ac:dyDescent="0.25">
      <c r="A121" t="s">
        <v>35</v>
      </c>
      <c r="B121" s="14" t="s">
        <v>352</v>
      </c>
      <c r="C121" s="14" t="s">
        <v>353</v>
      </c>
      <c r="D121" s="14" t="s">
        <v>2450</v>
      </c>
      <c r="E121" s="14" t="s">
        <v>344</v>
      </c>
      <c r="F121" s="14">
        <v>100</v>
      </c>
      <c r="I121" s="14" t="s">
        <v>355</v>
      </c>
      <c r="J121" s="14">
        <v>0.26</v>
      </c>
      <c r="K121" s="14" t="s">
        <v>32</v>
      </c>
      <c r="L121" s="14" t="s">
        <v>355</v>
      </c>
      <c r="M121">
        <v>0.26</v>
      </c>
      <c r="N121" s="14" t="s">
        <v>356</v>
      </c>
      <c r="O121" s="14">
        <v>1822174</v>
      </c>
      <c r="P121" s="14">
        <v>0.112</v>
      </c>
      <c r="Q121" s="14" t="s">
        <v>357</v>
      </c>
      <c r="AK121" s="14">
        <v>0.112</v>
      </c>
    </row>
    <row r="122" spans="1:37" x14ac:dyDescent="0.25">
      <c r="A122" t="s">
        <v>825</v>
      </c>
      <c r="B122" s="14" t="s">
        <v>826</v>
      </c>
      <c r="C122" s="14" t="s">
        <v>97</v>
      </c>
      <c r="D122" s="14" t="s">
        <v>827</v>
      </c>
      <c r="E122" s="14" t="s">
        <v>828</v>
      </c>
      <c r="F122" s="14">
        <v>0</v>
      </c>
      <c r="I122" s="14">
        <v>505.411</v>
      </c>
      <c r="J122" s="14">
        <v>3.23</v>
      </c>
      <c r="K122" s="14" t="s">
        <v>138</v>
      </c>
      <c r="R122" s="14">
        <v>505.411</v>
      </c>
      <c r="S122" s="14">
        <v>3.23</v>
      </c>
      <c r="T122" s="14" t="s">
        <v>829</v>
      </c>
    </row>
    <row r="123" spans="1:37" x14ac:dyDescent="0.25">
      <c r="A123" t="s">
        <v>225</v>
      </c>
      <c r="B123" s="14" t="s">
        <v>830</v>
      </c>
      <c r="C123" s="14" t="s">
        <v>831</v>
      </c>
      <c r="D123" s="14" t="s">
        <v>832</v>
      </c>
      <c r="E123" s="14" t="s">
        <v>833</v>
      </c>
      <c r="F123" s="14">
        <v>2</v>
      </c>
      <c r="I123" s="14" t="s">
        <v>834</v>
      </c>
      <c r="J123" s="14">
        <v>0.9</v>
      </c>
      <c r="K123" s="14" t="s">
        <v>32</v>
      </c>
      <c r="L123" s="14" t="s">
        <v>834</v>
      </c>
      <c r="M123">
        <v>0.9</v>
      </c>
      <c r="N123" s="14" t="s">
        <v>835</v>
      </c>
    </row>
    <row r="124" spans="1:37" x14ac:dyDescent="0.25">
      <c r="A124" t="s">
        <v>836</v>
      </c>
      <c r="B124" s="14" t="s">
        <v>723</v>
      </c>
      <c r="C124" s="14" t="s">
        <v>837</v>
      </c>
      <c r="D124" s="14" t="s">
        <v>838</v>
      </c>
      <c r="E124" s="14" t="s">
        <v>833</v>
      </c>
      <c r="F124" s="14">
        <v>1</v>
      </c>
      <c r="I124" s="14" t="s">
        <v>839</v>
      </c>
      <c r="J124" s="14">
        <v>1.82</v>
      </c>
      <c r="K124" s="14" t="s">
        <v>32</v>
      </c>
      <c r="L124" s="14" t="s">
        <v>839</v>
      </c>
      <c r="M124">
        <v>1.82</v>
      </c>
      <c r="N124" s="14" t="s">
        <v>840</v>
      </c>
    </row>
    <row r="125" spans="1:37" x14ac:dyDescent="0.25">
      <c r="A125" t="s">
        <v>841</v>
      </c>
      <c r="B125" s="14" t="s">
        <v>375</v>
      </c>
      <c r="C125" s="14" t="s">
        <v>842</v>
      </c>
      <c r="D125" s="14" t="s">
        <v>843</v>
      </c>
      <c r="E125" s="14" t="s">
        <v>833</v>
      </c>
      <c r="F125" s="14">
        <v>24</v>
      </c>
      <c r="I125" s="14" t="s">
        <v>844</v>
      </c>
      <c r="J125" s="14">
        <v>0.11</v>
      </c>
      <c r="K125" s="14" t="s">
        <v>32</v>
      </c>
      <c r="L125" s="14" t="s">
        <v>844</v>
      </c>
      <c r="M125">
        <v>0.11</v>
      </c>
      <c r="N125" s="14" t="s">
        <v>845</v>
      </c>
    </row>
    <row r="126" spans="1:37" x14ac:dyDescent="0.25">
      <c r="A126" t="s">
        <v>16</v>
      </c>
      <c r="B126" s="14" t="s">
        <v>695</v>
      </c>
      <c r="C126" s="14" t="s">
        <v>846</v>
      </c>
      <c r="D126" s="14" t="s">
        <v>847</v>
      </c>
      <c r="E126" s="14" t="s">
        <v>833</v>
      </c>
      <c r="F126" s="14">
        <v>14</v>
      </c>
      <c r="G126" s="14">
        <v>10</v>
      </c>
      <c r="H126" s="14">
        <v>1</v>
      </c>
      <c r="I126" s="14" t="s">
        <v>848</v>
      </c>
      <c r="J126" s="14">
        <v>0.35</v>
      </c>
      <c r="K126" s="14" t="s">
        <v>32</v>
      </c>
      <c r="L126" s="14" t="s">
        <v>848</v>
      </c>
      <c r="M126">
        <v>0.35</v>
      </c>
      <c r="N126" s="14" t="s">
        <v>849</v>
      </c>
      <c r="O126" s="14">
        <v>2677151</v>
      </c>
      <c r="P126" s="14">
        <v>0.26500000000000001</v>
      </c>
      <c r="Q126" s="14" t="s">
        <v>850</v>
      </c>
      <c r="X126" s="14" t="s">
        <v>851</v>
      </c>
      <c r="Y126" s="14">
        <v>0.33200000000000002</v>
      </c>
      <c r="Z126" s="14" t="s">
        <v>852</v>
      </c>
      <c r="AK126" s="14">
        <v>0.26500000000000001</v>
      </c>
    </row>
    <row r="127" spans="1:37" x14ac:dyDescent="0.25">
      <c r="A127" t="s">
        <v>18</v>
      </c>
      <c r="B127" s="14" t="s">
        <v>300</v>
      </c>
      <c r="C127" s="14" t="s">
        <v>433</v>
      </c>
      <c r="D127" s="14" t="s">
        <v>434</v>
      </c>
      <c r="E127" s="14" t="s">
        <v>435</v>
      </c>
      <c r="F127" s="14">
        <v>3</v>
      </c>
      <c r="G127" s="14">
        <v>2</v>
      </c>
      <c r="H127" s="14">
        <v>1</v>
      </c>
      <c r="I127" s="14">
        <v>2112100</v>
      </c>
      <c r="J127" s="14">
        <v>0.28999999999999998</v>
      </c>
      <c r="K127" s="14" t="s">
        <v>5</v>
      </c>
      <c r="O127" s="14">
        <v>2112100</v>
      </c>
      <c r="P127" s="14">
        <v>0.28999999999999998</v>
      </c>
      <c r="Q127" s="14" t="s">
        <v>436</v>
      </c>
      <c r="AK127" s="14">
        <v>0.28999999999999998</v>
      </c>
    </row>
    <row r="128" spans="1:37" x14ac:dyDescent="0.25">
      <c r="A128" t="s">
        <v>853</v>
      </c>
      <c r="B128" s="14" t="s">
        <v>396</v>
      </c>
      <c r="C128" s="14" t="s">
        <v>854</v>
      </c>
      <c r="D128" s="14" t="s">
        <v>855</v>
      </c>
      <c r="E128" s="14" t="s">
        <v>435</v>
      </c>
      <c r="F128" s="14">
        <v>10</v>
      </c>
      <c r="G128" s="14">
        <v>10</v>
      </c>
      <c r="H128" s="14">
        <v>1</v>
      </c>
      <c r="I128" s="14" t="s">
        <v>856</v>
      </c>
      <c r="J128" s="14">
        <v>0.15</v>
      </c>
      <c r="K128" s="14" t="s">
        <v>32</v>
      </c>
      <c r="L128" s="14" t="s">
        <v>856</v>
      </c>
      <c r="M128">
        <v>0.15</v>
      </c>
      <c r="N128" s="14" t="s">
        <v>857</v>
      </c>
      <c r="X128" s="14" t="s">
        <v>858</v>
      </c>
      <c r="Y128" s="14">
        <v>0.152</v>
      </c>
      <c r="Z128" s="14" t="s">
        <v>859</v>
      </c>
    </row>
    <row r="129" spans="1:45" x14ac:dyDescent="0.25">
      <c r="A129" t="s">
        <v>860</v>
      </c>
      <c r="B129" s="14" t="s">
        <v>396</v>
      </c>
      <c r="C129" s="14" t="s">
        <v>861</v>
      </c>
      <c r="D129" s="14" t="s">
        <v>862</v>
      </c>
      <c r="E129" s="14" t="s">
        <v>435</v>
      </c>
      <c r="F129" s="14">
        <v>10</v>
      </c>
      <c r="G129" s="14">
        <v>10</v>
      </c>
      <c r="H129" s="14">
        <v>1</v>
      </c>
      <c r="I129" s="14" t="s">
        <v>863</v>
      </c>
      <c r="J129" s="14">
        <v>0.14000000000000001</v>
      </c>
      <c r="K129" s="14" t="s">
        <v>32</v>
      </c>
      <c r="L129" s="14" t="s">
        <v>863</v>
      </c>
      <c r="M129">
        <v>0.14000000000000001</v>
      </c>
      <c r="N129" s="14" t="s">
        <v>864</v>
      </c>
      <c r="X129" s="14" t="s">
        <v>865</v>
      </c>
      <c r="Y129" s="14">
        <v>0.14099999999999999</v>
      </c>
      <c r="Z129" s="14" t="s">
        <v>866</v>
      </c>
    </row>
    <row r="130" spans="1:45" x14ac:dyDescent="0.25">
      <c r="A130" t="s">
        <v>57</v>
      </c>
      <c r="B130" s="14" t="s">
        <v>396</v>
      </c>
      <c r="C130" s="14" t="s">
        <v>867</v>
      </c>
      <c r="D130" s="14" t="s">
        <v>868</v>
      </c>
      <c r="E130" s="14" t="s">
        <v>435</v>
      </c>
      <c r="F130" s="14">
        <v>10</v>
      </c>
      <c r="G130" s="14">
        <v>10</v>
      </c>
      <c r="H130" s="14">
        <v>1</v>
      </c>
      <c r="I130" s="14" t="s">
        <v>869</v>
      </c>
      <c r="J130" s="14">
        <v>0.14000000000000001</v>
      </c>
      <c r="K130" s="14" t="s">
        <v>32</v>
      </c>
      <c r="L130" s="14" t="s">
        <v>869</v>
      </c>
      <c r="M130">
        <v>0.14000000000000001</v>
      </c>
      <c r="N130" s="14" t="s">
        <v>870</v>
      </c>
      <c r="X130" s="14" t="s">
        <v>871</v>
      </c>
      <c r="Y130" s="14">
        <v>0.14099999999999999</v>
      </c>
      <c r="Z130" s="14" t="s">
        <v>872</v>
      </c>
    </row>
    <row r="131" spans="1:45" x14ac:dyDescent="0.25">
      <c r="A131" t="s">
        <v>873</v>
      </c>
      <c r="B131" s="14" t="s">
        <v>396</v>
      </c>
      <c r="C131" s="14" t="s">
        <v>874</v>
      </c>
      <c r="D131" s="14" t="s">
        <v>875</v>
      </c>
      <c r="E131" s="14" t="s">
        <v>435</v>
      </c>
      <c r="F131" s="14">
        <v>10</v>
      </c>
      <c r="G131" s="14">
        <v>10</v>
      </c>
      <c r="H131" s="14">
        <v>1</v>
      </c>
      <c r="I131" s="14" t="s">
        <v>876</v>
      </c>
      <c r="J131" s="14">
        <v>0.14000000000000001</v>
      </c>
      <c r="K131" s="14" t="s">
        <v>32</v>
      </c>
      <c r="L131" s="14" t="s">
        <v>876</v>
      </c>
      <c r="M131">
        <v>0.14000000000000001</v>
      </c>
      <c r="N131" s="14" t="s">
        <v>877</v>
      </c>
      <c r="X131" s="14" t="s">
        <v>878</v>
      </c>
      <c r="Y131" s="14">
        <v>0.14099999999999999</v>
      </c>
      <c r="Z131" s="14" t="s">
        <v>879</v>
      </c>
    </row>
    <row r="132" spans="1:45" x14ac:dyDescent="0.25">
      <c r="A132" t="s">
        <v>240</v>
      </c>
      <c r="B132" s="14" t="s">
        <v>396</v>
      </c>
      <c r="C132" s="14" t="s">
        <v>880</v>
      </c>
      <c r="D132" s="14" t="s">
        <v>881</v>
      </c>
      <c r="E132" s="14" t="s">
        <v>435</v>
      </c>
      <c r="F132" s="14">
        <v>8</v>
      </c>
      <c r="I132" s="14" t="s">
        <v>882</v>
      </c>
      <c r="J132" s="14">
        <v>0.17</v>
      </c>
      <c r="K132" s="14" t="s">
        <v>32</v>
      </c>
      <c r="L132" s="14" t="s">
        <v>882</v>
      </c>
      <c r="M132">
        <v>0.17</v>
      </c>
      <c r="N132" s="14" t="s">
        <v>883</v>
      </c>
    </row>
    <row r="133" spans="1:45" x14ac:dyDescent="0.25">
      <c r="A133" t="s">
        <v>39</v>
      </c>
      <c r="B133" s="14" t="s">
        <v>396</v>
      </c>
      <c r="C133" s="14" t="s">
        <v>884</v>
      </c>
      <c r="D133" s="14" t="s">
        <v>885</v>
      </c>
      <c r="E133" s="14" t="s">
        <v>435</v>
      </c>
      <c r="F133" s="14">
        <v>6</v>
      </c>
      <c r="G133" s="14">
        <v>5</v>
      </c>
      <c r="H133" s="14">
        <v>1</v>
      </c>
      <c r="I133" s="14" t="s">
        <v>886</v>
      </c>
      <c r="J133" s="14">
        <v>0.45</v>
      </c>
      <c r="K133" s="14" t="s">
        <v>32</v>
      </c>
      <c r="L133" s="14" t="s">
        <v>886</v>
      </c>
      <c r="M133">
        <v>0.45</v>
      </c>
      <c r="N133" s="14" t="s">
        <v>887</v>
      </c>
      <c r="X133" s="14" t="s">
        <v>888</v>
      </c>
      <c r="Y133" s="14">
        <v>0.44500000000000001</v>
      </c>
      <c r="Z133" s="14" t="s">
        <v>889</v>
      </c>
    </row>
    <row r="134" spans="1:45" x14ac:dyDescent="0.25">
      <c r="A134" t="s">
        <v>58</v>
      </c>
      <c r="B134" s="14" t="s">
        <v>893</v>
      </c>
      <c r="C134" s="14" t="s">
        <v>894</v>
      </c>
      <c r="D134" s="14" t="s">
        <v>895</v>
      </c>
      <c r="E134" s="14" t="s">
        <v>435</v>
      </c>
      <c r="F134" s="14">
        <v>0</v>
      </c>
      <c r="I134" s="14" t="s">
        <v>896</v>
      </c>
      <c r="J134" s="14">
        <v>0.52</v>
      </c>
      <c r="K134" s="14" t="s">
        <v>32</v>
      </c>
      <c r="L134" s="14" t="s">
        <v>896</v>
      </c>
      <c r="M134">
        <v>0.52</v>
      </c>
      <c r="N134" s="14" t="s">
        <v>897</v>
      </c>
      <c r="X134" s="14" t="s">
        <v>898</v>
      </c>
      <c r="Y134" s="14">
        <v>0.39100000000000001</v>
      </c>
      <c r="Z134" s="14" t="s">
        <v>899</v>
      </c>
      <c r="AR134" s="14">
        <v>1</v>
      </c>
      <c r="AS134" s="14" t="s">
        <v>58</v>
      </c>
    </row>
    <row r="135" spans="1:45" x14ac:dyDescent="0.25">
      <c r="A135" t="s">
        <v>900</v>
      </c>
      <c r="B135" s="14" t="s">
        <v>893</v>
      </c>
      <c r="C135" s="14" t="s">
        <v>901</v>
      </c>
      <c r="D135" s="14" t="s">
        <v>902</v>
      </c>
      <c r="E135" s="14" t="s">
        <v>435</v>
      </c>
      <c r="F135" s="14">
        <v>2</v>
      </c>
      <c r="I135" s="14" t="s">
        <v>903</v>
      </c>
      <c r="J135" s="14">
        <v>2.52</v>
      </c>
      <c r="K135" s="14" t="s">
        <v>32</v>
      </c>
      <c r="L135" s="14" t="s">
        <v>903</v>
      </c>
      <c r="M135">
        <v>2.52</v>
      </c>
      <c r="N135" s="14" t="s">
        <v>904</v>
      </c>
    </row>
    <row r="136" spans="1:45" x14ac:dyDescent="0.25">
      <c r="A136" t="s">
        <v>905</v>
      </c>
      <c r="B136" s="14" t="s">
        <v>704</v>
      </c>
      <c r="C136" s="14" t="s">
        <v>906</v>
      </c>
      <c r="D136" s="14" t="s">
        <v>907</v>
      </c>
      <c r="E136" s="14" t="s">
        <v>908</v>
      </c>
      <c r="F136" s="14">
        <v>5</v>
      </c>
      <c r="I136" s="14">
        <v>2334901</v>
      </c>
      <c r="J136" s="14">
        <v>0.27100000000000002</v>
      </c>
      <c r="K136" s="14" t="s">
        <v>5</v>
      </c>
      <c r="O136" s="14">
        <v>2334901</v>
      </c>
      <c r="P136" s="14">
        <v>0.27100000000000002</v>
      </c>
      <c r="Q136" s="14" t="s">
        <v>909</v>
      </c>
      <c r="AK136" s="14">
        <v>0.27100000000000002</v>
      </c>
    </row>
    <row r="137" spans="1:45" x14ac:dyDescent="0.25">
      <c r="A137" t="s">
        <v>8</v>
      </c>
      <c r="B137" s="14" t="s">
        <v>717</v>
      </c>
      <c r="C137" s="14" t="s">
        <v>910</v>
      </c>
      <c r="D137" s="14" t="s">
        <v>911</v>
      </c>
      <c r="E137" s="14" t="s">
        <v>908</v>
      </c>
      <c r="F137" s="14">
        <v>4</v>
      </c>
      <c r="I137" s="14">
        <v>1287598</v>
      </c>
      <c r="J137" s="14">
        <v>0.33100000000000002</v>
      </c>
      <c r="K137" s="14" t="s">
        <v>5</v>
      </c>
      <c r="O137" s="14">
        <v>1287598</v>
      </c>
      <c r="P137" s="14">
        <v>0.33100000000000002</v>
      </c>
      <c r="Q137" s="14" t="s">
        <v>912</v>
      </c>
      <c r="AK137" s="14">
        <v>0.33100000000000002</v>
      </c>
    </row>
    <row r="138" spans="1:45" x14ac:dyDescent="0.25">
      <c r="A138" t="s">
        <v>31</v>
      </c>
      <c r="B138" s="14" t="s">
        <v>375</v>
      </c>
      <c r="C138" s="14" t="s">
        <v>811</v>
      </c>
      <c r="D138" s="14" t="s">
        <v>812</v>
      </c>
      <c r="E138" s="14" t="s">
        <v>813</v>
      </c>
      <c r="F138" s="14">
        <v>2</v>
      </c>
      <c r="I138" s="14" t="s">
        <v>814</v>
      </c>
      <c r="J138" s="14">
        <v>1.57</v>
      </c>
      <c r="K138" s="14" t="s">
        <v>32</v>
      </c>
      <c r="L138" s="14" t="s">
        <v>814</v>
      </c>
      <c r="M138">
        <v>1.57</v>
      </c>
      <c r="N138" s="14" t="s">
        <v>815</v>
      </c>
    </row>
    <row r="139" spans="1:45" x14ac:dyDescent="0.25">
      <c r="A139" t="s">
        <v>816</v>
      </c>
      <c r="B139" s="14" t="s">
        <v>375</v>
      </c>
      <c r="C139" s="14" t="s">
        <v>817</v>
      </c>
      <c r="D139" s="14" t="s">
        <v>818</v>
      </c>
      <c r="E139" s="14" t="s">
        <v>813</v>
      </c>
      <c r="F139" s="14">
        <v>3</v>
      </c>
      <c r="I139" s="14" t="s">
        <v>819</v>
      </c>
      <c r="J139" s="14">
        <v>1.53</v>
      </c>
      <c r="K139" s="14" t="s">
        <v>32</v>
      </c>
      <c r="L139" s="14" t="s">
        <v>819</v>
      </c>
      <c r="M139">
        <v>1.53</v>
      </c>
      <c r="N139" s="14" t="s">
        <v>820</v>
      </c>
    </row>
    <row r="140" spans="1:45" x14ac:dyDescent="0.25">
      <c r="A140" t="s">
        <v>913</v>
      </c>
      <c r="B140" s="14" t="s">
        <v>375</v>
      </c>
      <c r="C140" s="14" t="s">
        <v>914</v>
      </c>
      <c r="D140" s="14" t="s">
        <v>915</v>
      </c>
      <c r="E140" s="14" t="s">
        <v>813</v>
      </c>
      <c r="F140" s="14">
        <v>1</v>
      </c>
      <c r="I140" s="14" t="s">
        <v>916</v>
      </c>
      <c r="J140" s="14">
        <v>0.74</v>
      </c>
      <c r="K140" s="14" t="s">
        <v>32</v>
      </c>
      <c r="L140" s="14" t="s">
        <v>916</v>
      </c>
      <c r="M140">
        <v>0.74</v>
      </c>
      <c r="N140" s="14" t="s">
        <v>917</v>
      </c>
    </row>
    <row r="141" spans="1:45" x14ac:dyDescent="0.25">
      <c r="A141" t="s">
        <v>918</v>
      </c>
      <c r="B141" s="14" t="s">
        <v>375</v>
      </c>
      <c r="C141" s="14" t="s">
        <v>97</v>
      </c>
      <c r="D141" s="14" t="s">
        <v>919</v>
      </c>
      <c r="E141" s="14" t="s">
        <v>813</v>
      </c>
      <c r="F141" s="14">
        <v>0</v>
      </c>
      <c r="I141" s="14" t="s">
        <v>920</v>
      </c>
      <c r="J141" s="14">
        <v>1.02</v>
      </c>
      <c r="K141" s="14" t="s">
        <v>32</v>
      </c>
      <c r="L141" s="14" t="s">
        <v>920</v>
      </c>
      <c r="M141">
        <v>1.02</v>
      </c>
      <c r="N141" s="14" t="s">
        <v>921</v>
      </c>
    </row>
    <row r="142" spans="1:45" x14ac:dyDescent="0.25">
      <c r="A142" t="s">
        <v>40</v>
      </c>
      <c r="B142" s="14" t="s">
        <v>375</v>
      </c>
      <c r="C142" s="14" t="s">
        <v>933</v>
      </c>
      <c r="D142" s="14" t="s">
        <v>934</v>
      </c>
      <c r="E142" s="14" t="s">
        <v>813</v>
      </c>
      <c r="F142" s="14">
        <v>7</v>
      </c>
      <c r="G142" s="14">
        <v>5</v>
      </c>
      <c r="H142" s="14">
        <v>1</v>
      </c>
      <c r="I142" s="14" t="s">
        <v>935</v>
      </c>
      <c r="J142" s="14">
        <v>1.47</v>
      </c>
      <c r="K142" s="14" t="s">
        <v>32</v>
      </c>
      <c r="L142" s="14" t="s">
        <v>935</v>
      </c>
      <c r="M142">
        <v>1.47</v>
      </c>
      <c r="N142" s="14" t="s">
        <v>936</v>
      </c>
    </row>
    <row r="143" spans="1:45" x14ac:dyDescent="0.25">
      <c r="A143" t="s">
        <v>937</v>
      </c>
      <c r="B143" s="14" t="s">
        <v>375</v>
      </c>
      <c r="C143" s="14" t="s">
        <v>938</v>
      </c>
      <c r="D143" s="14" t="s">
        <v>939</v>
      </c>
      <c r="E143" s="14" t="s">
        <v>813</v>
      </c>
      <c r="F143" s="14">
        <v>4</v>
      </c>
      <c r="I143" s="14" t="s">
        <v>940</v>
      </c>
      <c r="J143" s="14">
        <v>0.92</v>
      </c>
      <c r="K143" s="14" t="s">
        <v>32</v>
      </c>
      <c r="L143" s="14" t="s">
        <v>940</v>
      </c>
      <c r="M143">
        <v>0.92</v>
      </c>
      <c r="N143" s="14" t="s">
        <v>941</v>
      </c>
    </row>
    <row r="144" spans="1:45" x14ac:dyDescent="0.25">
      <c r="A144" t="s">
        <v>942</v>
      </c>
      <c r="B144" s="14" t="s">
        <v>375</v>
      </c>
      <c r="C144" s="14" t="s">
        <v>943</v>
      </c>
      <c r="D144" s="14" t="s">
        <v>944</v>
      </c>
      <c r="E144" s="14" t="s">
        <v>813</v>
      </c>
      <c r="F144" s="14">
        <v>3</v>
      </c>
      <c r="I144" s="14" t="s">
        <v>945</v>
      </c>
      <c r="J144" s="14">
        <v>1.43</v>
      </c>
      <c r="K144" s="14" t="s">
        <v>32</v>
      </c>
      <c r="L144" s="14" t="s">
        <v>945</v>
      </c>
      <c r="M144">
        <v>1.43</v>
      </c>
      <c r="N144" s="14" t="s">
        <v>946</v>
      </c>
    </row>
    <row r="145" spans="1:40" x14ac:dyDescent="0.25">
      <c r="A145" t="s">
        <v>135</v>
      </c>
      <c r="B145" s="14" t="s">
        <v>375</v>
      </c>
      <c r="C145" s="14" t="s">
        <v>947</v>
      </c>
      <c r="D145" s="14" t="s">
        <v>948</v>
      </c>
      <c r="E145" s="14" t="s">
        <v>813</v>
      </c>
      <c r="F145" s="14">
        <v>1</v>
      </c>
      <c r="G145" s="14">
        <v>1</v>
      </c>
      <c r="H145" s="14">
        <v>1</v>
      </c>
      <c r="I145" s="14" t="s">
        <v>949</v>
      </c>
      <c r="J145" s="14">
        <v>1.78</v>
      </c>
      <c r="K145" s="14" t="s">
        <v>32</v>
      </c>
      <c r="L145" s="14" t="s">
        <v>949</v>
      </c>
      <c r="M145">
        <v>1.78</v>
      </c>
      <c r="N145" s="14" t="s">
        <v>950</v>
      </c>
    </row>
    <row r="146" spans="1:40" x14ac:dyDescent="0.25">
      <c r="A146" t="s">
        <v>261</v>
      </c>
      <c r="B146" s="14" t="s">
        <v>61</v>
      </c>
      <c r="C146" s="14" t="s">
        <v>97</v>
      </c>
      <c r="D146" s="14" t="s">
        <v>948</v>
      </c>
      <c r="E146" s="14" t="s">
        <v>813</v>
      </c>
      <c r="F146" s="14">
        <v>0</v>
      </c>
      <c r="I146" s="14" t="s">
        <v>951</v>
      </c>
      <c r="J146" s="14">
        <v>1.8</v>
      </c>
      <c r="K146" s="14" t="s">
        <v>32</v>
      </c>
      <c r="L146" s="14" t="s">
        <v>951</v>
      </c>
      <c r="M146">
        <v>1.8</v>
      </c>
      <c r="N146" s="14" t="s">
        <v>952</v>
      </c>
    </row>
    <row r="147" spans="1:40" x14ac:dyDescent="0.25">
      <c r="A147">
        <v>912951</v>
      </c>
      <c r="B147" s="14" t="s">
        <v>29</v>
      </c>
      <c r="C147" s="14" t="s">
        <v>97</v>
      </c>
      <c r="D147" s="14" t="s">
        <v>953</v>
      </c>
      <c r="E147" s="14" t="s">
        <v>954</v>
      </c>
      <c r="F147" s="14">
        <v>0</v>
      </c>
      <c r="I147" s="14">
        <v>912951</v>
      </c>
      <c r="J147" s="14">
        <v>3.43</v>
      </c>
      <c r="K147" s="14" t="s">
        <v>33</v>
      </c>
      <c r="AJ147" s="14">
        <v>912951</v>
      </c>
      <c r="AK147" s="14">
        <v>3.43</v>
      </c>
      <c r="AL147" s="14" t="s">
        <v>955</v>
      </c>
    </row>
    <row r="148" spans="1:40" x14ac:dyDescent="0.25">
      <c r="A148">
        <v>1181876</v>
      </c>
      <c r="B148" s="14" t="s">
        <v>29</v>
      </c>
      <c r="C148" s="14" t="s">
        <v>97</v>
      </c>
      <c r="D148" s="14" t="s">
        <v>956</v>
      </c>
      <c r="E148" s="14" t="s">
        <v>954</v>
      </c>
      <c r="F148" s="14">
        <v>9</v>
      </c>
      <c r="I148" s="14">
        <v>1181876</v>
      </c>
      <c r="J148" s="14">
        <v>3.79</v>
      </c>
      <c r="K148" s="14" t="s">
        <v>33</v>
      </c>
      <c r="AJ148" s="14">
        <v>1181876</v>
      </c>
      <c r="AK148" s="14">
        <v>3.79</v>
      </c>
      <c r="AL148" s="14" t="s">
        <v>957</v>
      </c>
    </row>
    <row r="149" spans="1:40" x14ac:dyDescent="0.25">
      <c r="A149">
        <v>32710723814</v>
      </c>
      <c r="B149" s="14" t="s">
        <v>308</v>
      </c>
      <c r="C149" s="14" t="s">
        <v>97</v>
      </c>
      <c r="D149" s="14" t="s">
        <v>958</v>
      </c>
      <c r="E149" s="14" t="s">
        <v>954</v>
      </c>
      <c r="F149" s="14">
        <v>1</v>
      </c>
      <c r="I149" s="14">
        <v>32710723814</v>
      </c>
      <c r="J149" s="14">
        <v>4.5999999999999996</v>
      </c>
      <c r="K149" s="14" t="s">
        <v>140</v>
      </c>
      <c r="AG149" s="14">
        <v>32710723814</v>
      </c>
      <c r="AH149" s="14">
        <v>4.5999999999999996</v>
      </c>
      <c r="AI149" s="14" t="s">
        <v>959</v>
      </c>
    </row>
    <row r="150" spans="1:40" x14ac:dyDescent="0.25">
      <c r="A150">
        <v>32845056564</v>
      </c>
      <c r="B150" s="14" t="s">
        <v>308</v>
      </c>
      <c r="C150" s="14" t="s">
        <v>97</v>
      </c>
      <c r="D150" s="14" t="s">
        <v>960</v>
      </c>
      <c r="E150" s="14" t="s">
        <v>954</v>
      </c>
      <c r="F150" s="14">
        <v>5</v>
      </c>
      <c r="I150" s="14">
        <v>32845056564</v>
      </c>
      <c r="J150" s="14">
        <v>1.1619999999999999</v>
      </c>
      <c r="K150" s="14" t="s">
        <v>140</v>
      </c>
      <c r="AG150" s="14">
        <v>32845056564</v>
      </c>
      <c r="AH150" s="14">
        <v>1.1619999999999999</v>
      </c>
      <c r="AI150" s="14" t="s">
        <v>961</v>
      </c>
    </row>
    <row r="151" spans="1:40" x14ac:dyDescent="0.25">
      <c r="A151">
        <v>32867696371</v>
      </c>
      <c r="B151" s="14" t="s">
        <v>962</v>
      </c>
      <c r="C151" s="14" t="s">
        <v>97</v>
      </c>
      <c r="D151" s="14" t="s">
        <v>963</v>
      </c>
      <c r="E151" s="14" t="s">
        <v>954</v>
      </c>
      <c r="F151" s="14">
        <v>1</v>
      </c>
      <c r="I151" s="14">
        <v>32867696371</v>
      </c>
      <c r="J151" s="14">
        <v>7.46</v>
      </c>
      <c r="K151" s="14" t="s">
        <v>140</v>
      </c>
      <c r="AG151" s="14">
        <v>32867696371</v>
      </c>
      <c r="AH151" s="14">
        <v>7.46</v>
      </c>
      <c r="AI151" s="14" t="s">
        <v>964</v>
      </c>
    </row>
    <row r="152" spans="1:40" x14ac:dyDescent="0.25">
      <c r="A152" t="s">
        <v>134</v>
      </c>
      <c r="B152" s="14" t="s">
        <v>375</v>
      </c>
      <c r="C152" s="14" t="s">
        <v>965</v>
      </c>
      <c r="D152" s="14" t="s">
        <v>966</v>
      </c>
      <c r="E152" s="14" t="s">
        <v>954</v>
      </c>
      <c r="F152" s="14">
        <v>2</v>
      </c>
      <c r="I152" s="14" t="s">
        <v>967</v>
      </c>
      <c r="J152" s="14">
        <v>7.31</v>
      </c>
      <c r="K152" s="14" t="s">
        <v>32</v>
      </c>
      <c r="L152" s="14" t="s">
        <v>967</v>
      </c>
      <c r="M152">
        <v>7.31</v>
      </c>
      <c r="N152" s="14" t="s">
        <v>968</v>
      </c>
    </row>
    <row r="153" spans="1:40" x14ac:dyDescent="0.25">
      <c r="A153" t="s">
        <v>969</v>
      </c>
      <c r="B153" s="14" t="s">
        <v>375</v>
      </c>
      <c r="C153" s="14" t="s">
        <v>97</v>
      </c>
      <c r="D153" s="14" t="s">
        <v>970</v>
      </c>
      <c r="E153" s="14" t="s">
        <v>954</v>
      </c>
      <c r="F153" s="14">
        <v>0</v>
      </c>
      <c r="I153" s="14" t="s">
        <v>971</v>
      </c>
      <c r="J153" s="14">
        <v>7.17</v>
      </c>
      <c r="K153" s="14" t="s">
        <v>32</v>
      </c>
      <c r="L153" s="14" t="s">
        <v>971</v>
      </c>
      <c r="M153">
        <v>7.17</v>
      </c>
      <c r="N153" s="14" t="s">
        <v>972</v>
      </c>
      <c r="X153" s="14" t="s">
        <v>973</v>
      </c>
      <c r="Y153" s="14">
        <v>7.08</v>
      </c>
      <c r="Z153" s="14" t="s">
        <v>974</v>
      </c>
    </row>
    <row r="154" spans="1:40" x14ac:dyDescent="0.25">
      <c r="A154">
        <v>4689</v>
      </c>
      <c r="B154" s="14" t="s">
        <v>449</v>
      </c>
      <c r="C154" s="14" t="s">
        <v>450</v>
      </c>
      <c r="D154" s="14" t="s">
        <v>2451</v>
      </c>
      <c r="E154" s="14" t="s">
        <v>451</v>
      </c>
      <c r="F154" s="14">
        <v>6</v>
      </c>
      <c r="I154" s="14" t="s">
        <v>452</v>
      </c>
      <c r="J154" s="14">
        <v>0.15</v>
      </c>
      <c r="K154" s="14" t="s">
        <v>32</v>
      </c>
      <c r="L154" s="14" t="s">
        <v>452</v>
      </c>
      <c r="M154">
        <v>0.15</v>
      </c>
      <c r="N154" s="14" t="s">
        <v>453</v>
      </c>
    </row>
    <row r="155" spans="1:40" x14ac:dyDescent="0.25">
      <c r="A155" t="s">
        <v>133</v>
      </c>
      <c r="B155" s="14" t="s">
        <v>375</v>
      </c>
      <c r="C155" s="14" t="s">
        <v>981</v>
      </c>
      <c r="D155" s="14" t="s">
        <v>982</v>
      </c>
      <c r="E155" s="14" t="s">
        <v>983</v>
      </c>
      <c r="F155" s="14">
        <v>3</v>
      </c>
      <c r="I155" s="14" t="s">
        <v>984</v>
      </c>
      <c r="J155" s="14">
        <v>0.93</v>
      </c>
      <c r="K155" s="14" t="s">
        <v>32</v>
      </c>
      <c r="L155" s="14" t="s">
        <v>984</v>
      </c>
      <c r="M155">
        <v>0.93</v>
      </c>
      <c r="N155" s="14" t="s">
        <v>985</v>
      </c>
    </row>
    <row r="156" spans="1:40" x14ac:dyDescent="0.25">
      <c r="A156" t="s">
        <v>986</v>
      </c>
      <c r="B156" s="14" t="s">
        <v>987</v>
      </c>
      <c r="C156" s="14" t="s">
        <v>97</v>
      </c>
      <c r="D156" s="14" t="s">
        <v>988</v>
      </c>
      <c r="E156" s="14" t="s">
        <v>989</v>
      </c>
      <c r="F156" s="14">
        <v>9</v>
      </c>
      <c r="I156" s="14" t="s">
        <v>986</v>
      </c>
      <c r="J156" s="14">
        <v>0</v>
      </c>
      <c r="K156" s="14" t="s">
        <v>141</v>
      </c>
      <c r="AM156" s="14" t="s">
        <v>141</v>
      </c>
      <c r="AN156" s="14" t="s">
        <v>986</v>
      </c>
    </row>
    <row r="157" spans="1:40" x14ac:dyDescent="0.25">
      <c r="A157" t="s">
        <v>990</v>
      </c>
      <c r="B157" s="14" t="s">
        <v>987</v>
      </c>
      <c r="C157" s="14" t="s">
        <v>97</v>
      </c>
      <c r="D157" s="14" t="s">
        <v>991</v>
      </c>
      <c r="E157" s="14" t="s">
        <v>989</v>
      </c>
      <c r="F157" s="14">
        <v>10</v>
      </c>
      <c r="I157" s="14" t="s">
        <v>990</v>
      </c>
      <c r="J157" s="14">
        <v>0</v>
      </c>
      <c r="K157" s="14" t="s">
        <v>141</v>
      </c>
      <c r="AM157" s="14" t="s">
        <v>141</v>
      </c>
      <c r="AN157" s="14" t="s">
        <v>990</v>
      </c>
    </row>
    <row r="158" spans="1:40" x14ac:dyDescent="0.25">
      <c r="A158" t="s">
        <v>94</v>
      </c>
      <c r="B158" s="14" t="s">
        <v>987</v>
      </c>
      <c r="C158" s="14" t="s">
        <v>97</v>
      </c>
      <c r="D158" s="14" t="s">
        <v>992</v>
      </c>
      <c r="E158" s="14" t="s">
        <v>989</v>
      </c>
      <c r="F158" s="14">
        <v>10</v>
      </c>
      <c r="I158" s="14" t="s">
        <v>94</v>
      </c>
      <c r="J158" s="14">
        <v>0</v>
      </c>
      <c r="K158" s="14" t="s">
        <v>141</v>
      </c>
      <c r="AM158" s="14" t="s">
        <v>141</v>
      </c>
      <c r="AN158" s="14" t="s">
        <v>94</v>
      </c>
    </row>
    <row r="159" spans="1:40" x14ac:dyDescent="0.25">
      <c r="A159" t="s">
        <v>227</v>
      </c>
      <c r="B159" s="14" t="s">
        <v>987</v>
      </c>
      <c r="C159" s="14" t="s">
        <v>97</v>
      </c>
      <c r="D159" s="14" t="s">
        <v>993</v>
      </c>
      <c r="E159" s="14" t="s">
        <v>989</v>
      </c>
      <c r="F159" s="14">
        <v>5</v>
      </c>
      <c r="I159" s="14" t="s">
        <v>227</v>
      </c>
      <c r="J159" s="14">
        <v>0</v>
      </c>
      <c r="K159" s="14" t="s">
        <v>141</v>
      </c>
      <c r="AM159" s="14" t="s">
        <v>141</v>
      </c>
      <c r="AN159" s="14" t="s">
        <v>227</v>
      </c>
    </row>
    <row r="160" spans="1:40" x14ac:dyDescent="0.25">
      <c r="A160" t="s">
        <v>994</v>
      </c>
      <c r="B160" s="14" t="s">
        <v>987</v>
      </c>
      <c r="C160" s="14" t="s">
        <v>97</v>
      </c>
      <c r="D160" s="14" t="s">
        <v>995</v>
      </c>
      <c r="E160" s="14" t="s">
        <v>989</v>
      </c>
      <c r="F160" s="14">
        <v>5</v>
      </c>
      <c r="I160" s="14" t="s">
        <v>994</v>
      </c>
      <c r="J160" s="14">
        <v>0</v>
      </c>
      <c r="K160" s="14" t="s">
        <v>141</v>
      </c>
      <c r="AM160" s="14" t="s">
        <v>141</v>
      </c>
      <c r="AN160" s="14" t="s">
        <v>994</v>
      </c>
    </row>
    <row r="161" spans="1:45" x14ac:dyDescent="0.25">
      <c r="A161" t="s">
        <v>263</v>
      </c>
      <c r="B161" s="14" t="s">
        <v>987</v>
      </c>
      <c r="C161" s="14" t="s">
        <v>97</v>
      </c>
      <c r="D161" s="14" t="s">
        <v>996</v>
      </c>
      <c r="E161" s="14" t="s">
        <v>989</v>
      </c>
      <c r="F161" s="14">
        <v>4</v>
      </c>
      <c r="I161" s="14" t="s">
        <v>263</v>
      </c>
      <c r="J161" s="14">
        <v>0</v>
      </c>
      <c r="K161" s="14" t="s">
        <v>141</v>
      </c>
      <c r="AM161" s="14" t="s">
        <v>141</v>
      </c>
      <c r="AN161" s="14" t="s">
        <v>263</v>
      </c>
    </row>
    <row r="162" spans="1:45" x14ac:dyDescent="0.25">
      <c r="A162" t="s">
        <v>997</v>
      </c>
      <c r="B162" s="14" t="s">
        <v>987</v>
      </c>
      <c r="C162" s="14" t="s">
        <v>97</v>
      </c>
      <c r="D162" s="14" t="s">
        <v>998</v>
      </c>
      <c r="E162" s="14" t="s">
        <v>989</v>
      </c>
      <c r="F162" s="14">
        <v>3</v>
      </c>
      <c r="I162" s="14" t="s">
        <v>997</v>
      </c>
      <c r="J162" s="14">
        <v>0</v>
      </c>
      <c r="K162" s="14" t="s">
        <v>141</v>
      </c>
      <c r="AM162" s="14" t="s">
        <v>141</v>
      </c>
      <c r="AN162" s="14" t="s">
        <v>997</v>
      </c>
    </row>
    <row r="163" spans="1:45" x14ac:dyDescent="0.25">
      <c r="A163" t="s">
        <v>93</v>
      </c>
      <c r="B163" s="14" t="s">
        <v>987</v>
      </c>
      <c r="C163" s="14" t="s">
        <v>97</v>
      </c>
      <c r="D163" s="14" t="s">
        <v>999</v>
      </c>
      <c r="E163" s="14" t="s">
        <v>989</v>
      </c>
      <c r="F163" s="14">
        <v>4</v>
      </c>
      <c r="I163" s="14" t="s">
        <v>93</v>
      </c>
      <c r="J163" s="14">
        <v>0</v>
      </c>
      <c r="K163" s="14" t="s">
        <v>141</v>
      </c>
      <c r="AM163" s="14" t="s">
        <v>141</v>
      </c>
      <c r="AN163" s="14" t="s">
        <v>93</v>
      </c>
    </row>
    <row r="164" spans="1:45" x14ac:dyDescent="0.25">
      <c r="A164" t="s">
        <v>1000</v>
      </c>
      <c r="B164" s="14" t="s">
        <v>987</v>
      </c>
      <c r="C164" s="14" t="s">
        <v>97</v>
      </c>
      <c r="D164" s="14" t="s">
        <v>1001</v>
      </c>
      <c r="E164" s="14" t="s">
        <v>989</v>
      </c>
      <c r="F164" s="14">
        <v>5</v>
      </c>
      <c r="I164" s="14" t="s">
        <v>1000</v>
      </c>
      <c r="J164" s="14">
        <v>0</v>
      </c>
      <c r="K164" s="14" t="s">
        <v>141</v>
      </c>
      <c r="AM164" s="14" t="s">
        <v>141</v>
      </c>
      <c r="AN164" s="14" t="s">
        <v>1000</v>
      </c>
    </row>
    <row r="165" spans="1:45" x14ac:dyDescent="0.25">
      <c r="A165" t="s">
        <v>1002</v>
      </c>
      <c r="B165" s="14" t="s">
        <v>987</v>
      </c>
      <c r="C165" s="14" t="s">
        <v>97</v>
      </c>
      <c r="D165" s="14" t="s">
        <v>1003</v>
      </c>
      <c r="E165" s="14" t="s">
        <v>989</v>
      </c>
      <c r="F165" s="14">
        <v>9</v>
      </c>
      <c r="I165" s="14" t="s">
        <v>1002</v>
      </c>
      <c r="J165" s="14">
        <v>0</v>
      </c>
      <c r="K165" s="14" t="s">
        <v>141</v>
      </c>
      <c r="AM165" s="14" t="s">
        <v>141</v>
      </c>
      <c r="AN165" s="14" t="s">
        <v>1002</v>
      </c>
    </row>
    <row r="166" spans="1:45" x14ac:dyDescent="0.25">
      <c r="A166" t="s">
        <v>202</v>
      </c>
      <c r="B166" s="14" t="s">
        <v>987</v>
      </c>
      <c r="C166" s="14" t="s">
        <v>97</v>
      </c>
      <c r="D166" s="14" t="s">
        <v>1004</v>
      </c>
      <c r="E166" s="14" t="s">
        <v>989</v>
      </c>
      <c r="F166" s="14">
        <v>5</v>
      </c>
      <c r="I166" s="14" t="s">
        <v>202</v>
      </c>
      <c r="J166" s="14">
        <v>0</v>
      </c>
      <c r="K166" s="14" t="s">
        <v>141</v>
      </c>
      <c r="AM166" s="14" t="s">
        <v>141</v>
      </c>
      <c r="AN166" s="14" t="s">
        <v>202</v>
      </c>
    </row>
    <row r="167" spans="1:45" x14ac:dyDescent="0.25">
      <c r="A167" t="s">
        <v>262</v>
      </c>
      <c r="B167" s="14" t="s">
        <v>987</v>
      </c>
      <c r="C167" s="14" t="s">
        <v>97</v>
      </c>
      <c r="D167" s="14" t="s">
        <v>1005</v>
      </c>
      <c r="E167" s="14" t="s">
        <v>989</v>
      </c>
      <c r="F167" s="14">
        <v>4</v>
      </c>
      <c r="I167" s="14" t="s">
        <v>262</v>
      </c>
      <c r="J167" s="14">
        <v>0</v>
      </c>
      <c r="K167" s="14" t="s">
        <v>141</v>
      </c>
      <c r="AM167" s="14" t="s">
        <v>141</v>
      </c>
      <c r="AN167" s="14" t="s">
        <v>262</v>
      </c>
    </row>
    <row r="168" spans="1:45" x14ac:dyDescent="0.25">
      <c r="A168" t="s">
        <v>437</v>
      </c>
      <c r="B168" s="14" t="s">
        <v>438</v>
      </c>
      <c r="C168" s="14" t="s">
        <v>433</v>
      </c>
      <c r="D168" s="14" t="s">
        <v>439</v>
      </c>
      <c r="E168" s="14" t="s">
        <v>440</v>
      </c>
      <c r="F168" s="14">
        <v>3</v>
      </c>
      <c r="I168" s="14" t="s">
        <v>441</v>
      </c>
      <c r="J168" s="14">
        <v>1.07</v>
      </c>
      <c r="K168" s="14" t="s">
        <v>32</v>
      </c>
      <c r="L168" s="14" t="s">
        <v>441</v>
      </c>
      <c r="M168">
        <v>1.07</v>
      </c>
      <c r="N168" s="14" t="s">
        <v>442</v>
      </c>
    </row>
    <row r="169" spans="1:45" x14ac:dyDescent="0.25">
      <c r="A169" t="s">
        <v>1011</v>
      </c>
      <c r="B169" s="14" t="s">
        <v>1012</v>
      </c>
      <c r="C169" s="14" t="s">
        <v>97</v>
      </c>
      <c r="D169" s="14" t="s">
        <v>1013</v>
      </c>
      <c r="E169" s="14" t="s">
        <v>1014</v>
      </c>
      <c r="F169" s="14">
        <v>0</v>
      </c>
      <c r="I169" s="14" t="s">
        <v>1015</v>
      </c>
      <c r="J169" s="14">
        <v>6.73</v>
      </c>
      <c r="K169" s="14" t="s">
        <v>138</v>
      </c>
      <c r="R169" s="14" t="s">
        <v>1015</v>
      </c>
      <c r="S169" s="14">
        <v>6.73</v>
      </c>
      <c r="T169" s="14" t="s">
        <v>1016</v>
      </c>
    </row>
    <row r="170" spans="1:45" x14ac:dyDescent="0.25">
      <c r="A170">
        <v>1004068</v>
      </c>
      <c r="B170" s="14" t="s">
        <v>29</v>
      </c>
      <c r="C170" s="14" t="s">
        <v>97</v>
      </c>
      <c r="D170" s="14" t="s">
        <v>1017</v>
      </c>
      <c r="E170" s="14" t="s">
        <v>1018</v>
      </c>
      <c r="F170" s="14">
        <v>0</v>
      </c>
      <c r="I170" s="14">
        <v>1004068</v>
      </c>
      <c r="J170" s="14">
        <v>3.49</v>
      </c>
      <c r="K170" s="14" t="s">
        <v>33</v>
      </c>
      <c r="AJ170" s="14">
        <v>1004068</v>
      </c>
      <c r="AK170" s="14">
        <v>3.49</v>
      </c>
      <c r="AL170" s="14" t="s">
        <v>1019</v>
      </c>
    </row>
    <row r="171" spans="1:45" x14ac:dyDescent="0.25">
      <c r="A171" t="s">
        <v>1020</v>
      </c>
      <c r="B171" s="14" t="s">
        <v>1021</v>
      </c>
      <c r="C171" s="14" t="s">
        <v>97</v>
      </c>
      <c r="D171" s="14" t="s">
        <v>1022</v>
      </c>
      <c r="E171" s="14" t="s">
        <v>1023</v>
      </c>
      <c r="F171" s="14">
        <v>0</v>
      </c>
      <c r="I171" s="14" t="s">
        <v>1024</v>
      </c>
      <c r="J171" s="14">
        <v>2.64</v>
      </c>
      <c r="K171" s="14" t="s">
        <v>32</v>
      </c>
      <c r="L171" s="14" t="s">
        <v>1024</v>
      </c>
      <c r="M171">
        <v>2.64</v>
      </c>
      <c r="N171" s="14" t="s">
        <v>1025</v>
      </c>
    </row>
    <row r="172" spans="1:45" x14ac:dyDescent="0.25">
      <c r="A172" t="s">
        <v>13</v>
      </c>
      <c r="B172" s="14" t="s">
        <v>443</v>
      </c>
      <c r="C172" s="14" t="s">
        <v>1026</v>
      </c>
      <c r="D172" s="14" t="s">
        <v>1027</v>
      </c>
      <c r="E172" s="14" t="s">
        <v>1023</v>
      </c>
      <c r="F172" s="14">
        <v>0</v>
      </c>
      <c r="I172" s="14">
        <v>2682731</v>
      </c>
      <c r="J172" s="14">
        <v>3.64</v>
      </c>
      <c r="K172" s="14" t="s">
        <v>5</v>
      </c>
      <c r="O172" s="14">
        <v>2682731</v>
      </c>
      <c r="P172" s="14">
        <v>3.64</v>
      </c>
      <c r="Q172" s="14" t="s">
        <v>1028</v>
      </c>
      <c r="AR172" s="14">
        <v>1</v>
      </c>
      <c r="AS172" s="14" t="s">
        <v>13</v>
      </c>
    </row>
    <row r="173" spans="1:45" x14ac:dyDescent="0.25">
      <c r="A173" t="s">
        <v>1029</v>
      </c>
      <c r="B173" s="14" t="s">
        <v>1030</v>
      </c>
      <c r="C173" s="14" t="s">
        <v>97</v>
      </c>
      <c r="D173" s="14" t="s">
        <v>1031</v>
      </c>
      <c r="E173" s="14" t="s">
        <v>1023</v>
      </c>
      <c r="F173" s="14">
        <v>1</v>
      </c>
      <c r="I173" s="14" t="s">
        <v>1032</v>
      </c>
      <c r="J173" s="14">
        <v>0.8</v>
      </c>
      <c r="K173" s="14" t="s">
        <v>32</v>
      </c>
      <c r="L173" s="14" t="s">
        <v>1032</v>
      </c>
      <c r="M173">
        <v>0.8</v>
      </c>
      <c r="N173" s="14" t="s">
        <v>1033</v>
      </c>
      <c r="AR173" s="14">
        <v>1</v>
      </c>
      <c r="AS173" s="14" t="s">
        <v>1029</v>
      </c>
    </row>
    <row r="174" spans="1:45" x14ac:dyDescent="0.25">
      <c r="A174" t="s">
        <v>1034</v>
      </c>
      <c r="B174" s="14" t="s">
        <v>1030</v>
      </c>
      <c r="C174" s="14" t="s">
        <v>97</v>
      </c>
      <c r="D174" s="14" t="s">
        <v>1035</v>
      </c>
      <c r="E174" s="14" t="s">
        <v>1023</v>
      </c>
      <c r="F174" s="14">
        <v>0</v>
      </c>
      <c r="I174" s="14" t="s">
        <v>1036</v>
      </c>
      <c r="J174" s="14">
        <v>1.06</v>
      </c>
      <c r="K174" s="14" t="s">
        <v>32</v>
      </c>
      <c r="L174" s="14" t="s">
        <v>1036</v>
      </c>
      <c r="M174">
        <v>1.06</v>
      </c>
      <c r="N174" s="14" t="s">
        <v>1037</v>
      </c>
    </row>
    <row r="175" spans="1:45" x14ac:dyDescent="0.25">
      <c r="A175" t="s">
        <v>1038</v>
      </c>
      <c r="B175" s="14" t="s">
        <v>1030</v>
      </c>
      <c r="C175" s="14" t="s">
        <v>1039</v>
      </c>
      <c r="D175" s="14" t="s">
        <v>1040</v>
      </c>
      <c r="E175" s="14" t="s">
        <v>1023</v>
      </c>
      <c r="F175" s="14">
        <v>4</v>
      </c>
      <c r="I175" s="14" t="s">
        <v>1041</v>
      </c>
      <c r="J175" s="14">
        <v>0.84</v>
      </c>
      <c r="K175" s="14" t="s">
        <v>32</v>
      </c>
      <c r="L175" s="14" t="s">
        <v>1041</v>
      </c>
      <c r="M175">
        <v>0.84</v>
      </c>
      <c r="N175" s="14" t="s">
        <v>1042</v>
      </c>
    </row>
    <row r="176" spans="1:45" x14ac:dyDescent="0.25">
      <c r="A176" t="s">
        <v>755</v>
      </c>
      <c r="B176" s="14" t="s">
        <v>29</v>
      </c>
      <c r="C176" s="14" t="s">
        <v>756</v>
      </c>
      <c r="D176" s="14" t="s">
        <v>757</v>
      </c>
      <c r="E176" s="14" t="s">
        <v>758</v>
      </c>
      <c r="F176" s="14">
        <v>4</v>
      </c>
      <c r="I176" s="14">
        <v>63190092</v>
      </c>
      <c r="J176" s="14">
        <v>1.35</v>
      </c>
      <c r="K176" s="14" t="s">
        <v>266</v>
      </c>
      <c r="AA176" s="14">
        <v>63190092</v>
      </c>
      <c r="AB176" s="14">
        <v>1.35</v>
      </c>
      <c r="AC176" s="14" t="s">
        <v>759</v>
      </c>
      <c r="AM176" s="14" t="s">
        <v>266</v>
      </c>
      <c r="AN176" s="14">
        <v>63190092</v>
      </c>
      <c r="AO176" s="14">
        <v>1.35</v>
      </c>
    </row>
    <row r="177" spans="1:37" x14ac:dyDescent="0.25">
      <c r="A177" t="s">
        <v>219</v>
      </c>
      <c r="B177" s="14" t="s">
        <v>1043</v>
      </c>
      <c r="C177" s="14" t="s">
        <v>1044</v>
      </c>
      <c r="D177" s="14" t="s">
        <v>1045</v>
      </c>
      <c r="E177" s="14" t="s">
        <v>1046</v>
      </c>
      <c r="F177" s="14">
        <v>1</v>
      </c>
      <c r="I177" s="14" t="s">
        <v>1047</v>
      </c>
      <c r="J177" s="14">
        <v>3.72</v>
      </c>
      <c r="K177" s="14" t="s">
        <v>32</v>
      </c>
      <c r="L177" s="14" t="s">
        <v>1047</v>
      </c>
      <c r="M177">
        <v>3.72</v>
      </c>
      <c r="N177" s="14" t="s">
        <v>1048</v>
      </c>
    </row>
    <row r="178" spans="1:37" x14ac:dyDescent="0.25">
      <c r="A178" t="s">
        <v>38</v>
      </c>
      <c r="B178" s="14" t="s">
        <v>1049</v>
      </c>
      <c r="C178" s="14" t="s">
        <v>1050</v>
      </c>
      <c r="D178" s="14" t="s">
        <v>1051</v>
      </c>
      <c r="E178" s="14" t="s">
        <v>1046</v>
      </c>
      <c r="F178" s="14">
        <v>1</v>
      </c>
      <c r="I178" s="14" t="s">
        <v>1052</v>
      </c>
      <c r="J178" s="14">
        <v>4.88</v>
      </c>
      <c r="K178" s="14" t="s">
        <v>32</v>
      </c>
      <c r="L178" s="14" t="s">
        <v>1052</v>
      </c>
      <c r="M178">
        <v>4.88</v>
      </c>
      <c r="N178" s="14" t="s">
        <v>1053</v>
      </c>
    </row>
    <row r="179" spans="1:37" x14ac:dyDescent="0.25">
      <c r="A179" t="s">
        <v>220</v>
      </c>
      <c r="B179" s="14" t="s">
        <v>1043</v>
      </c>
      <c r="C179" s="14" t="s">
        <v>1044</v>
      </c>
      <c r="D179" s="14" t="s">
        <v>1054</v>
      </c>
      <c r="E179" s="14" t="s">
        <v>1046</v>
      </c>
      <c r="F179" s="14">
        <v>1</v>
      </c>
      <c r="I179" s="14" t="s">
        <v>1055</v>
      </c>
      <c r="J179" s="14">
        <v>3.89</v>
      </c>
      <c r="K179" s="14" t="s">
        <v>32</v>
      </c>
      <c r="L179" s="14" t="s">
        <v>1055</v>
      </c>
      <c r="M179">
        <v>3.89</v>
      </c>
      <c r="N179" s="14" t="s">
        <v>1056</v>
      </c>
    </row>
    <row r="180" spans="1:37" x14ac:dyDescent="0.25">
      <c r="A180" t="s">
        <v>1063</v>
      </c>
      <c r="B180" s="14" t="s">
        <v>1064</v>
      </c>
      <c r="C180" s="14" t="s">
        <v>1065</v>
      </c>
      <c r="D180" s="14" t="s">
        <v>1066</v>
      </c>
      <c r="E180" s="14" t="s">
        <v>151</v>
      </c>
      <c r="F180" s="14">
        <v>99</v>
      </c>
      <c r="I180" s="14" t="s">
        <v>1067</v>
      </c>
      <c r="J180" s="14">
        <v>4.8000000000000001E-2</v>
      </c>
      <c r="K180" s="14" t="s">
        <v>32</v>
      </c>
      <c r="L180" s="14" t="s">
        <v>1067</v>
      </c>
      <c r="M180">
        <v>4.8000000000000001E-2</v>
      </c>
      <c r="N180" s="14" t="s">
        <v>1068</v>
      </c>
    </row>
    <row r="181" spans="1:37" x14ac:dyDescent="0.25">
      <c r="A181" t="s">
        <v>53</v>
      </c>
      <c r="B181" s="14" t="s">
        <v>1064</v>
      </c>
      <c r="C181" s="14" t="s">
        <v>1069</v>
      </c>
      <c r="D181" s="14" t="s">
        <v>1070</v>
      </c>
      <c r="E181" s="14" t="s">
        <v>151</v>
      </c>
      <c r="F181" s="14">
        <v>91</v>
      </c>
      <c r="I181" s="14" t="s">
        <v>1071</v>
      </c>
      <c r="J181" s="14">
        <v>1.95E-2</v>
      </c>
      <c r="K181" s="14" t="s">
        <v>32</v>
      </c>
      <c r="L181" s="14" t="s">
        <v>1071</v>
      </c>
      <c r="M181">
        <v>1.95E-2</v>
      </c>
      <c r="N181" s="14" t="s">
        <v>1072</v>
      </c>
    </row>
    <row r="182" spans="1:37" x14ac:dyDescent="0.25">
      <c r="A182" t="s">
        <v>1073</v>
      </c>
      <c r="B182" s="14" t="s">
        <v>1064</v>
      </c>
      <c r="C182" s="14" t="s">
        <v>97</v>
      </c>
      <c r="D182" s="14" t="s">
        <v>1074</v>
      </c>
      <c r="E182" s="14" t="s">
        <v>151</v>
      </c>
      <c r="F182" s="14">
        <v>0</v>
      </c>
      <c r="I182" s="14" t="s">
        <v>1075</v>
      </c>
      <c r="J182" s="14">
        <v>0.48</v>
      </c>
      <c r="K182" s="14" t="s">
        <v>32</v>
      </c>
      <c r="L182" s="14" t="s">
        <v>1075</v>
      </c>
      <c r="M182">
        <v>0.48</v>
      </c>
      <c r="N182" s="14" t="s">
        <v>1076</v>
      </c>
    </row>
    <row r="183" spans="1:37" x14ac:dyDescent="0.25">
      <c r="A183" t="s">
        <v>1077</v>
      </c>
      <c r="B183" s="14" t="s">
        <v>1064</v>
      </c>
      <c r="C183" s="14" t="s">
        <v>97</v>
      </c>
      <c r="D183" s="14" t="s">
        <v>1078</v>
      </c>
      <c r="E183" s="14" t="s">
        <v>151</v>
      </c>
      <c r="F183" s="14">
        <v>0</v>
      </c>
      <c r="I183" s="14" t="s">
        <v>1079</v>
      </c>
      <c r="J183" s="14">
        <v>0.42</v>
      </c>
      <c r="K183" s="14" t="s">
        <v>32</v>
      </c>
      <c r="L183" s="14" t="s">
        <v>1079</v>
      </c>
      <c r="M183">
        <v>0.42</v>
      </c>
      <c r="N183" s="14" t="s">
        <v>1080</v>
      </c>
    </row>
    <row r="184" spans="1:37" x14ac:dyDescent="0.25">
      <c r="A184" t="s">
        <v>218</v>
      </c>
      <c r="B184" s="14" t="s">
        <v>1064</v>
      </c>
      <c r="C184" s="14" t="s">
        <v>1081</v>
      </c>
      <c r="D184" s="14" t="s">
        <v>1082</v>
      </c>
      <c r="E184" s="14" t="s">
        <v>151</v>
      </c>
      <c r="F184" s="14">
        <v>10</v>
      </c>
      <c r="I184" s="14" t="s">
        <v>1083</v>
      </c>
      <c r="J184" s="14">
        <v>0.42</v>
      </c>
      <c r="K184" s="14" t="s">
        <v>32</v>
      </c>
      <c r="L184" s="14" t="s">
        <v>1083</v>
      </c>
      <c r="M184">
        <v>0.42</v>
      </c>
      <c r="N184" s="14" t="s">
        <v>1084</v>
      </c>
    </row>
    <row r="185" spans="1:37" x14ac:dyDescent="0.25">
      <c r="A185" t="s">
        <v>1085</v>
      </c>
      <c r="B185" s="14" t="s">
        <v>1086</v>
      </c>
      <c r="C185" s="14" t="s">
        <v>97</v>
      </c>
      <c r="D185" s="14" t="s">
        <v>1087</v>
      </c>
      <c r="E185" s="14" t="s">
        <v>151</v>
      </c>
      <c r="F185" s="14">
        <v>3</v>
      </c>
      <c r="I185" s="14" t="s">
        <v>1088</v>
      </c>
      <c r="J185" s="14">
        <v>0.31</v>
      </c>
      <c r="K185" s="14" t="s">
        <v>32</v>
      </c>
      <c r="L185" s="14" t="s">
        <v>1088</v>
      </c>
      <c r="M185">
        <v>0.31</v>
      </c>
      <c r="N185" s="14" t="s">
        <v>1089</v>
      </c>
    </row>
    <row r="186" spans="1:37" x14ac:dyDescent="0.25">
      <c r="A186" t="s">
        <v>1090</v>
      </c>
      <c r="B186" s="14" t="s">
        <v>1091</v>
      </c>
      <c r="C186" s="14" t="s">
        <v>1092</v>
      </c>
      <c r="D186" s="14" t="s">
        <v>1093</v>
      </c>
      <c r="E186" s="14" t="s">
        <v>151</v>
      </c>
      <c r="F186" s="14">
        <v>99</v>
      </c>
      <c r="I186" s="14" t="s">
        <v>1094</v>
      </c>
      <c r="J186" s="14">
        <v>8.1000000000000003E-2</v>
      </c>
      <c r="K186" s="14" t="s">
        <v>32</v>
      </c>
      <c r="L186" s="14" t="s">
        <v>1094</v>
      </c>
      <c r="M186">
        <v>8.1000000000000003E-2</v>
      </c>
      <c r="N186" s="14" t="s">
        <v>1095</v>
      </c>
    </row>
    <row r="187" spans="1:37" x14ac:dyDescent="0.25">
      <c r="A187" t="s">
        <v>26</v>
      </c>
      <c r="B187" s="14" t="s">
        <v>1096</v>
      </c>
      <c r="C187" s="14" t="s">
        <v>1097</v>
      </c>
      <c r="D187" s="14" t="s">
        <v>1098</v>
      </c>
      <c r="E187" s="14" t="s">
        <v>151</v>
      </c>
      <c r="F187" s="14">
        <v>19</v>
      </c>
      <c r="I187" s="14">
        <v>2380458</v>
      </c>
      <c r="J187" s="14">
        <v>3.7499999999999999E-2</v>
      </c>
      <c r="K187" s="14" t="s">
        <v>5</v>
      </c>
      <c r="O187" s="14">
        <v>2380458</v>
      </c>
      <c r="P187" s="14">
        <v>3.7499999999999999E-2</v>
      </c>
      <c r="Q187" s="14" t="s">
        <v>1099</v>
      </c>
      <c r="AK187" s="14">
        <v>3.7499999999999999E-2</v>
      </c>
    </row>
    <row r="188" spans="1:37" x14ac:dyDescent="0.25">
      <c r="A188" t="s">
        <v>178</v>
      </c>
      <c r="B188" s="14" t="s">
        <v>168</v>
      </c>
      <c r="C188" s="14" t="s">
        <v>97</v>
      </c>
      <c r="D188" s="14" t="s">
        <v>179</v>
      </c>
      <c r="E188" s="14" t="s">
        <v>151</v>
      </c>
      <c r="F188" s="14">
        <v>0</v>
      </c>
      <c r="I188" s="14" t="s">
        <v>177</v>
      </c>
      <c r="J188" s="14">
        <v>0.13</v>
      </c>
      <c r="K188" s="14" t="s">
        <v>32</v>
      </c>
      <c r="L188" s="14" t="s">
        <v>177</v>
      </c>
      <c r="M188">
        <v>0.13</v>
      </c>
      <c r="N188" s="14" t="s">
        <v>1100</v>
      </c>
      <c r="X188" s="14" t="s">
        <v>1101</v>
      </c>
      <c r="Y188" s="14">
        <v>0.11700000000000001</v>
      </c>
      <c r="Z188" s="14" t="s">
        <v>1102</v>
      </c>
    </row>
    <row r="189" spans="1:37" x14ac:dyDescent="0.25">
      <c r="A189" t="s">
        <v>1103</v>
      </c>
      <c r="B189" s="14" t="s">
        <v>168</v>
      </c>
      <c r="C189" s="14" t="s">
        <v>1104</v>
      </c>
      <c r="D189" s="14" t="s">
        <v>1105</v>
      </c>
      <c r="E189" s="14" t="s">
        <v>151</v>
      </c>
      <c r="F189" s="14">
        <v>10</v>
      </c>
      <c r="G189" s="14">
        <v>10</v>
      </c>
      <c r="H189" s="14">
        <v>1</v>
      </c>
      <c r="I189" s="14" t="s">
        <v>1106</v>
      </c>
      <c r="J189" s="14">
        <v>0.13</v>
      </c>
      <c r="K189" s="14" t="s">
        <v>32</v>
      </c>
      <c r="L189" s="14" t="s">
        <v>1106</v>
      </c>
      <c r="M189">
        <v>0.13</v>
      </c>
      <c r="N189" s="14" t="s">
        <v>1107</v>
      </c>
      <c r="X189" s="14" t="s">
        <v>1108</v>
      </c>
      <c r="Y189" s="14">
        <v>0.11700000000000001</v>
      </c>
      <c r="Z189" s="14" t="s">
        <v>1109</v>
      </c>
    </row>
    <row r="190" spans="1:37" x14ac:dyDescent="0.25">
      <c r="A190" t="s">
        <v>1110</v>
      </c>
      <c r="B190" s="14" t="s">
        <v>168</v>
      </c>
      <c r="C190" s="14" t="s">
        <v>1111</v>
      </c>
      <c r="D190" s="14" t="s">
        <v>1112</v>
      </c>
      <c r="E190" s="14" t="s">
        <v>151</v>
      </c>
      <c r="F190" s="14">
        <v>10</v>
      </c>
      <c r="G190" s="14">
        <v>10</v>
      </c>
      <c r="H190" s="14">
        <v>1</v>
      </c>
      <c r="I190" s="14" t="s">
        <v>1113</v>
      </c>
      <c r="J190" s="14">
        <v>0.13</v>
      </c>
      <c r="K190" s="14" t="s">
        <v>32</v>
      </c>
      <c r="L190" s="14" t="s">
        <v>1113</v>
      </c>
      <c r="M190">
        <v>0.13</v>
      </c>
      <c r="N190" s="14" t="s">
        <v>1114</v>
      </c>
      <c r="X190" s="14" t="s">
        <v>1115</v>
      </c>
      <c r="Y190" s="14">
        <v>0.11700000000000001</v>
      </c>
      <c r="Z190" s="14" t="s">
        <v>1116</v>
      </c>
    </row>
    <row r="191" spans="1:37" x14ac:dyDescent="0.25">
      <c r="A191" t="s">
        <v>1117</v>
      </c>
      <c r="B191" s="14" t="s">
        <v>168</v>
      </c>
      <c r="C191" s="14" t="s">
        <v>97</v>
      </c>
      <c r="D191" s="14" t="s">
        <v>1118</v>
      </c>
      <c r="E191" s="14" t="s">
        <v>151</v>
      </c>
      <c r="F191" s="14">
        <v>0</v>
      </c>
      <c r="I191" s="14" t="s">
        <v>1119</v>
      </c>
      <c r="J191" s="14">
        <v>0.1</v>
      </c>
      <c r="K191" s="14" t="s">
        <v>32</v>
      </c>
      <c r="L191" s="14" t="s">
        <v>1119</v>
      </c>
      <c r="M191">
        <v>0.1</v>
      </c>
      <c r="N191" s="14" t="s">
        <v>1120</v>
      </c>
      <c r="X191" s="14" t="s">
        <v>1121</v>
      </c>
      <c r="Y191" s="14">
        <v>9.8000000000000004E-2</v>
      </c>
      <c r="Z191" s="14" t="s">
        <v>1122</v>
      </c>
    </row>
    <row r="192" spans="1:37" x14ac:dyDescent="0.25">
      <c r="A192" t="s">
        <v>1123</v>
      </c>
      <c r="B192" s="14" t="s">
        <v>168</v>
      </c>
      <c r="C192" s="14" t="s">
        <v>97</v>
      </c>
      <c r="D192" s="14" t="s">
        <v>1124</v>
      </c>
      <c r="E192" s="14" t="s">
        <v>151</v>
      </c>
      <c r="F192" s="14">
        <v>0</v>
      </c>
      <c r="I192" s="14" t="s">
        <v>1125</v>
      </c>
      <c r="J192" s="14">
        <v>0.1</v>
      </c>
      <c r="K192" s="14" t="s">
        <v>32</v>
      </c>
      <c r="L192" s="14" t="s">
        <v>1125</v>
      </c>
      <c r="M192">
        <v>0.1</v>
      </c>
      <c r="N192" s="14" t="s">
        <v>1126</v>
      </c>
      <c r="X192" s="14" t="s">
        <v>1127</v>
      </c>
      <c r="Y192" s="14">
        <v>9.8000000000000004E-2</v>
      </c>
      <c r="Z192" s="14" t="s">
        <v>1128</v>
      </c>
    </row>
    <row r="193" spans="1:26" x14ac:dyDescent="0.25">
      <c r="A193" t="s">
        <v>176</v>
      </c>
      <c r="B193" s="14" t="s">
        <v>168</v>
      </c>
      <c r="C193" s="14" t="s">
        <v>1129</v>
      </c>
      <c r="D193" s="14" t="s">
        <v>1130</v>
      </c>
      <c r="E193" s="14" t="s">
        <v>151</v>
      </c>
      <c r="F193" s="14">
        <v>90</v>
      </c>
      <c r="G193" s="14">
        <v>10</v>
      </c>
      <c r="H193" s="14">
        <v>1</v>
      </c>
      <c r="I193" s="14" t="s">
        <v>1131</v>
      </c>
      <c r="J193" s="14">
        <v>0.1</v>
      </c>
      <c r="K193" s="14" t="s">
        <v>32</v>
      </c>
      <c r="L193" s="14" t="s">
        <v>1131</v>
      </c>
      <c r="M193">
        <v>0.1</v>
      </c>
      <c r="N193" s="14" t="s">
        <v>1132</v>
      </c>
      <c r="X193" s="14" t="s">
        <v>1133</v>
      </c>
      <c r="Y193" s="14">
        <v>9.8000000000000004E-2</v>
      </c>
      <c r="Z193" s="14" t="s">
        <v>1134</v>
      </c>
    </row>
    <row r="194" spans="1:26" x14ac:dyDescent="0.25">
      <c r="A194" t="s">
        <v>180</v>
      </c>
      <c r="B194" s="14" t="s">
        <v>168</v>
      </c>
      <c r="C194" s="14" t="s">
        <v>1135</v>
      </c>
      <c r="D194" s="14" t="s">
        <v>1136</v>
      </c>
      <c r="E194" s="14" t="s">
        <v>151</v>
      </c>
      <c r="F194" s="14">
        <v>9</v>
      </c>
      <c r="I194" s="14" t="s">
        <v>1137</v>
      </c>
      <c r="J194" s="14">
        <v>8.4000000000000005E-2</v>
      </c>
      <c r="K194" s="14" t="s">
        <v>32</v>
      </c>
      <c r="L194" s="14" t="s">
        <v>1137</v>
      </c>
      <c r="M194">
        <v>8.4000000000000005E-2</v>
      </c>
      <c r="N194" s="14" t="s">
        <v>1138</v>
      </c>
      <c r="X194" s="14" t="s">
        <v>1139</v>
      </c>
      <c r="Y194" s="14">
        <v>9.8000000000000004E-2</v>
      </c>
      <c r="Z194" s="14" t="s">
        <v>1140</v>
      </c>
    </row>
    <row r="195" spans="1:26" x14ac:dyDescent="0.25">
      <c r="A195" t="s">
        <v>1141</v>
      </c>
      <c r="B195" s="14" t="s">
        <v>168</v>
      </c>
      <c r="C195" s="14" t="s">
        <v>97</v>
      </c>
      <c r="D195" s="14" t="s">
        <v>1142</v>
      </c>
      <c r="E195" s="14" t="s">
        <v>151</v>
      </c>
      <c r="F195" s="14">
        <v>0</v>
      </c>
      <c r="I195" s="14" t="s">
        <v>1143</v>
      </c>
      <c r="J195" s="14">
        <v>0.1</v>
      </c>
      <c r="K195" s="14" t="s">
        <v>32</v>
      </c>
      <c r="L195" s="14" t="s">
        <v>1143</v>
      </c>
      <c r="M195">
        <v>0.1</v>
      </c>
      <c r="N195" s="14" t="s">
        <v>1144</v>
      </c>
      <c r="X195" s="14" t="s">
        <v>1145</v>
      </c>
      <c r="Y195" s="14">
        <v>9.8000000000000004E-2</v>
      </c>
      <c r="Z195" s="14" t="s">
        <v>1146</v>
      </c>
    </row>
    <row r="196" spans="1:26" x14ac:dyDescent="0.25">
      <c r="A196" t="s">
        <v>189</v>
      </c>
      <c r="B196" s="14" t="s">
        <v>168</v>
      </c>
      <c r="C196" s="14" t="s">
        <v>1147</v>
      </c>
      <c r="D196" s="14" t="s">
        <v>1148</v>
      </c>
      <c r="E196" s="14" t="s">
        <v>151</v>
      </c>
      <c r="F196" s="14">
        <v>8</v>
      </c>
      <c r="I196" s="14" t="s">
        <v>1149</v>
      </c>
      <c r="J196" s="14">
        <v>0.1</v>
      </c>
      <c r="K196" s="14" t="s">
        <v>32</v>
      </c>
      <c r="L196" s="14" t="s">
        <v>1149</v>
      </c>
      <c r="M196">
        <v>0.1</v>
      </c>
      <c r="N196" s="14" t="s">
        <v>1150</v>
      </c>
      <c r="X196" s="14" t="s">
        <v>1151</v>
      </c>
      <c r="Y196" s="14">
        <v>9.8000000000000004E-2</v>
      </c>
      <c r="Z196" s="14" t="s">
        <v>1152</v>
      </c>
    </row>
    <row r="197" spans="1:26" x14ac:dyDescent="0.25">
      <c r="A197" t="s">
        <v>1153</v>
      </c>
      <c r="B197" s="14" t="s">
        <v>168</v>
      </c>
      <c r="C197" s="14" t="s">
        <v>97</v>
      </c>
      <c r="D197" s="14" t="s">
        <v>1154</v>
      </c>
      <c r="E197" s="14" t="s">
        <v>151</v>
      </c>
      <c r="F197" s="14">
        <v>0</v>
      </c>
      <c r="I197" s="14" t="s">
        <v>1155</v>
      </c>
      <c r="J197" s="14">
        <v>0.1</v>
      </c>
      <c r="K197" s="14" t="s">
        <v>32</v>
      </c>
      <c r="L197" s="14" t="s">
        <v>1155</v>
      </c>
      <c r="M197">
        <v>0.1</v>
      </c>
      <c r="N197" s="14" t="s">
        <v>1156</v>
      </c>
      <c r="X197" s="14" t="s">
        <v>1157</v>
      </c>
      <c r="Y197" s="14">
        <v>9.8000000000000004E-2</v>
      </c>
      <c r="Z197" s="14" t="s">
        <v>1158</v>
      </c>
    </row>
    <row r="198" spans="1:26" x14ac:dyDescent="0.25">
      <c r="A198" t="s">
        <v>1159</v>
      </c>
      <c r="B198" s="14" t="s">
        <v>168</v>
      </c>
      <c r="C198" s="14" t="s">
        <v>97</v>
      </c>
      <c r="D198" s="14" t="s">
        <v>1160</v>
      </c>
      <c r="E198" s="14" t="s">
        <v>151</v>
      </c>
      <c r="F198" s="14">
        <v>0</v>
      </c>
      <c r="I198" s="14" t="s">
        <v>1161</v>
      </c>
      <c r="J198" s="14">
        <v>0.1</v>
      </c>
      <c r="K198" s="14" t="s">
        <v>32</v>
      </c>
      <c r="L198" s="14" t="s">
        <v>1161</v>
      </c>
      <c r="M198">
        <v>0.1</v>
      </c>
      <c r="N198" s="14" t="s">
        <v>1162</v>
      </c>
      <c r="X198" s="14" t="s">
        <v>1163</v>
      </c>
      <c r="Y198" s="14">
        <v>9.8000000000000004E-2</v>
      </c>
      <c r="Z198" s="14" t="s">
        <v>1164</v>
      </c>
    </row>
    <row r="199" spans="1:26" x14ac:dyDescent="0.25">
      <c r="A199" t="s">
        <v>1165</v>
      </c>
      <c r="B199" s="14" t="s">
        <v>168</v>
      </c>
      <c r="C199" s="14" t="s">
        <v>97</v>
      </c>
      <c r="D199" s="14" t="s">
        <v>1166</v>
      </c>
      <c r="E199" s="14" t="s">
        <v>151</v>
      </c>
      <c r="F199" s="14">
        <v>0</v>
      </c>
      <c r="I199" s="14" t="s">
        <v>1167</v>
      </c>
      <c r="J199" s="14">
        <v>0.1</v>
      </c>
      <c r="K199" s="14" t="s">
        <v>32</v>
      </c>
      <c r="L199" s="14" t="s">
        <v>1167</v>
      </c>
      <c r="M199">
        <v>0.1</v>
      </c>
      <c r="N199" s="14" t="s">
        <v>1168</v>
      </c>
      <c r="X199" s="14" t="s">
        <v>1169</v>
      </c>
      <c r="Y199" s="14">
        <v>9.8000000000000004E-2</v>
      </c>
      <c r="Z199" s="14" t="s">
        <v>1170</v>
      </c>
    </row>
    <row r="200" spans="1:26" x14ac:dyDescent="0.25">
      <c r="A200" t="s">
        <v>1171</v>
      </c>
      <c r="B200" s="14" t="s">
        <v>168</v>
      </c>
      <c r="C200" s="14" t="s">
        <v>97</v>
      </c>
      <c r="D200" s="14" t="s">
        <v>1172</v>
      </c>
      <c r="E200" s="14" t="s">
        <v>151</v>
      </c>
      <c r="F200" s="14">
        <v>0</v>
      </c>
      <c r="I200" s="14" t="s">
        <v>1173</v>
      </c>
      <c r="J200" s="14">
        <v>0.1</v>
      </c>
      <c r="K200" s="14" t="s">
        <v>32</v>
      </c>
      <c r="L200" s="14" t="s">
        <v>1173</v>
      </c>
      <c r="M200">
        <v>0.1</v>
      </c>
      <c r="N200" s="14" t="s">
        <v>1174</v>
      </c>
      <c r="X200" s="14" t="s">
        <v>1175</v>
      </c>
      <c r="Y200" s="14">
        <v>9.8000000000000004E-2</v>
      </c>
      <c r="Z200" s="14" t="s">
        <v>1176</v>
      </c>
    </row>
    <row r="201" spans="1:26" x14ac:dyDescent="0.25">
      <c r="A201" t="s">
        <v>1177</v>
      </c>
      <c r="B201" s="14" t="s">
        <v>168</v>
      </c>
      <c r="C201" s="14" t="s">
        <v>97</v>
      </c>
      <c r="D201" s="14" t="s">
        <v>1178</v>
      </c>
      <c r="E201" s="14" t="s">
        <v>151</v>
      </c>
      <c r="F201" s="14">
        <v>0</v>
      </c>
      <c r="I201" s="14" t="s">
        <v>1179</v>
      </c>
      <c r="J201" s="14">
        <v>0.1</v>
      </c>
      <c r="K201" s="14" t="s">
        <v>32</v>
      </c>
      <c r="L201" s="14" t="s">
        <v>1179</v>
      </c>
      <c r="M201">
        <v>0.1</v>
      </c>
      <c r="N201" s="14" t="s">
        <v>1180</v>
      </c>
      <c r="X201" s="14" t="s">
        <v>1181</v>
      </c>
      <c r="Y201" s="14">
        <v>9.8000000000000004E-2</v>
      </c>
      <c r="Z201" s="14" t="s">
        <v>1182</v>
      </c>
    </row>
    <row r="202" spans="1:26" x14ac:dyDescent="0.25">
      <c r="A202" t="s">
        <v>1183</v>
      </c>
      <c r="B202" s="14" t="s">
        <v>168</v>
      </c>
      <c r="C202" s="14" t="s">
        <v>97</v>
      </c>
      <c r="D202" s="14" t="s">
        <v>1184</v>
      </c>
      <c r="E202" s="14" t="s">
        <v>151</v>
      </c>
      <c r="F202" s="14">
        <v>0</v>
      </c>
      <c r="I202" s="14" t="s">
        <v>1185</v>
      </c>
      <c r="J202" s="14">
        <v>0.1</v>
      </c>
      <c r="K202" s="14" t="s">
        <v>32</v>
      </c>
      <c r="L202" s="14" t="s">
        <v>1185</v>
      </c>
      <c r="M202">
        <v>0.1</v>
      </c>
      <c r="N202" s="14" t="s">
        <v>1186</v>
      </c>
      <c r="X202" s="14" t="s">
        <v>1187</v>
      </c>
      <c r="Y202" s="14">
        <v>9.8000000000000004E-2</v>
      </c>
      <c r="Z202" s="14" t="s">
        <v>1188</v>
      </c>
    </row>
    <row r="203" spans="1:26" x14ac:dyDescent="0.25">
      <c r="A203" t="s">
        <v>1189</v>
      </c>
      <c r="B203" s="14" t="s">
        <v>168</v>
      </c>
      <c r="C203" s="14" t="s">
        <v>97</v>
      </c>
      <c r="D203" s="14" t="s">
        <v>1190</v>
      </c>
      <c r="E203" s="14" t="s">
        <v>151</v>
      </c>
      <c r="F203" s="14">
        <v>0</v>
      </c>
      <c r="I203" s="14" t="s">
        <v>1191</v>
      </c>
      <c r="J203" s="14">
        <v>0.1</v>
      </c>
      <c r="K203" s="14" t="s">
        <v>32</v>
      </c>
      <c r="L203" s="14" t="s">
        <v>1191</v>
      </c>
      <c r="M203">
        <v>0.1</v>
      </c>
      <c r="N203" s="14" t="s">
        <v>1192</v>
      </c>
      <c r="X203" s="14" t="s">
        <v>1193</v>
      </c>
      <c r="Y203" s="14">
        <v>9.8000000000000004E-2</v>
      </c>
      <c r="Z203" s="14" t="s">
        <v>1194</v>
      </c>
    </row>
    <row r="204" spans="1:26" x14ac:dyDescent="0.25">
      <c r="A204" t="s">
        <v>1195</v>
      </c>
      <c r="B204" s="14" t="s">
        <v>168</v>
      </c>
      <c r="C204" s="14" t="s">
        <v>97</v>
      </c>
      <c r="D204" s="14" t="s">
        <v>1196</v>
      </c>
      <c r="E204" s="14" t="s">
        <v>151</v>
      </c>
      <c r="F204" s="14">
        <v>0</v>
      </c>
      <c r="I204" s="14" t="s">
        <v>1197</v>
      </c>
      <c r="J204" s="14">
        <v>0.1</v>
      </c>
      <c r="K204" s="14" t="s">
        <v>32</v>
      </c>
      <c r="L204" s="14" t="s">
        <v>1197</v>
      </c>
      <c r="M204">
        <v>0.1</v>
      </c>
      <c r="N204" s="14" t="s">
        <v>1198</v>
      </c>
      <c r="X204" s="14" t="s">
        <v>1199</v>
      </c>
      <c r="Y204" s="14">
        <v>9.8000000000000004E-2</v>
      </c>
      <c r="Z204" s="14" t="s">
        <v>1200</v>
      </c>
    </row>
    <row r="205" spans="1:26" x14ac:dyDescent="0.25">
      <c r="A205" t="s">
        <v>182</v>
      </c>
      <c r="B205" s="14" t="s">
        <v>168</v>
      </c>
      <c r="C205" s="14" t="s">
        <v>1201</v>
      </c>
      <c r="D205" s="14" t="s">
        <v>1202</v>
      </c>
      <c r="E205" s="14" t="s">
        <v>151</v>
      </c>
      <c r="F205" s="14">
        <v>8</v>
      </c>
      <c r="I205" s="14" t="s">
        <v>1203</v>
      </c>
      <c r="J205" s="14">
        <v>0.1</v>
      </c>
      <c r="K205" s="14" t="s">
        <v>32</v>
      </c>
      <c r="L205" s="14" t="s">
        <v>1203</v>
      </c>
      <c r="M205">
        <v>0.1</v>
      </c>
      <c r="N205" s="14" t="s">
        <v>1204</v>
      </c>
      <c r="X205" s="14" t="s">
        <v>1205</v>
      </c>
      <c r="Y205" s="14">
        <v>9.8000000000000004E-2</v>
      </c>
      <c r="Z205" s="14" t="s">
        <v>1206</v>
      </c>
    </row>
    <row r="206" spans="1:26" x14ac:dyDescent="0.25">
      <c r="A206" t="s">
        <v>1207</v>
      </c>
      <c r="B206" s="14" t="s">
        <v>168</v>
      </c>
      <c r="C206" s="14" t="s">
        <v>1208</v>
      </c>
      <c r="D206" s="14" t="s">
        <v>1209</v>
      </c>
      <c r="E206" s="14" t="s">
        <v>151</v>
      </c>
      <c r="F206" s="14">
        <v>10</v>
      </c>
      <c r="G206" s="14">
        <v>10</v>
      </c>
      <c r="H206" s="14">
        <v>1</v>
      </c>
      <c r="I206" s="14" t="s">
        <v>1210</v>
      </c>
      <c r="J206" s="14">
        <v>0.1</v>
      </c>
      <c r="K206" s="14" t="s">
        <v>32</v>
      </c>
      <c r="L206" s="14" t="s">
        <v>1210</v>
      </c>
      <c r="M206">
        <v>0.1</v>
      </c>
      <c r="N206" s="14" t="s">
        <v>1211</v>
      </c>
      <c r="X206" s="14" t="s">
        <v>1212</v>
      </c>
      <c r="Y206" s="14">
        <v>9.8000000000000004E-2</v>
      </c>
      <c r="Z206" s="14" t="s">
        <v>1213</v>
      </c>
    </row>
    <row r="207" spans="1:26" x14ac:dyDescent="0.25">
      <c r="A207" t="s">
        <v>1214</v>
      </c>
      <c r="B207" s="14" t="s">
        <v>168</v>
      </c>
      <c r="C207" s="14" t="s">
        <v>97</v>
      </c>
      <c r="D207" s="14" t="s">
        <v>1215</v>
      </c>
      <c r="E207" s="14" t="s">
        <v>151</v>
      </c>
      <c r="F207" s="14">
        <v>0</v>
      </c>
      <c r="I207" s="14" t="s">
        <v>1216</v>
      </c>
      <c r="J207" s="14">
        <v>0.1</v>
      </c>
      <c r="K207" s="14" t="s">
        <v>32</v>
      </c>
      <c r="L207" s="14" t="s">
        <v>1216</v>
      </c>
      <c r="M207">
        <v>0.1</v>
      </c>
      <c r="N207" s="14" t="s">
        <v>1217</v>
      </c>
      <c r="X207" s="14" t="s">
        <v>1218</v>
      </c>
      <c r="Y207" s="14">
        <v>9.8000000000000004E-2</v>
      </c>
      <c r="Z207" s="14" t="s">
        <v>1219</v>
      </c>
    </row>
    <row r="208" spans="1:26" x14ac:dyDescent="0.25">
      <c r="A208" t="s">
        <v>1220</v>
      </c>
      <c r="B208" s="14" t="s">
        <v>168</v>
      </c>
      <c r="C208" s="14" t="s">
        <v>97</v>
      </c>
      <c r="D208" s="14" t="s">
        <v>1221</v>
      </c>
      <c r="E208" s="14" t="s">
        <v>151</v>
      </c>
      <c r="F208" s="14">
        <v>0</v>
      </c>
      <c r="I208" s="14" t="s">
        <v>1222</v>
      </c>
      <c r="J208" s="14">
        <v>0.1</v>
      </c>
      <c r="K208" s="14" t="s">
        <v>32</v>
      </c>
      <c r="L208" s="14" t="s">
        <v>1222</v>
      </c>
      <c r="M208">
        <v>0.1</v>
      </c>
      <c r="N208" s="14" t="s">
        <v>1223</v>
      </c>
      <c r="X208" s="14" t="s">
        <v>1224</v>
      </c>
      <c r="Y208" s="14">
        <v>9.8000000000000004E-2</v>
      </c>
      <c r="Z208" s="14" t="s">
        <v>1225</v>
      </c>
    </row>
    <row r="209" spans="1:26" x14ac:dyDescent="0.25">
      <c r="A209" t="s">
        <v>1226</v>
      </c>
      <c r="B209" s="14" t="s">
        <v>168</v>
      </c>
      <c r="C209" s="14" t="s">
        <v>97</v>
      </c>
      <c r="D209" s="14" t="s">
        <v>1227</v>
      </c>
      <c r="E209" s="14" t="s">
        <v>151</v>
      </c>
      <c r="F209" s="14">
        <v>0</v>
      </c>
      <c r="I209" s="14" t="s">
        <v>1228</v>
      </c>
      <c r="J209" s="14">
        <v>0.1</v>
      </c>
      <c r="K209" s="14" t="s">
        <v>32</v>
      </c>
      <c r="L209" s="14" t="s">
        <v>1228</v>
      </c>
      <c r="M209">
        <v>0.1</v>
      </c>
      <c r="N209" s="14" t="s">
        <v>1229</v>
      </c>
      <c r="X209" s="14" t="s">
        <v>1230</v>
      </c>
      <c r="Y209" s="14">
        <v>9.8000000000000004E-2</v>
      </c>
      <c r="Z209" s="14" t="s">
        <v>1231</v>
      </c>
    </row>
    <row r="210" spans="1:26" x14ac:dyDescent="0.25">
      <c r="A210" t="s">
        <v>1232</v>
      </c>
      <c r="B210" s="14" t="s">
        <v>168</v>
      </c>
      <c r="C210" s="14" t="s">
        <v>97</v>
      </c>
      <c r="D210" s="14" t="s">
        <v>1233</v>
      </c>
      <c r="E210" s="14" t="s">
        <v>151</v>
      </c>
      <c r="F210" s="14">
        <v>0</v>
      </c>
      <c r="I210" s="14" t="s">
        <v>1234</v>
      </c>
      <c r="J210" s="14">
        <v>0.1</v>
      </c>
      <c r="K210" s="14" t="s">
        <v>32</v>
      </c>
      <c r="L210" s="14" t="s">
        <v>1234</v>
      </c>
      <c r="M210">
        <v>0.1</v>
      </c>
      <c r="N210" s="14" t="s">
        <v>1235</v>
      </c>
      <c r="X210" s="14" t="s">
        <v>1236</v>
      </c>
      <c r="Y210" s="14">
        <v>9.8000000000000004E-2</v>
      </c>
      <c r="Z210" s="14" t="s">
        <v>1237</v>
      </c>
    </row>
    <row r="211" spans="1:26" x14ac:dyDescent="0.25">
      <c r="A211" t="s">
        <v>1238</v>
      </c>
      <c r="B211" s="14" t="s">
        <v>168</v>
      </c>
      <c r="C211" s="14" t="s">
        <v>97</v>
      </c>
      <c r="D211" s="14" t="s">
        <v>1239</v>
      </c>
      <c r="E211" s="14" t="s">
        <v>151</v>
      </c>
      <c r="F211" s="14">
        <v>0</v>
      </c>
      <c r="I211" s="14" t="s">
        <v>1240</v>
      </c>
      <c r="J211" s="14">
        <v>0.1</v>
      </c>
      <c r="K211" s="14" t="s">
        <v>32</v>
      </c>
      <c r="L211" s="14" t="s">
        <v>1240</v>
      </c>
      <c r="M211">
        <v>0.1</v>
      </c>
      <c r="N211" s="14" t="s">
        <v>1241</v>
      </c>
      <c r="X211" s="14" t="s">
        <v>1242</v>
      </c>
      <c r="Y211" s="14">
        <v>9.8000000000000004E-2</v>
      </c>
      <c r="Z211" s="14" t="s">
        <v>1243</v>
      </c>
    </row>
    <row r="212" spans="1:26" x14ac:dyDescent="0.25">
      <c r="A212" t="s">
        <v>1244</v>
      </c>
      <c r="B212" s="14" t="s">
        <v>168</v>
      </c>
      <c r="C212" s="14" t="s">
        <v>97</v>
      </c>
      <c r="D212" s="14" t="s">
        <v>1245</v>
      </c>
      <c r="E212" s="14" t="s">
        <v>151</v>
      </c>
      <c r="F212" s="14">
        <v>0</v>
      </c>
      <c r="I212" s="14" t="s">
        <v>1246</v>
      </c>
      <c r="J212" s="14">
        <v>0.1</v>
      </c>
      <c r="K212" s="14" t="s">
        <v>32</v>
      </c>
      <c r="L212" s="14" t="s">
        <v>1246</v>
      </c>
      <c r="M212">
        <v>0.1</v>
      </c>
      <c r="N212" s="14" t="s">
        <v>1247</v>
      </c>
      <c r="X212" s="14" t="s">
        <v>1248</v>
      </c>
      <c r="Y212" s="14">
        <v>9.8000000000000004E-2</v>
      </c>
      <c r="Z212" s="14" t="s">
        <v>1249</v>
      </c>
    </row>
    <row r="213" spans="1:26" x14ac:dyDescent="0.25">
      <c r="A213" t="s">
        <v>1250</v>
      </c>
      <c r="B213" s="14" t="s">
        <v>168</v>
      </c>
      <c r="C213" s="14" t="s">
        <v>97</v>
      </c>
      <c r="D213" s="14" t="s">
        <v>1251</v>
      </c>
      <c r="E213" s="14" t="s">
        <v>151</v>
      </c>
      <c r="F213" s="14">
        <v>0</v>
      </c>
      <c r="I213" s="14" t="s">
        <v>1252</v>
      </c>
      <c r="J213" s="14">
        <v>0.1</v>
      </c>
      <c r="K213" s="14" t="s">
        <v>32</v>
      </c>
      <c r="L213" s="14" t="s">
        <v>1252</v>
      </c>
      <c r="M213">
        <v>0.1</v>
      </c>
      <c r="N213" s="14" t="s">
        <v>1253</v>
      </c>
      <c r="X213" s="14" t="s">
        <v>1254</v>
      </c>
      <c r="Y213" s="14">
        <v>9.8000000000000004E-2</v>
      </c>
      <c r="Z213" s="14" t="s">
        <v>1255</v>
      </c>
    </row>
    <row r="214" spans="1:26" x14ac:dyDescent="0.25">
      <c r="A214" t="s">
        <v>1256</v>
      </c>
      <c r="B214" s="14" t="s">
        <v>168</v>
      </c>
      <c r="C214" s="14" t="s">
        <v>97</v>
      </c>
      <c r="D214" s="14" t="s">
        <v>1257</v>
      </c>
      <c r="E214" s="14" t="s">
        <v>151</v>
      </c>
      <c r="F214" s="14">
        <v>0</v>
      </c>
      <c r="I214" s="14" t="s">
        <v>1258</v>
      </c>
      <c r="J214" s="14">
        <v>0.1</v>
      </c>
      <c r="K214" s="14" t="s">
        <v>32</v>
      </c>
      <c r="L214" s="14" t="s">
        <v>1258</v>
      </c>
      <c r="M214">
        <v>0.1</v>
      </c>
      <c r="N214" s="14" t="s">
        <v>1259</v>
      </c>
      <c r="X214" s="14" t="s">
        <v>1260</v>
      </c>
      <c r="Y214" s="14">
        <v>9.8000000000000004E-2</v>
      </c>
      <c r="Z214" s="14" t="s">
        <v>1261</v>
      </c>
    </row>
    <row r="215" spans="1:26" x14ac:dyDescent="0.25">
      <c r="A215" t="s">
        <v>1262</v>
      </c>
      <c r="B215" s="14" t="s">
        <v>168</v>
      </c>
      <c r="C215" s="14" t="s">
        <v>97</v>
      </c>
      <c r="D215" s="14" t="s">
        <v>1263</v>
      </c>
      <c r="E215" s="14" t="s">
        <v>151</v>
      </c>
      <c r="F215" s="14">
        <v>0</v>
      </c>
      <c r="I215" s="14" t="s">
        <v>1264</v>
      </c>
      <c r="J215" s="14">
        <v>0.1</v>
      </c>
      <c r="K215" s="14" t="s">
        <v>32</v>
      </c>
      <c r="L215" s="14" t="s">
        <v>1264</v>
      </c>
      <c r="M215">
        <v>0.1</v>
      </c>
      <c r="N215" s="14" t="s">
        <v>1265</v>
      </c>
      <c r="X215" s="14" t="s">
        <v>1266</v>
      </c>
      <c r="Y215" s="14">
        <v>9.8000000000000004E-2</v>
      </c>
      <c r="Z215" s="14" t="s">
        <v>1267</v>
      </c>
    </row>
    <row r="216" spans="1:26" x14ac:dyDescent="0.25">
      <c r="A216" t="s">
        <v>1268</v>
      </c>
      <c r="B216" s="14" t="s">
        <v>168</v>
      </c>
      <c r="C216" s="14" t="s">
        <v>97</v>
      </c>
      <c r="D216" s="14" t="s">
        <v>1269</v>
      </c>
      <c r="E216" s="14" t="s">
        <v>151</v>
      </c>
      <c r="F216" s="14">
        <v>0</v>
      </c>
      <c r="I216" s="14" t="s">
        <v>1270</v>
      </c>
      <c r="J216" s="14">
        <v>0.1</v>
      </c>
      <c r="K216" s="14" t="s">
        <v>32</v>
      </c>
      <c r="L216" s="14" t="s">
        <v>1270</v>
      </c>
      <c r="M216">
        <v>0.1</v>
      </c>
      <c r="N216" s="14" t="s">
        <v>1271</v>
      </c>
      <c r="X216" s="14" t="s">
        <v>1272</v>
      </c>
      <c r="Y216" s="14">
        <v>9.8000000000000004E-2</v>
      </c>
      <c r="Z216" s="14" t="s">
        <v>1273</v>
      </c>
    </row>
    <row r="217" spans="1:26" x14ac:dyDescent="0.25">
      <c r="A217" t="s">
        <v>183</v>
      </c>
      <c r="B217" s="14" t="s">
        <v>168</v>
      </c>
      <c r="C217" s="14" t="s">
        <v>1274</v>
      </c>
      <c r="D217" s="14" t="s">
        <v>1275</v>
      </c>
      <c r="E217" s="14" t="s">
        <v>151</v>
      </c>
      <c r="F217" s="14">
        <v>16</v>
      </c>
      <c r="G217" s="14">
        <v>10</v>
      </c>
      <c r="H217" s="14">
        <v>1</v>
      </c>
      <c r="I217" s="14" t="s">
        <v>1276</v>
      </c>
      <c r="J217" s="14">
        <v>0.1</v>
      </c>
      <c r="K217" s="14" t="s">
        <v>32</v>
      </c>
      <c r="L217" s="14" t="s">
        <v>1276</v>
      </c>
      <c r="M217">
        <v>0.1</v>
      </c>
      <c r="N217" s="14" t="s">
        <v>1277</v>
      </c>
      <c r="X217" s="14" t="s">
        <v>1278</v>
      </c>
      <c r="Y217" s="14">
        <v>9.8000000000000004E-2</v>
      </c>
      <c r="Z217" s="14" t="s">
        <v>1279</v>
      </c>
    </row>
    <row r="218" spans="1:26" x14ac:dyDescent="0.25">
      <c r="A218" t="s">
        <v>1280</v>
      </c>
      <c r="B218" s="14" t="s">
        <v>168</v>
      </c>
      <c r="C218" s="14" t="s">
        <v>1281</v>
      </c>
      <c r="D218" s="14" t="s">
        <v>1282</v>
      </c>
      <c r="E218" s="14" t="s">
        <v>151</v>
      </c>
      <c r="F218" s="14">
        <v>10</v>
      </c>
      <c r="G218" s="14">
        <v>10</v>
      </c>
      <c r="H218" s="14">
        <v>1</v>
      </c>
      <c r="I218" s="14" t="s">
        <v>1283</v>
      </c>
      <c r="J218" s="14">
        <v>0.1</v>
      </c>
      <c r="K218" s="14" t="s">
        <v>32</v>
      </c>
      <c r="L218" s="14" t="s">
        <v>1283</v>
      </c>
      <c r="M218">
        <v>0.1</v>
      </c>
      <c r="N218" s="14" t="s">
        <v>1284</v>
      </c>
      <c r="X218" s="14" t="s">
        <v>1285</v>
      </c>
      <c r="Y218" s="14">
        <v>9.8000000000000004E-2</v>
      </c>
      <c r="Z218" s="14" t="s">
        <v>1286</v>
      </c>
    </row>
    <row r="219" spans="1:26" x14ac:dyDescent="0.25">
      <c r="A219" t="s">
        <v>1287</v>
      </c>
      <c r="B219" s="14" t="s">
        <v>168</v>
      </c>
      <c r="C219" s="14" t="s">
        <v>97</v>
      </c>
      <c r="D219" s="14" t="s">
        <v>1288</v>
      </c>
      <c r="E219" s="14" t="s">
        <v>151</v>
      </c>
      <c r="F219" s="14">
        <v>0</v>
      </c>
      <c r="I219" s="14" t="s">
        <v>1289</v>
      </c>
      <c r="J219" s="14">
        <v>0.1</v>
      </c>
      <c r="K219" s="14" t="s">
        <v>32</v>
      </c>
      <c r="L219" s="14" t="s">
        <v>1289</v>
      </c>
      <c r="M219">
        <v>0.1</v>
      </c>
      <c r="N219" s="14" t="s">
        <v>1290</v>
      </c>
      <c r="X219" s="14" t="s">
        <v>1291</v>
      </c>
      <c r="Y219" s="14">
        <v>9.8000000000000004E-2</v>
      </c>
      <c r="Z219" s="14" t="s">
        <v>1292</v>
      </c>
    </row>
    <row r="220" spans="1:26" x14ac:dyDescent="0.25">
      <c r="A220" t="s">
        <v>1293</v>
      </c>
      <c r="B220" s="14" t="s">
        <v>168</v>
      </c>
      <c r="C220" s="14" t="s">
        <v>97</v>
      </c>
      <c r="D220" s="14" t="s">
        <v>1294</v>
      </c>
      <c r="E220" s="14" t="s">
        <v>151</v>
      </c>
      <c r="F220" s="14">
        <v>0</v>
      </c>
      <c r="I220" s="14" t="s">
        <v>1295</v>
      </c>
      <c r="J220" s="14">
        <v>0.1</v>
      </c>
      <c r="K220" s="14" t="s">
        <v>32</v>
      </c>
      <c r="L220" s="14" t="s">
        <v>1295</v>
      </c>
      <c r="M220">
        <v>0.1</v>
      </c>
      <c r="N220" s="14" t="s">
        <v>1296</v>
      </c>
      <c r="X220" s="14" t="s">
        <v>1297</v>
      </c>
      <c r="Y220" s="14">
        <v>9.8000000000000004E-2</v>
      </c>
      <c r="Z220" s="14" t="s">
        <v>1298</v>
      </c>
    </row>
    <row r="221" spans="1:26" x14ac:dyDescent="0.25">
      <c r="A221" t="s">
        <v>1299</v>
      </c>
      <c r="B221" s="14" t="s">
        <v>168</v>
      </c>
      <c r="C221" s="14" t="s">
        <v>97</v>
      </c>
      <c r="D221" s="14" t="s">
        <v>1300</v>
      </c>
      <c r="E221" s="14" t="s">
        <v>151</v>
      </c>
      <c r="F221" s="14">
        <v>0</v>
      </c>
      <c r="I221" s="14" t="s">
        <v>1301</v>
      </c>
      <c r="J221" s="14">
        <v>0.1</v>
      </c>
      <c r="K221" s="14" t="s">
        <v>32</v>
      </c>
      <c r="L221" s="14" t="s">
        <v>1301</v>
      </c>
      <c r="M221">
        <v>0.1</v>
      </c>
      <c r="N221" s="14" t="s">
        <v>1302</v>
      </c>
      <c r="X221" s="14" t="s">
        <v>1303</v>
      </c>
      <c r="Y221" s="14">
        <v>9.8000000000000004E-2</v>
      </c>
      <c r="Z221" s="14" t="s">
        <v>1304</v>
      </c>
    </row>
    <row r="222" spans="1:26" x14ac:dyDescent="0.25">
      <c r="A222" t="s">
        <v>1305</v>
      </c>
      <c r="B222" s="14" t="s">
        <v>168</v>
      </c>
      <c r="C222" s="14" t="s">
        <v>97</v>
      </c>
      <c r="D222" s="14" t="s">
        <v>1306</v>
      </c>
      <c r="E222" s="14" t="s">
        <v>151</v>
      </c>
      <c r="F222" s="14">
        <v>0</v>
      </c>
      <c r="I222" s="14" t="s">
        <v>1307</v>
      </c>
      <c r="J222" s="14">
        <v>0.1</v>
      </c>
      <c r="K222" s="14" t="s">
        <v>32</v>
      </c>
      <c r="L222" s="14" t="s">
        <v>1307</v>
      </c>
      <c r="M222">
        <v>0.1</v>
      </c>
      <c r="N222" s="14" t="s">
        <v>1308</v>
      </c>
      <c r="X222" s="14" t="s">
        <v>1309</v>
      </c>
      <c r="Y222" s="14">
        <v>9.8000000000000004E-2</v>
      </c>
      <c r="Z222" s="14" t="s">
        <v>1310</v>
      </c>
    </row>
    <row r="223" spans="1:26" x14ac:dyDescent="0.25">
      <c r="A223" t="s">
        <v>1311</v>
      </c>
      <c r="B223" s="14" t="s">
        <v>168</v>
      </c>
      <c r="C223" s="14" t="s">
        <v>97</v>
      </c>
      <c r="D223" s="14" t="s">
        <v>1312</v>
      </c>
      <c r="E223" s="14" t="s">
        <v>151</v>
      </c>
      <c r="F223" s="14">
        <v>0</v>
      </c>
      <c r="I223" s="14" t="s">
        <v>1313</v>
      </c>
      <c r="J223" s="14">
        <v>0.1</v>
      </c>
      <c r="K223" s="14" t="s">
        <v>32</v>
      </c>
      <c r="L223" s="14" t="s">
        <v>1313</v>
      </c>
      <c r="M223">
        <v>0.1</v>
      </c>
      <c r="N223" s="14" t="s">
        <v>1314</v>
      </c>
      <c r="X223" s="14" t="s">
        <v>1315</v>
      </c>
      <c r="Y223" s="14">
        <v>9.8000000000000004E-2</v>
      </c>
      <c r="Z223" s="14" t="s">
        <v>1316</v>
      </c>
    </row>
    <row r="224" spans="1:26" x14ac:dyDescent="0.25">
      <c r="A224" t="s">
        <v>1317</v>
      </c>
      <c r="B224" s="14" t="s">
        <v>168</v>
      </c>
      <c r="C224" s="14" t="s">
        <v>97</v>
      </c>
      <c r="D224" s="14" t="s">
        <v>1318</v>
      </c>
      <c r="E224" s="14" t="s">
        <v>151</v>
      </c>
      <c r="F224" s="14">
        <v>0</v>
      </c>
      <c r="I224" s="14" t="s">
        <v>1319</v>
      </c>
      <c r="J224" s="14">
        <v>0.1</v>
      </c>
      <c r="K224" s="14" t="s">
        <v>32</v>
      </c>
      <c r="L224" s="14" t="s">
        <v>1319</v>
      </c>
      <c r="M224">
        <v>0.1</v>
      </c>
      <c r="N224" s="14" t="s">
        <v>1320</v>
      </c>
      <c r="X224" s="14" t="s">
        <v>1321</v>
      </c>
      <c r="Y224" s="14">
        <v>9.8000000000000004E-2</v>
      </c>
      <c r="Z224" s="14" t="s">
        <v>1322</v>
      </c>
    </row>
    <row r="225" spans="1:26" x14ac:dyDescent="0.25">
      <c r="A225" t="s">
        <v>1323</v>
      </c>
      <c r="B225" s="14" t="s">
        <v>168</v>
      </c>
      <c r="C225" s="14" t="s">
        <v>97</v>
      </c>
      <c r="D225" s="14" t="s">
        <v>1324</v>
      </c>
      <c r="E225" s="14" t="s">
        <v>151</v>
      </c>
      <c r="F225" s="14">
        <v>0</v>
      </c>
      <c r="I225" s="14" t="s">
        <v>1325</v>
      </c>
      <c r="J225" s="14">
        <v>0.1</v>
      </c>
      <c r="K225" s="14" t="s">
        <v>32</v>
      </c>
      <c r="L225" s="14" t="s">
        <v>1325</v>
      </c>
      <c r="M225">
        <v>0.1</v>
      </c>
      <c r="N225" s="14" t="s">
        <v>1326</v>
      </c>
      <c r="X225" s="14" t="s">
        <v>1327</v>
      </c>
      <c r="Y225" s="14">
        <v>9.8000000000000004E-2</v>
      </c>
      <c r="Z225" s="14" t="s">
        <v>1328</v>
      </c>
    </row>
    <row r="226" spans="1:26" x14ac:dyDescent="0.25">
      <c r="A226" t="s">
        <v>1329</v>
      </c>
      <c r="B226" s="14" t="s">
        <v>168</v>
      </c>
      <c r="C226" s="14" t="s">
        <v>97</v>
      </c>
      <c r="D226" s="14" t="s">
        <v>1330</v>
      </c>
      <c r="E226" s="14" t="s">
        <v>151</v>
      </c>
      <c r="F226" s="14">
        <v>0</v>
      </c>
      <c r="I226" s="14" t="s">
        <v>1331</v>
      </c>
      <c r="J226" s="14">
        <v>0.1</v>
      </c>
      <c r="K226" s="14" t="s">
        <v>32</v>
      </c>
      <c r="L226" s="14" t="s">
        <v>1331</v>
      </c>
      <c r="M226">
        <v>0.1</v>
      </c>
      <c r="N226" s="14" t="s">
        <v>1332</v>
      </c>
      <c r="X226" s="14" t="s">
        <v>1333</v>
      </c>
      <c r="Y226" s="14">
        <v>9.8000000000000004E-2</v>
      </c>
      <c r="Z226" s="14" t="s">
        <v>1334</v>
      </c>
    </row>
    <row r="227" spans="1:26" x14ac:dyDescent="0.25">
      <c r="A227" t="s">
        <v>1335</v>
      </c>
      <c r="B227" s="14" t="s">
        <v>168</v>
      </c>
      <c r="C227" s="14" t="s">
        <v>97</v>
      </c>
      <c r="D227" s="14" t="s">
        <v>1336</v>
      </c>
      <c r="E227" s="14" t="s">
        <v>151</v>
      </c>
      <c r="F227" s="14">
        <v>0</v>
      </c>
      <c r="I227" s="14" t="s">
        <v>1337</v>
      </c>
      <c r="J227" s="14">
        <v>0.1</v>
      </c>
      <c r="K227" s="14" t="s">
        <v>32</v>
      </c>
      <c r="L227" s="14" t="s">
        <v>1337</v>
      </c>
      <c r="M227">
        <v>0.1</v>
      </c>
      <c r="N227" s="14" t="s">
        <v>1338</v>
      </c>
      <c r="X227" s="14" t="s">
        <v>1339</v>
      </c>
      <c r="Y227" s="14">
        <v>9.8000000000000004E-2</v>
      </c>
      <c r="Z227" s="14" t="s">
        <v>1340</v>
      </c>
    </row>
    <row r="228" spans="1:26" x14ac:dyDescent="0.25">
      <c r="A228" t="s">
        <v>188</v>
      </c>
      <c r="B228" s="14" t="s">
        <v>168</v>
      </c>
      <c r="C228" s="14" t="s">
        <v>1341</v>
      </c>
      <c r="D228" s="14" t="s">
        <v>1342</v>
      </c>
      <c r="E228" s="14" t="s">
        <v>151</v>
      </c>
      <c r="F228" s="14">
        <v>17</v>
      </c>
      <c r="G228" s="14">
        <v>10</v>
      </c>
      <c r="H228" s="14">
        <v>1</v>
      </c>
      <c r="I228" s="14" t="s">
        <v>1343</v>
      </c>
      <c r="J228" s="14">
        <v>0.1</v>
      </c>
      <c r="K228" s="14" t="s">
        <v>32</v>
      </c>
      <c r="L228" s="14" t="s">
        <v>1343</v>
      </c>
      <c r="M228">
        <v>0.1</v>
      </c>
      <c r="N228" s="14" t="s">
        <v>1344</v>
      </c>
      <c r="X228" s="14" t="s">
        <v>1345</v>
      </c>
      <c r="Y228" s="14">
        <v>9.8000000000000004E-2</v>
      </c>
      <c r="Z228" s="14" t="s">
        <v>1346</v>
      </c>
    </row>
    <row r="229" spans="1:26" x14ac:dyDescent="0.25">
      <c r="A229" t="s">
        <v>1347</v>
      </c>
      <c r="B229" s="14" t="s">
        <v>168</v>
      </c>
      <c r="C229" s="14" t="s">
        <v>1348</v>
      </c>
      <c r="D229" s="14" t="s">
        <v>1349</v>
      </c>
      <c r="E229" s="14" t="s">
        <v>151</v>
      </c>
      <c r="F229" s="14">
        <v>10</v>
      </c>
      <c r="G229" s="14">
        <v>10</v>
      </c>
      <c r="H229" s="14">
        <v>1</v>
      </c>
      <c r="I229" s="14" t="s">
        <v>1350</v>
      </c>
      <c r="J229" s="14">
        <v>0.1</v>
      </c>
      <c r="K229" s="14" t="s">
        <v>32</v>
      </c>
      <c r="L229" s="14" t="s">
        <v>1350</v>
      </c>
      <c r="M229">
        <v>0.1</v>
      </c>
      <c r="N229" s="14" t="s">
        <v>1351</v>
      </c>
      <c r="X229" s="14" t="s">
        <v>1352</v>
      </c>
      <c r="Y229" s="14">
        <v>9.8000000000000004E-2</v>
      </c>
      <c r="Z229" s="14" t="s">
        <v>1353</v>
      </c>
    </row>
    <row r="230" spans="1:26" x14ac:dyDescent="0.25">
      <c r="A230" t="s">
        <v>1354</v>
      </c>
      <c r="B230" s="14" t="s">
        <v>168</v>
      </c>
      <c r="C230" s="14" t="s">
        <v>97</v>
      </c>
      <c r="D230" s="14" t="s">
        <v>1355</v>
      </c>
      <c r="E230" s="14" t="s">
        <v>151</v>
      </c>
      <c r="F230" s="14">
        <v>0</v>
      </c>
      <c r="I230" s="14" t="s">
        <v>1356</v>
      </c>
      <c r="J230" s="14">
        <v>0.1</v>
      </c>
      <c r="K230" s="14" t="s">
        <v>32</v>
      </c>
      <c r="L230" s="14" t="s">
        <v>1356</v>
      </c>
      <c r="M230">
        <v>0.1</v>
      </c>
      <c r="N230" s="14" t="s">
        <v>1357</v>
      </c>
      <c r="X230" s="14" t="s">
        <v>1358</v>
      </c>
      <c r="Y230" s="14">
        <v>9.8000000000000004E-2</v>
      </c>
      <c r="Z230" s="14" t="s">
        <v>1359</v>
      </c>
    </row>
    <row r="231" spans="1:26" x14ac:dyDescent="0.25">
      <c r="A231" t="s">
        <v>1360</v>
      </c>
      <c r="B231" s="14" t="s">
        <v>168</v>
      </c>
      <c r="C231" s="14" t="s">
        <v>97</v>
      </c>
      <c r="D231" s="14" t="s">
        <v>1361</v>
      </c>
      <c r="E231" s="14" t="s">
        <v>151</v>
      </c>
      <c r="F231" s="14">
        <v>0</v>
      </c>
      <c r="I231" s="14" t="s">
        <v>1362</v>
      </c>
      <c r="J231" s="14">
        <v>0.1</v>
      </c>
      <c r="K231" s="14" t="s">
        <v>32</v>
      </c>
      <c r="L231" s="14" t="s">
        <v>1362</v>
      </c>
      <c r="M231">
        <v>0.1</v>
      </c>
      <c r="N231" s="14" t="s">
        <v>1363</v>
      </c>
      <c r="X231" s="14" t="s">
        <v>1364</v>
      </c>
      <c r="Y231" s="14">
        <v>9.8000000000000004E-2</v>
      </c>
      <c r="Z231" s="14" t="s">
        <v>1365</v>
      </c>
    </row>
    <row r="232" spans="1:26" x14ac:dyDescent="0.25">
      <c r="A232" t="s">
        <v>1366</v>
      </c>
      <c r="B232" s="14" t="s">
        <v>168</v>
      </c>
      <c r="C232" s="14" t="s">
        <v>97</v>
      </c>
      <c r="D232" s="14" t="s">
        <v>1367</v>
      </c>
      <c r="E232" s="14" t="s">
        <v>151</v>
      </c>
      <c r="F232" s="14">
        <v>0</v>
      </c>
      <c r="I232" s="14" t="s">
        <v>1368</v>
      </c>
      <c r="J232" s="14">
        <v>0.1</v>
      </c>
      <c r="K232" s="14" t="s">
        <v>32</v>
      </c>
      <c r="L232" s="14" t="s">
        <v>1368</v>
      </c>
      <c r="M232">
        <v>0.1</v>
      </c>
      <c r="N232" s="14" t="s">
        <v>1369</v>
      </c>
      <c r="X232" s="14" t="s">
        <v>1370</v>
      </c>
      <c r="Y232" s="14">
        <v>9.8000000000000004E-2</v>
      </c>
      <c r="Z232" s="14" t="s">
        <v>1371</v>
      </c>
    </row>
    <row r="233" spans="1:26" x14ac:dyDescent="0.25">
      <c r="A233" t="s">
        <v>1372</v>
      </c>
      <c r="B233" s="14" t="s">
        <v>168</v>
      </c>
      <c r="C233" s="14" t="s">
        <v>97</v>
      </c>
      <c r="D233" s="14" t="s">
        <v>1373</v>
      </c>
      <c r="E233" s="14" t="s">
        <v>151</v>
      </c>
      <c r="F233" s="14">
        <v>0</v>
      </c>
      <c r="I233" s="14" t="s">
        <v>1374</v>
      </c>
      <c r="J233" s="14">
        <v>0.1</v>
      </c>
      <c r="K233" s="14" t="s">
        <v>32</v>
      </c>
      <c r="L233" s="14" t="s">
        <v>1374</v>
      </c>
      <c r="M233">
        <v>0.1</v>
      </c>
      <c r="N233" s="14" t="s">
        <v>1375</v>
      </c>
      <c r="X233" s="14" t="s">
        <v>1376</v>
      </c>
      <c r="Y233" s="14">
        <v>9.8000000000000004E-2</v>
      </c>
      <c r="Z233" s="14" t="s">
        <v>1377</v>
      </c>
    </row>
    <row r="234" spans="1:26" x14ac:dyDescent="0.25">
      <c r="A234" t="s">
        <v>1378</v>
      </c>
      <c r="B234" s="14" t="s">
        <v>168</v>
      </c>
      <c r="C234" s="14" t="s">
        <v>97</v>
      </c>
      <c r="D234" s="14" t="s">
        <v>1379</v>
      </c>
      <c r="E234" s="14" t="s">
        <v>151</v>
      </c>
      <c r="F234" s="14">
        <v>0</v>
      </c>
      <c r="I234" s="14" t="s">
        <v>1380</v>
      </c>
      <c r="J234" s="14">
        <v>0.1</v>
      </c>
      <c r="K234" s="14" t="s">
        <v>32</v>
      </c>
      <c r="L234" s="14" t="s">
        <v>1380</v>
      </c>
      <c r="M234">
        <v>0.1</v>
      </c>
      <c r="N234" s="14" t="s">
        <v>1381</v>
      </c>
      <c r="X234" s="14" t="s">
        <v>1382</v>
      </c>
      <c r="Y234" s="14">
        <v>9.8000000000000004E-2</v>
      </c>
      <c r="Z234" s="14" t="s">
        <v>1383</v>
      </c>
    </row>
    <row r="235" spans="1:26" x14ac:dyDescent="0.25">
      <c r="A235" t="s">
        <v>1384</v>
      </c>
      <c r="B235" s="14" t="s">
        <v>168</v>
      </c>
      <c r="C235" s="14" t="s">
        <v>97</v>
      </c>
      <c r="D235" s="14" t="s">
        <v>1385</v>
      </c>
      <c r="E235" s="14" t="s">
        <v>151</v>
      </c>
      <c r="F235" s="14">
        <v>0</v>
      </c>
      <c r="I235" s="14" t="s">
        <v>1386</v>
      </c>
      <c r="J235" s="14">
        <v>0.1</v>
      </c>
      <c r="K235" s="14" t="s">
        <v>32</v>
      </c>
      <c r="L235" s="14" t="s">
        <v>1386</v>
      </c>
      <c r="M235">
        <v>0.1</v>
      </c>
      <c r="N235" s="14" t="s">
        <v>1387</v>
      </c>
      <c r="X235" s="14" t="s">
        <v>1388</v>
      </c>
      <c r="Y235" s="14">
        <v>9.8000000000000004E-2</v>
      </c>
      <c r="Z235" s="14" t="s">
        <v>1389</v>
      </c>
    </row>
    <row r="236" spans="1:26" x14ac:dyDescent="0.25">
      <c r="A236" t="s">
        <v>1390</v>
      </c>
      <c r="B236" s="14" t="s">
        <v>168</v>
      </c>
      <c r="C236" s="14" t="s">
        <v>97</v>
      </c>
      <c r="D236" s="14" t="s">
        <v>1391</v>
      </c>
      <c r="E236" s="14" t="s">
        <v>151</v>
      </c>
      <c r="F236" s="14">
        <v>0</v>
      </c>
      <c r="I236" s="14" t="s">
        <v>1392</v>
      </c>
      <c r="J236" s="14">
        <v>0.1</v>
      </c>
      <c r="K236" s="14" t="s">
        <v>32</v>
      </c>
      <c r="L236" s="14" t="s">
        <v>1392</v>
      </c>
      <c r="M236">
        <v>0.1</v>
      </c>
      <c r="N236" s="14" t="s">
        <v>1393</v>
      </c>
      <c r="X236" s="14" t="s">
        <v>1394</v>
      </c>
      <c r="Y236" s="14">
        <v>9.8000000000000004E-2</v>
      </c>
      <c r="Z236" s="14" t="s">
        <v>1395</v>
      </c>
    </row>
    <row r="237" spans="1:26" x14ac:dyDescent="0.25">
      <c r="A237" t="s">
        <v>1396</v>
      </c>
      <c r="B237" s="14" t="s">
        <v>168</v>
      </c>
      <c r="C237" s="14" t="s">
        <v>97</v>
      </c>
      <c r="D237" s="14" t="s">
        <v>1397</v>
      </c>
      <c r="E237" s="14" t="s">
        <v>151</v>
      </c>
      <c r="F237" s="14">
        <v>0</v>
      </c>
      <c r="I237" s="14" t="s">
        <v>1398</v>
      </c>
      <c r="J237" s="14">
        <v>0.1</v>
      </c>
      <c r="K237" s="14" t="s">
        <v>32</v>
      </c>
      <c r="L237" s="14" t="s">
        <v>1398</v>
      </c>
      <c r="M237">
        <v>0.1</v>
      </c>
      <c r="N237" s="14" t="s">
        <v>1399</v>
      </c>
      <c r="X237" s="14" t="s">
        <v>1400</v>
      </c>
      <c r="Y237" s="14">
        <v>9.8000000000000004E-2</v>
      </c>
      <c r="Z237" s="14" t="s">
        <v>1401</v>
      </c>
    </row>
    <row r="238" spans="1:26" x14ac:dyDescent="0.25">
      <c r="A238" t="s">
        <v>1402</v>
      </c>
      <c r="B238" s="14" t="s">
        <v>168</v>
      </c>
      <c r="C238" s="14" t="s">
        <v>97</v>
      </c>
      <c r="D238" s="14" t="s">
        <v>1403</v>
      </c>
      <c r="E238" s="14" t="s">
        <v>151</v>
      </c>
      <c r="F238" s="14">
        <v>0</v>
      </c>
      <c r="I238" s="14" t="s">
        <v>1404</v>
      </c>
      <c r="J238" s="14">
        <v>0.1</v>
      </c>
      <c r="K238" s="14" t="s">
        <v>32</v>
      </c>
      <c r="L238" s="14" t="s">
        <v>1404</v>
      </c>
      <c r="M238">
        <v>0.1</v>
      </c>
      <c r="N238" s="14" t="s">
        <v>1405</v>
      </c>
      <c r="X238" s="14" t="s">
        <v>1406</v>
      </c>
      <c r="Y238" s="14">
        <v>9.8000000000000004E-2</v>
      </c>
      <c r="Z238" s="14" t="s">
        <v>1407</v>
      </c>
    </row>
    <row r="239" spans="1:26" x14ac:dyDescent="0.25">
      <c r="A239" t="s">
        <v>1408</v>
      </c>
      <c r="B239" s="14" t="s">
        <v>168</v>
      </c>
      <c r="C239" s="14" t="s">
        <v>97</v>
      </c>
      <c r="D239" s="14" t="s">
        <v>1409</v>
      </c>
      <c r="E239" s="14" t="s">
        <v>151</v>
      </c>
      <c r="F239" s="14">
        <v>0</v>
      </c>
      <c r="I239" s="14" t="s">
        <v>1410</v>
      </c>
      <c r="J239" s="14">
        <v>0.1</v>
      </c>
      <c r="K239" s="14" t="s">
        <v>32</v>
      </c>
      <c r="L239" s="14" t="s">
        <v>1410</v>
      </c>
      <c r="M239">
        <v>0.1</v>
      </c>
      <c r="N239" s="14" t="s">
        <v>1411</v>
      </c>
      <c r="X239" s="14" t="s">
        <v>1412</v>
      </c>
      <c r="Y239" s="14">
        <v>9.8000000000000004E-2</v>
      </c>
      <c r="Z239" s="14" t="s">
        <v>1413</v>
      </c>
    </row>
    <row r="240" spans="1:26" x14ac:dyDescent="0.25">
      <c r="A240" t="s">
        <v>1414</v>
      </c>
      <c r="B240" s="14" t="s">
        <v>168</v>
      </c>
      <c r="C240" s="14" t="s">
        <v>97</v>
      </c>
      <c r="D240" s="14" t="s">
        <v>1415</v>
      </c>
      <c r="E240" s="14" t="s">
        <v>151</v>
      </c>
      <c r="F240" s="14">
        <v>0</v>
      </c>
      <c r="I240" s="14" t="s">
        <v>1416</v>
      </c>
      <c r="J240" s="14">
        <v>0.1</v>
      </c>
      <c r="K240" s="14" t="s">
        <v>32</v>
      </c>
      <c r="L240" s="14" t="s">
        <v>1416</v>
      </c>
      <c r="M240">
        <v>0.1</v>
      </c>
      <c r="N240" s="14" t="s">
        <v>1417</v>
      </c>
      <c r="X240" s="14" t="s">
        <v>1418</v>
      </c>
      <c r="Y240" s="14">
        <v>9.8000000000000004E-2</v>
      </c>
      <c r="Z240" s="14" t="s">
        <v>1419</v>
      </c>
    </row>
    <row r="241" spans="1:26" x14ac:dyDescent="0.25">
      <c r="A241" t="s">
        <v>1420</v>
      </c>
      <c r="B241" s="14" t="s">
        <v>168</v>
      </c>
      <c r="C241" s="14" t="s">
        <v>97</v>
      </c>
      <c r="D241" s="14" t="s">
        <v>1421</v>
      </c>
      <c r="E241" s="14" t="s">
        <v>151</v>
      </c>
      <c r="F241" s="14">
        <v>0</v>
      </c>
      <c r="I241" s="14" t="s">
        <v>1422</v>
      </c>
      <c r="J241" s="14">
        <v>0.1</v>
      </c>
      <c r="K241" s="14" t="s">
        <v>32</v>
      </c>
      <c r="L241" s="14" t="s">
        <v>1422</v>
      </c>
      <c r="M241">
        <v>0.1</v>
      </c>
      <c r="N241" s="14" t="s">
        <v>1423</v>
      </c>
      <c r="X241" s="14" t="s">
        <v>1424</v>
      </c>
      <c r="Y241" s="14">
        <v>9.8000000000000004E-2</v>
      </c>
      <c r="Z241" s="14" t="s">
        <v>1425</v>
      </c>
    </row>
    <row r="242" spans="1:26" x14ac:dyDescent="0.25">
      <c r="A242" t="s">
        <v>1426</v>
      </c>
      <c r="B242" s="14" t="s">
        <v>168</v>
      </c>
      <c r="C242" s="14" t="s">
        <v>97</v>
      </c>
      <c r="D242" s="14" t="s">
        <v>1427</v>
      </c>
      <c r="E242" s="14" t="s">
        <v>151</v>
      </c>
      <c r="F242" s="14">
        <v>0</v>
      </c>
      <c r="I242" s="14" t="s">
        <v>1428</v>
      </c>
      <c r="J242" s="14">
        <v>0.1</v>
      </c>
      <c r="K242" s="14" t="s">
        <v>32</v>
      </c>
      <c r="L242" s="14" t="s">
        <v>1428</v>
      </c>
      <c r="M242">
        <v>0.1</v>
      </c>
      <c r="N242" s="14" t="s">
        <v>1429</v>
      </c>
      <c r="X242" s="14" t="s">
        <v>1430</v>
      </c>
      <c r="Y242" s="14">
        <v>9.8000000000000004E-2</v>
      </c>
      <c r="Z242" s="14" t="s">
        <v>1431</v>
      </c>
    </row>
    <row r="243" spans="1:26" x14ac:dyDescent="0.25">
      <c r="A243" t="s">
        <v>1432</v>
      </c>
      <c r="B243" s="14" t="s">
        <v>168</v>
      </c>
      <c r="C243" s="14" t="s">
        <v>97</v>
      </c>
      <c r="D243" s="14" t="s">
        <v>1433</v>
      </c>
      <c r="E243" s="14" t="s">
        <v>151</v>
      </c>
      <c r="F243" s="14">
        <v>0</v>
      </c>
      <c r="I243" s="14" t="s">
        <v>1434</v>
      </c>
      <c r="J243" s="14">
        <v>0.1</v>
      </c>
      <c r="K243" s="14" t="s">
        <v>32</v>
      </c>
      <c r="L243" s="14" t="s">
        <v>1434</v>
      </c>
      <c r="M243">
        <v>0.1</v>
      </c>
      <c r="N243" s="14" t="s">
        <v>1435</v>
      </c>
      <c r="X243" s="14" t="s">
        <v>1436</v>
      </c>
      <c r="Y243" s="14">
        <v>9.8000000000000004E-2</v>
      </c>
      <c r="Z243" s="14" t="s">
        <v>1437</v>
      </c>
    </row>
    <row r="244" spans="1:26" x14ac:dyDescent="0.25">
      <c r="A244" t="s">
        <v>1438</v>
      </c>
      <c r="B244" s="14" t="s">
        <v>168</v>
      </c>
      <c r="C244" s="14" t="s">
        <v>97</v>
      </c>
      <c r="D244" s="14" t="s">
        <v>1439</v>
      </c>
      <c r="E244" s="14" t="s">
        <v>151</v>
      </c>
      <c r="F244" s="14">
        <v>0</v>
      </c>
      <c r="I244" s="14" t="s">
        <v>1440</v>
      </c>
      <c r="J244" s="14">
        <v>0.1</v>
      </c>
      <c r="K244" s="14" t="s">
        <v>32</v>
      </c>
      <c r="L244" s="14" t="s">
        <v>1440</v>
      </c>
      <c r="M244">
        <v>0.1</v>
      </c>
      <c r="N244" s="14" t="s">
        <v>1441</v>
      </c>
      <c r="X244" s="14" t="s">
        <v>1442</v>
      </c>
      <c r="Y244" s="14">
        <v>9.8000000000000004E-2</v>
      </c>
      <c r="Z244" s="14" t="s">
        <v>1443</v>
      </c>
    </row>
    <row r="245" spans="1:26" x14ac:dyDescent="0.25">
      <c r="A245" t="s">
        <v>1444</v>
      </c>
      <c r="B245" s="14" t="s">
        <v>168</v>
      </c>
      <c r="C245" s="14" t="s">
        <v>97</v>
      </c>
      <c r="D245" s="14" t="s">
        <v>1445</v>
      </c>
      <c r="E245" s="14" t="s">
        <v>151</v>
      </c>
      <c r="F245" s="14">
        <v>0</v>
      </c>
      <c r="I245" s="14" t="s">
        <v>1446</v>
      </c>
      <c r="J245" s="14">
        <v>0.1</v>
      </c>
      <c r="K245" s="14" t="s">
        <v>32</v>
      </c>
      <c r="L245" s="14" t="s">
        <v>1446</v>
      </c>
      <c r="M245">
        <v>0.1</v>
      </c>
      <c r="N245" s="14" t="s">
        <v>1447</v>
      </c>
      <c r="X245" s="14" t="s">
        <v>1448</v>
      </c>
      <c r="Y245" s="14">
        <v>9.8000000000000004E-2</v>
      </c>
      <c r="Z245" s="14" t="s">
        <v>1449</v>
      </c>
    </row>
    <row r="246" spans="1:26" x14ac:dyDescent="0.25">
      <c r="A246" t="s">
        <v>1450</v>
      </c>
      <c r="B246" s="14" t="s">
        <v>168</v>
      </c>
      <c r="C246" s="14" t="s">
        <v>97</v>
      </c>
      <c r="D246" s="14" t="s">
        <v>1451</v>
      </c>
      <c r="E246" s="14" t="s">
        <v>151</v>
      </c>
      <c r="F246" s="14">
        <v>0</v>
      </c>
      <c r="I246" s="14" t="s">
        <v>1452</v>
      </c>
      <c r="J246" s="14">
        <v>0.1</v>
      </c>
      <c r="K246" s="14" t="s">
        <v>32</v>
      </c>
      <c r="L246" s="14" t="s">
        <v>1452</v>
      </c>
      <c r="M246">
        <v>0.1</v>
      </c>
      <c r="N246" s="14" t="s">
        <v>1453</v>
      </c>
      <c r="X246" s="14" t="s">
        <v>1454</v>
      </c>
      <c r="Y246" s="14">
        <v>9.8000000000000004E-2</v>
      </c>
      <c r="Z246" s="14" t="s">
        <v>1455</v>
      </c>
    </row>
    <row r="247" spans="1:26" x14ac:dyDescent="0.25">
      <c r="A247" t="s">
        <v>1456</v>
      </c>
      <c r="B247" s="14" t="s">
        <v>168</v>
      </c>
      <c r="C247" s="14" t="s">
        <v>97</v>
      </c>
      <c r="D247" s="14" t="s">
        <v>1457</v>
      </c>
      <c r="E247" s="14" t="s">
        <v>151</v>
      </c>
      <c r="F247" s="14">
        <v>0</v>
      </c>
      <c r="I247" s="14" t="s">
        <v>1458</v>
      </c>
      <c r="J247" s="14">
        <v>0.1</v>
      </c>
      <c r="K247" s="14" t="s">
        <v>32</v>
      </c>
      <c r="L247" s="14" t="s">
        <v>1458</v>
      </c>
      <c r="M247">
        <v>0.1</v>
      </c>
      <c r="N247" s="14" t="s">
        <v>1459</v>
      </c>
      <c r="X247" s="14" t="s">
        <v>1460</v>
      </c>
      <c r="Y247" s="14">
        <v>9.8000000000000004E-2</v>
      </c>
      <c r="Z247" s="14" t="s">
        <v>1461</v>
      </c>
    </row>
    <row r="248" spans="1:26" x14ac:dyDescent="0.25">
      <c r="A248" t="s">
        <v>1462</v>
      </c>
      <c r="B248" s="14" t="s">
        <v>168</v>
      </c>
      <c r="C248" s="14" t="s">
        <v>1463</v>
      </c>
      <c r="D248" s="14" t="s">
        <v>1464</v>
      </c>
      <c r="E248" s="14" t="s">
        <v>151</v>
      </c>
      <c r="F248" s="14">
        <v>10</v>
      </c>
      <c r="G248" s="14">
        <v>10</v>
      </c>
      <c r="H248" s="14">
        <v>1</v>
      </c>
      <c r="I248" s="14" t="s">
        <v>1465</v>
      </c>
      <c r="J248" s="14">
        <v>0.1</v>
      </c>
      <c r="K248" s="14" t="s">
        <v>32</v>
      </c>
      <c r="L248" s="14" t="s">
        <v>1465</v>
      </c>
      <c r="M248">
        <v>0.1</v>
      </c>
      <c r="N248" s="14" t="s">
        <v>1466</v>
      </c>
      <c r="X248" s="14" t="s">
        <v>1467</v>
      </c>
      <c r="Y248" s="14">
        <v>9.8000000000000004E-2</v>
      </c>
      <c r="Z248" s="14" t="s">
        <v>1468</v>
      </c>
    </row>
    <row r="249" spans="1:26" x14ac:dyDescent="0.25">
      <c r="A249" t="s">
        <v>1469</v>
      </c>
      <c r="B249" s="14" t="s">
        <v>168</v>
      </c>
      <c r="C249" s="14" t="s">
        <v>97</v>
      </c>
      <c r="D249" s="14" t="s">
        <v>1470</v>
      </c>
      <c r="E249" s="14" t="s">
        <v>151</v>
      </c>
      <c r="F249" s="14">
        <v>0</v>
      </c>
      <c r="I249" s="14" t="s">
        <v>1471</v>
      </c>
      <c r="J249" s="14">
        <v>0.1</v>
      </c>
      <c r="K249" s="14" t="s">
        <v>32</v>
      </c>
      <c r="L249" s="14" t="s">
        <v>1471</v>
      </c>
      <c r="M249">
        <v>0.1</v>
      </c>
      <c r="N249" s="14" t="s">
        <v>1472</v>
      </c>
      <c r="X249" s="14" t="s">
        <v>1473</v>
      </c>
      <c r="Y249" s="14">
        <v>9.8000000000000004E-2</v>
      </c>
      <c r="Z249" s="14" t="s">
        <v>1474</v>
      </c>
    </row>
    <row r="250" spans="1:26" x14ac:dyDescent="0.25">
      <c r="A250" t="s">
        <v>1475</v>
      </c>
      <c r="B250" s="14" t="s">
        <v>168</v>
      </c>
      <c r="C250" s="14" t="s">
        <v>97</v>
      </c>
      <c r="D250" s="14" t="s">
        <v>1476</v>
      </c>
      <c r="E250" s="14" t="s">
        <v>151</v>
      </c>
      <c r="F250" s="14">
        <v>0</v>
      </c>
      <c r="I250" s="14" t="s">
        <v>1477</v>
      </c>
      <c r="J250" s="14">
        <v>0.1</v>
      </c>
      <c r="K250" s="14" t="s">
        <v>32</v>
      </c>
      <c r="L250" s="14" t="s">
        <v>1477</v>
      </c>
      <c r="M250">
        <v>0.1</v>
      </c>
      <c r="N250" s="14" t="s">
        <v>1478</v>
      </c>
      <c r="X250" s="14" t="s">
        <v>1479</v>
      </c>
      <c r="Y250" s="14">
        <v>9.8000000000000004E-2</v>
      </c>
      <c r="Z250" s="14" t="s">
        <v>1480</v>
      </c>
    </row>
    <row r="251" spans="1:26" x14ac:dyDescent="0.25">
      <c r="A251" t="s">
        <v>1481</v>
      </c>
      <c r="B251" s="14" t="s">
        <v>168</v>
      </c>
      <c r="C251" s="14" t="s">
        <v>97</v>
      </c>
      <c r="D251" s="14" t="s">
        <v>1482</v>
      </c>
      <c r="E251" s="14" t="s">
        <v>151</v>
      </c>
      <c r="F251" s="14">
        <v>0</v>
      </c>
      <c r="I251" s="14" t="s">
        <v>1483</v>
      </c>
      <c r="J251" s="14">
        <v>0.1</v>
      </c>
      <c r="K251" s="14" t="s">
        <v>32</v>
      </c>
      <c r="L251" s="14" t="s">
        <v>1483</v>
      </c>
      <c r="M251">
        <v>0.1</v>
      </c>
      <c r="N251" s="14" t="s">
        <v>1484</v>
      </c>
      <c r="X251" s="14" t="s">
        <v>1485</v>
      </c>
      <c r="Y251" s="14">
        <v>9.8000000000000004E-2</v>
      </c>
      <c r="Z251" s="14" t="s">
        <v>1486</v>
      </c>
    </row>
    <row r="252" spans="1:26" x14ac:dyDescent="0.25">
      <c r="A252" t="s">
        <v>1487</v>
      </c>
      <c r="B252" s="14" t="s">
        <v>168</v>
      </c>
      <c r="C252" s="14" t="s">
        <v>97</v>
      </c>
      <c r="D252" s="14" t="s">
        <v>1488</v>
      </c>
      <c r="E252" s="14" t="s">
        <v>151</v>
      </c>
      <c r="F252" s="14">
        <v>0</v>
      </c>
      <c r="I252" s="14" t="s">
        <v>1489</v>
      </c>
      <c r="J252" s="14">
        <v>0.1</v>
      </c>
      <c r="K252" s="14" t="s">
        <v>32</v>
      </c>
      <c r="L252" s="14" t="s">
        <v>1489</v>
      </c>
      <c r="M252">
        <v>0.1</v>
      </c>
      <c r="N252" s="14" t="s">
        <v>1490</v>
      </c>
      <c r="X252" s="14" t="s">
        <v>1491</v>
      </c>
      <c r="Y252" s="14">
        <v>9.8000000000000004E-2</v>
      </c>
      <c r="Z252" s="14" t="s">
        <v>1492</v>
      </c>
    </row>
    <row r="253" spans="1:26" x14ac:dyDescent="0.25">
      <c r="A253" t="s">
        <v>1493</v>
      </c>
      <c r="B253" s="14" t="s">
        <v>168</v>
      </c>
      <c r="C253" s="14" t="s">
        <v>97</v>
      </c>
      <c r="D253" s="14" t="s">
        <v>1494</v>
      </c>
      <c r="E253" s="14" t="s">
        <v>151</v>
      </c>
      <c r="F253" s="14">
        <v>0</v>
      </c>
      <c r="I253" s="14" t="s">
        <v>1495</v>
      </c>
      <c r="J253" s="14">
        <v>0.1</v>
      </c>
      <c r="K253" s="14" t="s">
        <v>32</v>
      </c>
      <c r="L253" s="14" t="s">
        <v>1495</v>
      </c>
      <c r="M253">
        <v>0.1</v>
      </c>
      <c r="N253" s="14" t="s">
        <v>1496</v>
      </c>
      <c r="X253" s="14" t="s">
        <v>1497</v>
      </c>
      <c r="Y253" s="14">
        <v>9.8000000000000004E-2</v>
      </c>
      <c r="Z253" s="14" t="s">
        <v>1498</v>
      </c>
    </row>
    <row r="254" spans="1:26" x14ac:dyDescent="0.25">
      <c r="A254" t="s">
        <v>1499</v>
      </c>
      <c r="B254" s="14" t="s">
        <v>168</v>
      </c>
      <c r="C254" s="14" t="s">
        <v>97</v>
      </c>
      <c r="D254" s="14" t="s">
        <v>1500</v>
      </c>
      <c r="E254" s="14" t="s">
        <v>151</v>
      </c>
      <c r="F254" s="14">
        <v>0</v>
      </c>
      <c r="I254" s="14" t="s">
        <v>1501</v>
      </c>
      <c r="J254" s="14">
        <v>0.1</v>
      </c>
      <c r="K254" s="14" t="s">
        <v>32</v>
      </c>
      <c r="L254" s="14" t="s">
        <v>1501</v>
      </c>
      <c r="M254">
        <v>0.1</v>
      </c>
      <c r="N254" s="14" t="s">
        <v>1502</v>
      </c>
      <c r="X254" s="14" t="s">
        <v>1503</v>
      </c>
      <c r="Y254" s="14">
        <v>9.8000000000000004E-2</v>
      </c>
      <c r="Z254" s="14" t="s">
        <v>1504</v>
      </c>
    </row>
    <row r="255" spans="1:26" x14ac:dyDescent="0.25">
      <c r="A255" t="s">
        <v>1505</v>
      </c>
      <c r="B255" s="14" t="s">
        <v>168</v>
      </c>
      <c r="C255" s="14" t="s">
        <v>97</v>
      </c>
      <c r="D255" s="14" t="s">
        <v>1506</v>
      </c>
      <c r="E255" s="14" t="s">
        <v>151</v>
      </c>
      <c r="F255" s="14">
        <v>0</v>
      </c>
      <c r="I255" s="14" t="s">
        <v>1507</v>
      </c>
      <c r="J255" s="14">
        <v>0.1</v>
      </c>
      <c r="K255" s="14" t="s">
        <v>32</v>
      </c>
      <c r="L255" s="14" t="s">
        <v>1507</v>
      </c>
      <c r="M255">
        <v>0.1</v>
      </c>
      <c r="N255" s="14" t="s">
        <v>1508</v>
      </c>
      <c r="X255" s="14" t="s">
        <v>1509</v>
      </c>
      <c r="Y255" s="14">
        <v>9.8000000000000004E-2</v>
      </c>
      <c r="Z255" s="14" t="s">
        <v>1510</v>
      </c>
    </row>
    <row r="256" spans="1:26" x14ac:dyDescent="0.25">
      <c r="A256" t="s">
        <v>1511</v>
      </c>
      <c r="B256" s="14" t="s">
        <v>168</v>
      </c>
      <c r="C256" s="14" t="s">
        <v>97</v>
      </c>
      <c r="D256" s="14" t="s">
        <v>1512</v>
      </c>
      <c r="E256" s="14" t="s">
        <v>151</v>
      </c>
      <c r="F256" s="14">
        <v>0</v>
      </c>
      <c r="I256" s="14" t="s">
        <v>1513</v>
      </c>
      <c r="J256" s="14">
        <v>0.1</v>
      </c>
      <c r="K256" s="14" t="s">
        <v>32</v>
      </c>
      <c r="L256" s="14" t="s">
        <v>1513</v>
      </c>
      <c r="M256">
        <v>0.1</v>
      </c>
      <c r="N256" s="14" t="s">
        <v>1514</v>
      </c>
      <c r="X256" s="14" t="s">
        <v>1515</v>
      </c>
      <c r="Y256" s="14">
        <v>9.8000000000000004E-2</v>
      </c>
      <c r="Z256" s="14" t="s">
        <v>1516</v>
      </c>
    </row>
    <row r="257" spans="1:26" x14ac:dyDescent="0.25">
      <c r="A257" t="s">
        <v>1517</v>
      </c>
      <c r="B257" s="14" t="s">
        <v>168</v>
      </c>
      <c r="C257" s="14" t="s">
        <v>97</v>
      </c>
      <c r="D257" s="14" t="s">
        <v>1518</v>
      </c>
      <c r="E257" s="14" t="s">
        <v>151</v>
      </c>
      <c r="F257" s="14">
        <v>0</v>
      </c>
      <c r="I257" s="14" t="s">
        <v>1519</v>
      </c>
      <c r="J257" s="14">
        <v>0.1</v>
      </c>
      <c r="K257" s="14" t="s">
        <v>32</v>
      </c>
      <c r="L257" s="14" t="s">
        <v>1519</v>
      </c>
      <c r="M257">
        <v>0.1</v>
      </c>
      <c r="N257" s="14" t="s">
        <v>1520</v>
      </c>
      <c r="X257" s="14" t="s">
        <v>1521</v>
      </c>
      <c r="Y257" s="14">
        <v>9.8000000000000004E-2</v>
      </c>
      <c r="Z257" s="14" t="s">
        <v>1522</v>
      </c>
    </row>
    <row r="258" spans="1:26" x14ac:dyDescent="0.25">
      <c r="A258" t="s">
        <v>1523</v>
      </c>
      <c r="B258" s="14" t="s">
        <v>168</v>
      </c>
      <c r="C258" s="14" t="s">
        <v>97</v>
      </c>
      <c r="D258" s="14" t="s">
        <v>1524</v>
      </c>
      <c r="E258" s="14" t="s">
        <v>151</v>
      </c>
      <c r="F258" s="14">
        <v>0</v>
      </c>
      <c r="I258" s="14" t="s">
        <v>1525</v>
      </c>
      <c r="J258" s="14">
        <v>0.1</v>
      </c>
      <c r="K258" s="14" t="s">
        <v>32</v>
      </c>
      <c r="L258" s="14" t="s">
        <v>1525</v>
      </c>
      <c r="M258">
        <v>0.1</v>
      </c>
      <c r="N258" s="14" t="s">
        <v>1526</v>
      </c>
      <c r="X258" s="14" t="s">
        <v>1527</v>
      </c>
      <c r="Y258" s="14">
        <v>9.8000000000000004E-2</v>
      </c>
      <c r="Z258" s="14" t="s">
        <v>1528</v>
      </c>
    </row>
    <row r="259" spans="1:26" x14ac:dyDescent="0.25">
      <c r="A259" t="s">
        <v>187</v>
      </c>
      <c r="B259" s="14" t="s">
        <v>168</v>
      </c>
      <c r="C259" s="14" t="s">
        <v>1529</v>
      </c>
      <c r="D259" s="14" t="s">
        <v>1530</v>
      </c>
      <c r="E259" s="14" t="s">
        <v>151</v>
      </c>
      <c r="F259" s="14">
        <v>7</v>
      </c>
      <c r="I259" s="14" t="s">
        <v>1531</v>
      </c>
      <c r="J259" s="14">
        <v>0.1</v>
      </c>
      <c r="K259" s="14" t="s">
        <v>32</v>
      </c>
      <c r="L259" s="14" t="s">
        <v>1531</v>
      </c>
      <c r="M259">
        <v>0.1</v>
      </c>
      <c r="N259" s="14" t="s">
        <v>1532</v>
      </c>
      <c r="X259" s="14" t="s">
        <v>1533</v>
      </c>
      <c r="Y259" s="14">
        <v>9.8000000000000004E-2</v>
      </c>
      <c r="Z259" s="14" t="s">
        <v>1534</v>
      </c>
    </row>
    <row r="260" spans="1:26" x14ac:dyDescent="0.25">
      <c r="A260" t="s">
        <v>1535</v>
      </c>
      <c r="B260" s="14" t="s">
        <v>168</v>
      </c>
      <c r="C260" s="14" t="s">
        <v>1536</v>
      </c>
      <c r="D260" s="14" t="s">
        <v>1537</v>
      </c>
      <c r="E260" s="14" t="s">
        <v>151</v>
      </c>
      <c r="F260" s="14">
        <v>10</v>
      </c>
      <c r="G260" s="14">
        <v>10</v>
      </c>
      <c r="H260" s="14">
        <v>1</v>
      </c>
      <c r="I260" s="14" t="s">
        <v>1538</v>
      </c>
      <c r="J260" s="14">
        <v>0.1</v>
      </c>
      <c r="K260" s="14" t="s">
        <v>32</v>
      </c>
      <c r="L260" s="14" t="s">
        <v>1538</v>
      </c>
      <c r="M260">
        <v>0.1</v>
      </c>
      <c r="N260" s="14" t="s">
        <v>1539</v>
      </c>
      <c r="X260" s="14" t="s">
        <v>1540</v>
      </c>
      <c r="Y260" s="14">
        <v>9.8000000000000004E-2</v>
      </c>
      <c r="Z260" s="14" t="s">
        <v>1541</v>
      </c>
    </row>
    <row r="261" spans="1:26" x14ac:dyDescent="0.25">
      <c r="A261" t="s">
        <v>186</v>
      </c>
      <c r="B261" s="14" t="s">
        <v>168</v>
      </c>
      <c r="C261" s="14" t="s">
        <v>1542</v>
      </c>
      <c r="D261" s="14" t="s">
        <v>1543</v>
      </c>
      <c r="E261" s="14" t="s">
        <v>151</v>
      </c>
      <c r="F261" s="14">
        <v>7</v>
      </c>
      <c r="I261" s="14" t="s">
        <v>1544</v>
      </c>
      <c r="J261" s="14">
        <v>0.1</v>
      </c>
      <c r="K261" s="14" t="s">
        <v>32</v>
      </c>
      <c r="L261" s="14" t="s">
        <v>1544</v>
      </c>
      <c r="M261">
        <v>0.1</v>
      </c>
      <c r="N261" s="14" t="s">
        <v>1545</v>
      </c>
      <c r="X261" s="14" t="s">
        <v>1546</v>
      </c>
      <c r="Y261" s="14">
        <v>9.8000000000000004E-2</v>
      </c>
      <c r="Z261" s="14" t="s">
        <v>1547</v>
      </c>
    </row>
    <row r="262" spans="1:26" x14ac:dyDescent="0.25">
      <c r="A262" t="s">
        <v>1548</v>
      </c>
      <c r="B262" s="14" t="s">
        <v>168</v>
      </c>
      <c r="C262" s="14" t="s">
        <v>97</v>
      </c>
      <c r="D262" s="14" t="s">
        <v>1549</v>
      </c>
      <c r="E262" s="14" t="s">
        <v>151</v>
      </c>
      <c r="F262" s="14">
        <v>0</v>
      </c>
      <c r="I262" s="14" t="s">
        <v>1550</v>
      </c>
      <c r="J262" s="14">
        <v>0.1</v>
      </c>
      <c r="K262" s="14" t="s">
        <v>32</v>
      </c>
      <c r="L262" s="14" t="s">
        <v>1550</v>
      </c>
      <c r="M262">
        <v>0.1</v>
      </c>
      <c r="N262" s="14" t="s">
        <v>1551</v>
      </c>
      <c r="X262" s="14" t="s">
        <v>1552</v>
      </c>
      <c r="Y262" s="14">
        <v>9.8000000000000004E-2</v>
      </c>
      <c r="Z262" s="14" t="s">
        <v>1553</v>
      </c>
    </row>
    <row r="263" spans="1:26" x14ac:dyDescent="0.25">
      <c r="A263" t="s">
        <v>1554</v>
      </c>
      <c r="B263" s="14" t="s">
        <v>168</v>
      </c>
      <c r="C263" s="14" t="s">
        <v>97</v>
      </c>
      <c r="D263" s="14" t="s">
        <v>1555</v>
      </c>
      <c r="E263" s="14" t="s">
        <v>151</v>
      </c>
      <c r="F263" s="14">
        <v>0</v>
      </c>
      <c r="I263" s="14" t="s">
        <v>1556</v>
      </c>
      <c r="J263" s="14">
        <v>0.1</v>
      </c>
      <c r="K263" s="14" t="s">
        <v>32</v>
      </c>
      <c r="L263" s="14" t="s">
        <v>1556</v>
      </c>
      <c r="M263">
        <v>0.1</v>
      </c>
      <c r="N263" s="14" t="s">
        <v>1557</v>
      </c>
      <c r="X263" s="14" t="s">
        <v>1558</v>
      </c>
      <c r="Y263" s="14">
        <v>9.8000000000000004E-2</v>
      </c>
      <c r="Z263" s="14" t="s">
        <v>1559</v>
      </c>
    </row>
    <row r="264" spans="1:26" x14ac:dyDescent="0.25">
      <c r="A264" t="s">
        <v>1560</v>
      </c>
      <c r="B264" s="14" t="s">
        <v>168</v>
      </c>
      <c r="C264" s="14" t="s">
        <v>97</v>
      </c>
      <c r="D264" s="14" t="s">
        <v>1561</v>
      </c>
      <c r="E264" s="14" t="s">
        <v>151</v>
      </c>
      <c r="F264" s="14">
        <v>0</v>
      </c>
      <c r="I264" s="14" t="s">
        <v>1562</v>
      </c>
      <c r="J264" s="14">
        <v>0.1</v>
      </c>
      <c r="K264" s="14" t="s">
        <v>32</v>
      </c>
      <c r="L264" s="14" t="s">
        <v>1562</v>
      </c>
      <c r="M264">
        <v>0.1</v>
      </c>
      <c r="N264" s="14" t="s">
        <v>1563</v>
      </c>
      <c r="X264" s="14" t="s">
        <v>1564</v>
      </c>
      <c r="Y264" s="14">
        <v>9.8000000000000004E-2</v>
      </c>
      <c r="Z264" s="14" t="s">
        <v>1565</v>
      </c>
    </row>
    <row r="265" spans="1:26" x14ac:dyDescent="0.25">
      <c r="A265" t="s">
        <v>1566</v>
      </c>
      <c r="B265" s="14" t="s">
        <v>168</v>
      </c>
      <c r="C265" s="14" t="s">
        <v>97</v>
      </c>
      <c r="D265" s="14" t="s">
        <v>1567</v>
      </c>
      <c r="E265" s="14" t="s">
        <v>151</v>
      </c>
      <c r="F265" s="14">
        <v>0</v>
      </c>
      <c r="I265" s="14" t="s">
        <v>1568</v>
      </c>
      <c r="J265" s="14">
        <v>0.1</v>
      </c>
      <c r="K265" s="14" t="s">
        <v>32</v>
      </c>
      <c r="L265" s="14" t="s">
        <v>1568</v>
      </c>
      <c r="M265">
        <v>0.1</v>
      </c>
      <c r="N265" s="14" t="s">
        <v>1569</v>
      </c>
      <c r="X265" s="14" t="s">
        <v>1570</v>
      </c>
      <c r="Y265" s="14">
        <v>9.8000000000000004E-2</v>
      </c>
      <c r="Z265" s="14" t="s">
        <v>1571</v>
      </c>
    </row>
    <row r="266" spans="1:26" x14ac:dyDescent="0.25">
      <c r="A266" t="s">
        <v>1572</v>
      </c>
      <c r="B266" s="14" t="s">
        <v>168</v>
      </c>
      <c r="C266" s="14" t="s">
        <v>97</v>
      </c>
      <c r="D266" s="14" t="s">
        <v>1573</v>
      </c>
      <c r="E266" s="14" t="s">
        <v>151</v>
      </c>
      <c r="F266" s="14">
        <v>0</v>
      </c>
      <c r="I266" s="14" t="s">
        <v>1574</v>
      </c>
      <c r="J266" s="14">
        <v>0.1</v>
      </c>
      <c r="K266" s="14" t="s">
        <v>32</v>
      </c>
      <c r="L266" s="14" t="s">
        <v>1574</v>
      </c>
      <c r="M266">
        <v>0.1</v>
      </c>
      <c r="N266" s="14" t="s">
        <v>1575</v>
      </c>
      <c r="X266" s="14" t="s">
        <v>1576</v>
      </c>
      <c r="Y266" s="14">
        <v>9.8000000000000004E-2</v>
      </c>
      <c r="Z266" s="14" t="s">
        <v>1577</v>
      </c>
    </row>
    <row r="267" spans="1:26" x14ac:dyDescent="0.25">
      <c r="A267" t="s">
        <v>1578</v>
      </c>
      <c r="B267" s="14" t="s">
        <v>168</v>
      </c>
      <c r="C267" s="14" t="s">
        <v>97</v>
      </c>
      <c r="D267" s="14" t="s">
        <v>1579</v>
      </c>
      <c r="E267" s="14" t="s">
        <v>151</v>
      </c>
      <c r="F267" s="14">
        <v>0</v>
      </c>
      <c r="I267" s="14" t="s">
        <v>1580</v>
      </c>
      <c r="J267" s="14">
        <v>0.1</v>
      </c>
      <c r="K267" s="14" t="s">
        <v>32</v>
      </c>
      <c r="L267" s="14" t="s">
        <v>1580</v>
      </c>
      <c r="M267">
        <v>0.1</v>
      </c>
      <c r="N267" s="14" t="s">
        <v>1581</v>
      </c>
      <c r="X267" s="14" t="s">
        <v>1582</v>
      </c>
      <c r="Y267" s="14">
        <v>9.8000000000000004E-2</v>
      </c>
      <c r="Z267" s="14" t="s">
        <v>1583</v>
      </c>
    </row>
    <row r="268" spans="1:26" x14ac:dyDescent="0.25">
      <c r="A268" t="s">
        <v>1584</v>
      </c>
      <c r="B268" s="14" t="s">
        <v>168</v>
      </c>
      <c r="C268" s="14" t="s">
        <v>97</v>
      </c>
      <c r="D268" s="14" t="s">
        <v>1585</v>
      </c>
      <c r="E268" s="14" t="s">
        <v>151</v>
      </c>
      <c r="F268" s="14">
        <v>0</v>
      </c>
      <c r="I268" s="14" t="s">
        <v>1586</v>
      </c>
      <c r="J268" s="14">
        <v>0.1</v>
      </c>
      <c r="K268" s="14" t="s">
        <v>32</v>
      </c>
      <c r="L268" s="14" t="s">
        <v>1586</v>
      </c>
      <c r="M268">
        <v>0.1</v>
      </c>
      <c r="N268" s="14" t="s">
        <v>1587</v>
      </c>
      <c r="X268" s="14" t="s">
        <v>1588</v>
      </c>
      <c r="Y268" s="14">
        <v>9.8000000000000004E-2</v>
      </c>
      <c r="Z268" s="14" t="s">
        <v>1589</v>
      </c>
    </row>
    <row r="269" spans="1:26" x14ac:dyDescent="0.25">
      <c r="A269" t="s">
        <v>1590</v>
      </c>
      <c r="B269" s="14" t="s">
        <v>168</v>
      </c>
      <c r="C269" s="14" t="s">
        <v>97</v>
      </c>
      <c r="D269" s="14" t="s">
        <v>1591</v>
      </c>
      <c r="E269" s="14" t="s">
        <v>151</v>
      </c>
      <c r="F269" s="14">
        <v>0</v>
      </c>
      <c r="I269" s="14" t="s">
        <v>1592</v>
      </c>
      <c r="J269" s="14">
        <v>0.1</v>
      </c>
      <c r="K269" s="14" t="s">
        <v>32</v>
      </c>
      <c r="L269" s="14" t="s">
        <v>1592</v>
      </c>
      <c r="M269">
        <v>0.1</v>
      </c>
      <c r="N269" s="14" t="s">
        <v>1593</v>
      </c>
      <c r="X269" s="14" t="s">
        <v>1594</v>
      </c>
      <c r="Y269" s="14">
        <v>9.8000000000000004E-2</v>
      </c>
      <c r="Z269" s="14" t="s">
        <v>1595</v>
      </c>
    </row>
    <row r="270" spans="1:26" x14ac:dyDescent="0.25">
      <c r="A270" t="s">
        <v>1596</v>
      </c>
      <c r="B270" s="14" t="s">
        <v>168</v>
      </c>
      <c r="C270" s="14" t="s">
        <v>97</v>
      </c>
      <c r="D270" s="14" t="s">
        <v>1597</v>
      </c>
      <c r="E270" s="14" t="s">
        <v>151</v>
      </c>
      <c r="F270" s="14">
        <v>0</v>
      </c>
      <c r="I270" s="14" t="s">
        <v>1598</v>
      </c>
      <c r="J270" s="14">
        <v>0.1</v>
      </c>
      <c r="K270" s="14" t="s">
        <v>32</v>
      </c>
      <c r="L270" s="14" t="s">
        <v>1598</v>
      </c>
      <c r="M270">
        <v>0.1</v>
      </c>
      <c r="N270" s="14" t="s">
        <v>1599</v>
      </c>
      <c r="X270" s="14" t="s">
        <v>1600</v>
      </c>
      <c r="Y270" s="14">
        <v>9.8000000000000004E-2</v>
      </c>
      <c r="Z270" s="14" t="s">
        <v>1601</v>
      </c>
    </row>
    <row r="271" spans="1:26" x14ac:dyDescent="0.25">
      <c r="A271" t="s">
        <v>1602</v>
      </c>
      <c r="B271" s="14" t="s">
        <v>168</v>
      </c>
      <c r="C271" s="14" t="s">
        <v>97</v>
      </c>
      <c r="D271" s="14" t="s">
        <v>1603</v>
      </c>
      <c r="E271" s="14" t="s">
        <v>151</v>
      </c>
      <c r="F271" s="14">
        <v>0</v>
      </c>
      <c r="I271" s="14" t="s">
        <v>1604</v>
      </c>
      <c r="J271" s="14">
        <v>0.1</v>
      </c>
      <c r="K271" s="14" t="s">
        <v>32</v>
      </c>
      <c r="L271" s="14" t="s">
        <v>1604</v>
      </c>
      <c r="M271">
        <v>0.1</v>
      </c>
      <c r="N271" s="14" t="s">
        <v>1605</v>
      </c>
      <c r="X271" s="14" t="s">
        <v>1606</v>
      </c>
      <c r="Y271" s="14">
        <v>9.8000000000000004E-2</v>
      </c>
      <c r="Z271" s="14" t="s">
        <v>1607</v>
      </c>
    </row>
    <row r="272" spans="1:26" x14ac:dyDescent="0.25">
      <c r="A272" t="s">
        <v>1608</v>
      </c>
      <c r="B272" s="14" t="s">
        <v>168</v>
      </c>
      <c r="C272" s="14" t="s">
        <v>97</v>
      </c>
      <c r="D272" s="14" t="s">
        <v>1609</v>
      </c>
      <c r="E272" s="14" t="s">
        <v>151</v>
      </c>
      <c r="F272" s="14">
        <v>0</v>
      </c>
      <c r="I272" s="14" t="s">
        <v>1610</v>
      </c>
      <c r="J272" s="14">
        <v>0.1</v>
      </c>
      <c r="K272" s="14" t="s">
        <v>32</v>
      </c>
      <c r="L272" s="14" t="s">
        <v>1610</v>
      </c>
      <c r="M272">
        <v>0.1</v>
      </c>
      <c r="N272" s="14" t="s">
        <v>1611</v>
      </c>
      <c r="X272" s="14" t="s">
        <v>1612</v>
      </c>
      <c r="Y272" s="14">
        <v>9.8000000000000004E-2</v>
      </c>
      <c r="Z272" s="14" t="s">
        <v>1613</v>
      </c>
    </row>
    <row r="273" spans="1:26" x14ac:dyDescent="0.25">
      <c r="A273" t="s">
        <v>1614</v>
      </c>
      <c r="B273" s="14" t="s">
        <v>168</v>
      </c>
      <c r="C273" s="14" t="s">
        <v>97</v>
      </c>
      <c r="D273" s="14" t="s">
        <v>1615</v>
      </c>
      <c r="E273" s="14" t="s">
        <v>151</v>
      </c>
      <c r="F273" s="14">
        <v>0</v>
      </c>
      <c r="I273" s="14" t="s">
        <v>1616</v>
      </c>
      <c r="J273" s="14">
        <v>0.1</v>
      </c>
      <c r="K273" s="14" t="s">
        <v>32</v>
      </c>
      <c r="L273" s="14" t="s">
        <v>1616</v>
      </c>
      <c r="M273">
        <v>0.1</v>
      </c>
      <c r="N273" s="14" t="s">
        <v>1617</v>
      </c>
      <c r="X273" s="14" t="s">
        <v>1618</v>
      </c>
      <c r="Y273" s="14">
        <v>9.8000000000000004E-2</v>
      </c>
      <c r="Z273" s="14" t="s">
        <v>1619</v>
      </c>
    </row>
    <row r="274" spans="1:26" x14ac:dyDescent="0.25">
      <c r="A274" t="s">
        <v>181</v>
      </c>
      <c r="B274" s="14" t="s">
        <v>168</v>
      </c>
      <c r="C274" s="14" t="s">
        <v>1620</v>
      </c>
      <c r="D274" s="14" t="s">
        <v>1621</v>
      </c>
      <c r="E274" s="14" t="s">
        <v>151</v>
      </c>
      <c r="F274" s="14">
        <v>8</v>
      </c>
      <c r="I274" s="14" t="s">
        <v>1622</v>
      </c>
      <c r="J274" s="14">
        <v>0.1</v>
      </c>
      <c r="K274" s="14" t="s">
        <v>32</v>
      </c>
      <c r="L274" s="14" t="s">
        <v>1622</v>
      </c>
      <c r="M274">
        <v>0.1</v>
      </c>
      <c r="N274" s="14" t="s">
        <v>1623</v>
      </c>
      <c r="X274" s="14" t="s">
        <v>1624</v>
      </c>
      <c r="Y274" s="14">
        <v>9.8000000000000004E-2</v>
      </c>
      <c r="Z274" s="14" t="s">
        <v>1625</v>
      </c>
    </row>
    <row r="275" spans="1:26" x14ac:dyDescent="0.25">
      <c r="A275" t="s">
        <v>1626</v>
      </c>
      <c r="B275" s="14" t="s">
        <v>168</v>
      </c>
      <c r="C275" s="14" t="s">
        <v>1627</v>
      </c>
      <c r="D275" s="14" t="s">
        <v>1628</v>
      </c>
      <c r="E275" s="14" t="s">
        <v>151</v>
      </c>
      <c r="F275" s="14">
        <v>10</v>
      </c>
      <c r="G275" s="14">
        <v>10</v>
      </c>
      <c r="H275" s="14">
        <v>1</v>
      </c>
      <c r="I275" s="14" t="s">
        <v>1629</v>
      </c>
      <c r="J275" s="14">
        <v>0.1</v>
      </c>
      <c r="K275" s="14" t="s">
        <v>32</v>
      </c>
      <c r="L275" s="14" t="s">
        <v>1629</v>
      </c>
      <c r="M275">
        <v>0.1</v>
      </c>
      <c r="N275" s="14" t="s">
        <v>1630</v>
      </c>
      <c r="X275" s="14" t="s">
        <v>1631</v>
      </c>
      <c r="Y275" s="14">
        <v>9.8000000000000004E-2</v>
      </c>
      <c r="Z275" s="14" t="s">
        <v>1632</v>
      </c>
    </row>
    <row r="276" spans="1:26" x14ac:dyDescent="0.25">
      <c r="A276" t="s">
        <v>1633</v>
      </c>
      <c r="B276" s="14" t="s">
        <v>168</v>
      </c>
      <c r="C276" s="14" t="s">
        <v>97</v>
      </c>
      <c r="D276" s="14" t="s">
        <v>1634</v>
      </c>
      <c r="E276" s="14" t="s">
        <v>151</v>
      </c>
      <c r="F276" s="14">
        <v>0</v>
      </c>
      <c r="I276" s="14" t="s">
        <v>1635</v>
      </c>
      <c r="J276" s="14">
        <v>0.1</v>
      </c>
      <c r="K276" s="14" t="s">
        <v>32</v>
      </c>
      <c r="L276" s="14" t="s">
        <v>1635</v>
      </c>
      <c r="M276">
        <v>0.1</v>
      </c>
      <c r="N276" s="14" t="s">
        <v>1636</v>
      </c>
      <c r="X276" s="14" t="s">
        <v>1637</v>
      </c>
      <c r="Y276" s="14">
        <v>9.8000000000000004E-2</v>
      </c>
      <c r="Z276" s="14" t="s">
        <v>1638</v>
      </c>
    </row>
    <row r="277" spans="1:26" x14ac:dyDescent="0.25">
      <c r="A277" t="s">
        <v>1639</v>
      </c>
      <c r="B277" s="14" t="s">
        <v>168</v>
      </c>
      <c r="C277" s="14" t="s">
        <v>97</v>
      </c>
      <c r="D277" s="14" t="s">
        <v>1640</v>
      </c>
      <c r="E277" s="14" t="s">
        <v>151</v>
      </c>
      <c r="F277" s="14">
        <v>0</v>
      </c>
      <c r="I277" s="14" t="s">
        <v>1641</v>
      </c>
      <c r="J277" s="14">
        <v>0.1</v>
      </c>
      <c r="K277" s="14" t="s">
        <v>32</v>
      </c>
      <c r="L277" s="14" t="s">
        <v>1641</v>
      </c>
      <c r="M277">
        <v>0.1</v>
      </c>
      <c r="N277" s="14" t="s">
        <v>1642</v>
      </c>
      <c r="X277" s="14" t="s">
        <v>1643</v>
      </c>
      <c r="Y277" s="14">
        <v>9.8000000000000004E-2</v>
      </c>
      <c r="Z277" s="14" t="s">
        <v>1644</v>
      </c>
    </row>
    <row r="278" spans="1:26" x14ac:dyDescent="0.25">
      <c r="A278" t="s">
        <v>1645</v>
      </c>
      <c r="B278" s="14" t="s">
        <v>168</v>
      </c>
      <c r="C278" s="14" t="s">
        <v>97</v>
      </c>
      <c r="D278" s="14" t="s">
        <v>1646</v>
      </c>
      <c r="E278" s="14" t="s">
        <v>151</v>
      </c>
      <c r="F278" s="14">
        <v>0</v>
      </c>
      <c r="I278" s="14" t="s">
        <v>1647</v>
      </c>
      <c r="J278" s="14">
        <v>0.1</v>
      </c>
      <c r="K278" s="14" t="s">
        <v>32</v>
      </c>
      <c r="L278" s="14" t="s">
        <v>1647</v>
      </c>
      <c r="M278">
        <v>0.1</v>
      </c>
      <c r="N278" s="14" t="s">
        <v>1648</v>
      </c>
      <c r="X278" s="14" t="s">
        <v>1649</v>
      </c>
      <c r="Y278" s="14">
        <v>9.8000000000000004E-2</v>
      </c>
      <c r="Z278" s="14" t="s">
        <v>1650</v>
      </c>
    </row>
    <row r="279" spans="1:26" x14ac:dyDescent="0.25">
      <c r="A279" t="s">
        <v>1651</v>
      </c>
      <c r="B279" s="14" t="s">
        <v>168</v>
      </c>
      <c r="C279" s="14" t="s">
        <v>97</v>
      </c>
      <c r="D279" s="14" t="s">
        <v>1652</v>
      </c>
      <c r="E279" s="14" t="s">
        <v>151</v>
      </c>
      <c r="F279" s="14">
        <v>0</v>
      </c>
      <c r="I279" s="14" t="s">
        <v>1653</v>
      </c>
      <c r="J279" s="14">
        <v>0.1</v>
      </c>
      <c r="K279" s="14" t="s">
        <v>32</v>
      </c>
      <c r="L279" s="14" t="s">
        <v>1653</v>
      </c>
      <c r="M279">
        <v>0.1</v>
      </c>
      <c r="N279" s="14" t="s">
        <v>1654</v>
      </c>
      <c r="X279" s="14" t="s">
        <v>1655</v>
      </c>
      <c r="Y279" s="14">
        <v>9.8000000000000004E-2</v>
      </c>
      <c r="Z279" s="14" t="s">
        <v>1656</v>
      </c>
    </row>
    <row r="280" spans="1:26" x14ac:dyDescent="0.25">
      <c r="A280" t="s">
        <v>1657</v>
      </c>
      <c r="B280" s="14" t="s">
        <v>168</v>
      </c>
      <c r="C280" s="14" t="s">
        <v>97</v>
      </c>
      <c r="D280" s="14" t="s">
        <v>1658</v>
      </c>
      <c r="E280" s="14" t="s">
        <v>151</v>
      </c>
      <c r="F280" s="14">
        <v>0</v>
      </c>
      <c r="I280" s="14" t="s">
        <v>1659</v>
      </c>
      <c r="J280" s="14">
        <v>0.1</v>
      </c>
      <c r="K280" s="14" t="s">
        <v>32</v>
      </c>
      <c r="L280" s="14" t="s">
        <v>1659</v>
      </c>
      <c r="M280">
        <v>0.1</v>
      </c>
      <c r="N280" s="14" t="s">
        <v>1660</v>
      </c>
      <c r="X280" s="14" t="s">
        <v>1661</v>
      </c>
      <c r="Y280" s="14">
        <v>9.8000000000000004E-2</v>
      </c>
      <c r="Z280" s="14" t="s">
        <v>1662</v>
      </c>
    </row>
    <row r="281" spans="1:26" x14ac:dyDescent="0.25">
      <c r="A281" t="s">
        <v>1663</v>
      </c>
      <c r="B281" s="14" t="s">
        <v>168</v>
      </c>
      <c r="C281" s="14" t="s">
        <v>97</v>
      </c>
      <c r="D281" s="14" t="s">
        <v>1664</v>
      </c>
      <c r="E281" s="14" t="s">
        <v>151</v>
      </c>
      <c r="F281" s="14">
        <v>0</v>
      </c>
      <c r="I281" s="14" t="s">
        <v>1665</v>
      </c>
      <c r="J281" s="14">
        <v>0.1</v>
      </c>
      <c r="K281" s="14" t="s">
        <v>32</v>
      </c>
      <c r="L281" s="14" t="s">
        <v>1665</v>
      </c>
      <c r="M281">
        <v>0.1</v>
      </c>
      <c r="N281" s="14" t="s">
        <v>1666</v>
      </c>
      <c r="X281" s="14" t="s">
        <v>1667</v>
      </c>
      <c r="Y281" s="14">
        <v>9.8000000000000004E-2</v>
      </c>
      <c r="Z281" s="14" t="s">
        <v>1668</v>
      </c>
    </row>
    <row r="282" spans="1:26" x14ac:dyDescent="0.25">
      <c r="A282" t="s">
        <v>1669</v>
      </c>
      <c r="B282" s="14" t="s">
        <v>168</v>
      </c>
      <c r="C282" s="14" t="s">
        <v>97</v>
      </c>
      <c r="D282" s="14" t="s">
        <v>1670</v>
      </c>
      <c r="E282" s="14" t="s">
        <v>151</v>
      </c>
      <c r="F282" s="14">
        <v>0</v>
      </c>
      <c r="I282" s="14" t="s">
        <v>1671</v>
      </c>
      <c r="J282" s="14">
        <v>0.1</v>
      </c>
      <c r="K282" s="14" t="s">
        <v>32</v>
      </c>
      <c r="L282" s="14" t="s">
        <v>1671</v>
      </c>
      <c r="M282">
        <v>0.1</v>
      </c>
      <c r="N282" s="14" t="s">
        <v>1672</v>
      </c>
      <c r="X282" s="14" t="s">
        <v>1673</v>
      </c>
      <c r="Y282" s="14">
        <v>9.8000000000000004E-2</v>
      </c>
      <c r="Z282" s="14" t="s">
        <v>1674</v>
      </c>
    </row>
    <row r="283" spans="1:26" x14ac:dyDescent="0.25">
      <c r="A283" t="s">
        <v>1675</v>
      </c>
      <c r="B283" s="14" t="s">
        <v>168</v>
      </c>
      <c r="C283" s="14" t="s">
        <v>97</v>
      </c>
      <c r="D283" s="14" t="s">
        <v>1676</v>
      </c>
      <c r="E283" s="14" t="s">
        <v>151</v>
      </c>
      <c r="F283" s="14">
        <v>0</v>
      </c>
      <c r="I283" s="14" t="s">
        <v>1677</v>
      </c>
      <c r="J283" s="14">
        <v>0.1</v>
      </c>
      <c r="K283" s="14" t="s">
        <v>32</v>
      </c>
      <c r="L283" s="14" t="s">
        <v>1677</v>
      </c>
      <c r="M283">
        <v>0.1</v>
      </c>
      <c r="N283" s="14" t="s">
        <v>1678</v>
      </c>
      <c r="X283" s="14" t="s">
        <v>1679</v>
      </c>
      <c r="Y283" s="14">
        <v>9.8000000000000004E-2</v>
      </c>
      <c r="Z283" s="14" t="s">
        <v>1680</v>
      </c>
    </row>
    <row r="284" spans="1:26" x14ac:dyDescent="0.25">
      <c r="A284" t="s">
        <v>1681</v>
      </c>
      <c r="B284" s="14" t="s">
        <v>168</v>
      </c>
      <c r="C284" s="14" t="s">
        <v>97</v>
      </c>
      <c r="D284" s="14" t="s">
        <v>1682</v>
      </c>
      <c r="E284" s="14" t="s">
        <v>151</v>
      </c>
      <c r="F284" s="14">
        <v>0</v>
      </c>
      <c r="I284" s="14" t="s">
        <v>1683</v>
      </c>
      <c r="J284" s="14">
        <v>0.1</v>
      </c>
      <c r="K284" s="14" t="s">
        <v>32</v>
      </c>
      <c r="L284" s="14" t="s">
        <v>1683</v>
      </c>
      <c r="M284">
        <v>0.1</v>
      </c>
      <c r="N284" s="14" t="s">
        <v>1684</v>
      </c>
      <c r="X284" s="14" t="s">
        <v>1685</v>
      </c>
      <c r="Y284" s="14">
        <v>9.8000000000000004E-2</v>
      </c>
      <c r="Z284" s="14" t="s">
        <v>1686</v>
      </c>
    </row>
    <row r="285" spans="1:26" x14ac:dyDescent="0.25">
      <c r="A285" t="s">
        <v>1687</v>
      </c>
      <c r="B285" s="14" t="s">
        <v>168</v>
      </c>
      <c r="C285" s="14" t="s">
        <v>97</v>
      </c>
      <c r="D285" s="14" t="s">
        <v>1688</v>
      </c>
      <c r="E285" s="14" t="s">
        <v>151</v>
      </c>
      <c r="F285" s="14">
        <v>0</v>
      </c>
      <c r="I285" s="14" t="s">
        <v>1689</v>
      </c>
      <c r="J285" s="14">
        <v>0.1</v>
      </c>
      <c r="K285" s="14" t="s">
        <v>32</v>
      </c>
      <c r="L285" s="14" t="s">
        <v>1689</v>
      </c>
      <c r="M285">
        <v>0.1</v>
      </c>
      <c r="N285" s="14" t="s">
        <v>1690</v>
      </c>
      <c r="X285" s="14" t="s">
        <v>1691</v>
      </c>
      <c r="Y285" s="14">
        <v>9.8000000000000004E-2</v>
      </c>
      <c r="Z285" s="14" t="s">
        <v>1692</v>
      </c>
    </row>
    <row r="286" spans="1:26" x14ac:dyDescent="0.25">
      <c r="A286" t="s">
        <v>1693</v>
      </c>
      <c r="B286" s="14" t="s">
        <v>168</v>
      </c>
      <c r="C286" s="14" t="s">
        <v>1694</v>
      </c>
      <c r="D286" s="14" t="s">
        <v>1695</v>
      </c>
      <c r="E286" s="14" t="s">
        <v>151</v>
      </c>
      <c r="F286" s="14">
        <v>10</v>
      </c>
      <c r="G286" s="14">
        <v>10</v>
      </c>
      <c r="H286" s="14">
        <v>1</v>
      </c>
      <c r="I286" s="14" t="s">
        <v>1696</v>
      </c>
      <c r="J286" s="14">
        <v>0.1</v>
      </c>
      <c r="K286" s="14" t="s">
        <v>32</v>
      </c>
      <c r="L286" s="14" t="s">
        <v>1696</v>
      </c>
      <c r="M286">
        <v>0.1</v>
      </c>
      <c r="N286" s="14" t="s">
        <v>1697</v>
      </c>
      <c r="X286" s="14" t="s">
        <v>1698</v>
      </c>
      <c r="Y286" s="14">
        <v>9.8000000000000004E-2</v>
      </c>
      <c r="Z286" s="14" t="s">
        <v>1699</v>
      </c>
    </row>
    <row r="287" spans="1:26" x14ac:dyDescent="0.25">
      <c r="A287" t="s">
        <v>1700</v>
      </c>
      <c r="B287" s="14" t="s">
        <v>168</v>
      </c>
      <c r="C287" s="14" t="s">
        <v>97</v>
      </c>
      <c r="D287" s="14" t="s">
        <v>1701</v>
      </c>
      <c r="E287" s="14" t="s">
        <v>151</v>
      </c>
      <c r="F287" s="14">
        <v>0</v>
      </c>
      <c r="I287" s="14" t="s">
        <v>1702</v>
      </c>
      <c r="J287" s="14">
        <v>0.1</v>
      </c>
      <c r="K287" s="14" t="s">
        <v>32</v>
      </c>
      <c r="L287" s="14" t="s">
        <v>1702</v>
      </c>
      <c r="M287">
        <v>0.1</v>
      </c>
      <c r="N287" s="14" t="s">
        <v>1703</v>
      </c>
      <c r="X287" s="14" t="s">
        <v>1704</v>
      </c>
      <c r="Y287" s="14">
        <v>9.8000000000000004E-2</v>
      </c>
      <c r="Z287" s="14" t="s">
        <v>1705</v>
      </c>
    </row>
    <row r="288" spans="1:26" x14ac:dyDescent="0.25">
      <c r="A288" t="s">
        <v>1706</v>
      </c>
      <c r="B288" s="14" t="s">
        <v>168</v>
      </c>
      <c r="C288" s="14" t="s">
        <v>97</v>
      </c>
      <c r="D288" s="14" t="s">
        <v>1707</v>
      </c>
      <c r="E288" s="14" t="s">
        <v>151</v>
      </c>
      <c r="F288" s="14">
        <v>0</v>
      </c>
      <c r="I288" s="14" t="s">
        <v>1708</v>
      </c>
      <c r="J288" s="14">
        <v>0.1</v>
      </c>
      <c r="K288" s="14" t="s">
        <v>32</v>
      </c>
      <c r="L288" s="14" t="s">
        <v>1708</v>
      </c>
      <c r="M288">
        <v>0.1</v>
      </c>
      <c r="N288" s="14" t="s">
        <v>1709</v>
      </c>
      <c r="X288" s="14" t="s">
        <v>1710</v>
      </c>
      <c r="Y288" s="14">
        <v>9.8000000000000004E-2</v>
      </c>
      <c r="Z288" s="14" t="s">
        <v>1711</v>
      </c>
    </row>
    <row r="289" spans="1:26" x14ac:dyDescent="0.25">
      <c r="A289" t="s">
        <v>1712</v>
      </c>
      <c r="B289" s="14" t="s">
        <v>168</v>
      </c>
      <c r="C289" s="14" t="s">
        <v>97</v>
      </c>
      <c r="D289" s="14" t="s">
        <v>1713</v>
      </c>
      <c r="E289" s="14" t="s">
        <v>151</v>
      </c>
      <c r="F289" s="14">
        <v>0</v>
      </c>
      <c r="I289" s="14" t="s">
        <v>1714</v>
      </c>
      <c r="J289" s="14">
        <v>0.1</v>
      </c>
      <c r="K289" s="14" t="s">
        <v>32</v>
      </c>
      <c r="L289" s="14" t="s">
        <v>1714</v>
      </c>
      <c r="M289">
        <v>0.1</v>
      </c>
      <c r="N289" s="14" t="s">
        <v>1715</v>
      </c>
      <c r="X289" s="14" t="s">
        <v>1716</v>
      </c>
      <c r="Y289" s="14">
        <v>9.8000000000000004E-2</v>
      </c>
      <c r="Z289" s="14" t="s">
        <v>1717</v>
      </c>
    </row>
    <row r="290" spans="1:26" x14ac:dyDescent="0.25">
      <c r="A290" t="s">
        <v>1718</v>
      </c>
      <c r="B290" s="14" t="s">
        <v>168</v>
      </c>
      <c r="C290" s="14" t="s">
        <v>97</v>
      </c>
      <c r="D290" s="14" t="s">
        <v>1719</v>
      </c>
      <c r="E290" s="14" t="s">
        <v>151</v>
      </c>
      <c r="F290" s="14">
        <v>0</v>
      </c>
      <c r="I290" s="14" t="s">
        <v>1720</v>
      </c>
      <c r="J290" s="14">
        <v>0.1</v>
      </c>
      <c r="K290" s="14" t="s">
        <v>32</v>
      </c>
      <c r="L290" s="14" t="s">
        <v>1720</v>
      </c>
      <c r="M290">
        <v>0.1</v>
      </c>
      <c r="N290" s="14" t="s">
        <v>1721</v>
      </c>
      <c r="X290" s="14" t="s">
        <v>1722</v>
      </c>
      <c r="Y290" s="14">
        <v>9.8000000000000004E-2</v>
      </c>
      <c r="Z290" s="14" t="s">
        <v>1723</v>
      </c>
    </row>
    <row r="291" spans="1:26" x14ac:dyDescent="0.25">
      <c r="A291" t="s">
        <v>1724</v>
      </c>
      <c r="B291" s="14" t="s">
        <v>168</v>
      </c>
      <c r="C291" s="14" t="s">
        <v>97</v>
      </c>
      <c r="D291" s="14" t="s">
        <v>1725</v>
      </c>
      <c r="E291" s="14" t="s">
        <v>151</v>
      </c>
      <c r="F291" s="14">
        <v>0</v>
      </c>
      <c r="I291" s="14" t="s">
        <v>1726</v>
      </c>
      <c r="J291" s="14">
        <v>0.1</v>
      </c>
      <c r="K291" s="14" t="s">
        <v>32</v>
      </c>
      <c r="L291" s="14" t="s">
        <v>1726</v>
      </c>
      <c r="M291">
        <v>0.1</v>
      </c>
      <c r="N291" s="14" t="s">
        <v>1727</v>
      </c>
      <c r="X291" s="14" t="s">
        <v>1728</v>
      </c>
      <c r="Y291" s="14">
        <v>9.8000000000000004E-2</v>
      </c>
      <c r="Z291" s="14" t="s">
        <v>1729</v>
      </c>
    </row>
    <row r="292" spans="1:26" x14ac:dyDescent="0.25">
      <c r="A292" t="s">
        <v>1730</v>
      </c>
      <c r="B292" s="14" t="s">
        <v>168</v>
      </c>
      <c r="C292" s="14" t="s">
        <v>97</v>
      </c>
      <c r="D292" s="14" t="s">
        <v>1731</v>
      </c>
      <c r="E292" s="14" t="s">
        <v>151</v>
      </c>
      <c r="F292" s="14">
        <v>0</v>
      </c>
      <c r="I292" s="14" t="s">
        <v>1732</v>
      </c>
      <c r="J292" s="14">
        <v>0.1</v>
      </c>
      <c r="K292" s="14" t="s">
        <v>32</v>
      </c>
      <c r="L292" s="14" t="s">
        <v>1732</v>
      </c>
      <c r="M292">
        <v>0.1</v>
      </c>
      <c r="N292" s="14" t="s">
        <v>1733</v>
      </c>
      <c r="X292" s="14" t="s">
        <v>1734</v>
      </c>
      <c r="Y292" s="14">
        <v>9.8000000000000004E-2</v>
      </c>
      <c r="Z292" s="14" t="s">
        <v>1735</v>
      </c>
    </row>
    <row r="293" spans="1:26" x14ac:dyDescent="0.25">
      <c r="A293" t="s">
        <v>1736</v>
      </c>
      <c r="B293" s="14" t="s">
        <v>168</v>
      </c>
      <c r="C293" s="14" t="s">
        <v>97</v>
      </c>
      <c r="D293" s="14" t="s">
        <v>1737</v>
      </c>
      <c r="E293" s="14" t="s">
        <v>151</v>
      </c>
      <c r="F293" s="14">
        <v>0</v>
      </c>
      <c r="I293" s="14" t="s">
        <v>1738</v>
      </c>
      <c r="J293" s="14">
        <v>0.1</v>
      </c>
      <c r="K293" s="14" t="s">
        <v>32</v>
      </c>
      <c r="L293" s="14" t="s">
        <v>1738</v>
      </c>
      <c r="M293">
        <v>0.1</v>
      </c>
      <c r="N293" s="14" t="s">
        <v>1739</v>
      </c>
      <c r="X293" s="14" t="s">
        <v>1740</v>
      </c>
      <c r="Y293" s="14">
        <v>9.8000000000000004E-2</v>
      </c>
      <c r="Z293" s="14" t="s">
        <v>1741</v>
      </c>
    </row>
    <row r="294" spans="1:26" x14ac:dyDescent="0.25">
      <c r="A294" t="s">
        <v>1742</v>
      </c>
      <c r="B294" s="14" t="s">
        <v>168</v>
      </c>
      <c r="C294" s="14" t="s">
        <v>97</v>
      </c>
      <c r="D294" s="14" t="s">
        <v>1743</v>
      </c>
      <c r="E294" s="14" t="s">
        <v>151</v>
      </c>
      <c r="F294" s="14">
        <v>0</v>
      </c>
      <c r="I294" s="14" t="s">
        <v>1744</v>
      </c>
      <c r="J294" s="14">
        <v>0.1</v>
      </c>
      <c r="K294" s="14" t="s">
        <v>32</v>
      </c>
      <c r="L294" s="14" t="s">
        <v>1744</v>
      </c>
      <c r="M294">
        <v>0.1</v>
      </c>
      <c r="N294" s="14" t="s">
        <v>1745</v>
      </c>
      <c r="X294" s="14" t="s">
        <v>1746</v>
      </c>
      <c r="Y294" s="14">
        <v>9.8000000000000004E-2</v>
      </c>
      <c r="Z294" s="14" t="s">
        <v>1747</v>
      </c>
    </row>
    <row r="295" spans="1:26" x14ac:dyDescent="0.25">
      <c r="A295" t="s">
        <v>1748</v>
      </c>
      <c r="B295" s="14" t="s">
        <v>168</v>
      </c>
      <c r="C295" s="14" t="s">
        <v>97</v>
      </c>
      <c r="D295" s="14" t="s">
        <v>1749</v>
      </c>
      <c r="E295" s="14" t="s">
        <v>151</v>
      </c>
      <c r="F295" s="14">
        <v>0</v>
      </c>
      <c r="I295" s="14" t="s">
        <v>1750</v>
      </c>
      <c r="J295" s="14">
        <v>0.1</v>
      </c>
      <c r="K295" s="14" t="s">
        <v>32</v>
      </c>
      <c r="L295" s="14" t="s">
        <v>1750</v>
      </c>
      <c r="M295">
        <v>0.1</v>
      </c>
      <c r="N295" s="14" t="s">
        <v>1751</v>
      </c>
      <c r="X295" s="14" t="s">
        <v>1752</v>
      </c>
      <c r="Y295" s="14">
        <v>9.8000000000000004E-2</v>
      </c>
      <c r="Z295" s="14" t="s">
        <v>1753</v>
      </c>
    </row>
    <row r="296" spans="1:26" x14ac:dyDescent="0.25">
      <c r="A296" t="s">
        <v>1754</v>
      </c>
      <c r="B296" s="14" t="s">
        <v>168</v>
      </c>
      <c r="C296" s="14" t="s">
        <v>97</v>
      </c>
      <c r="D296" s="14" t="s">
        <v>1755</v>
      </c>
      <c r="E296" s="14" t="s">
        <v>151</v>
      </c>
      <c r="F296" s="14">
        <v>0</v>
      </c>
      <c r="I296" s="14" t="s">
        <v>1756</v>
      </c>
      <c r="J296" s="14">
        <v>0.1</v>
      </c>
      <c r="K296" s="14" t="s">
        <v>32</v>
      </c>
      <c r="L296" s="14" t="s">
        <v>1756</v>
      </c>
      <c r="M296">
        <v>0.1</v>
      </c>
      <c r="N296" s="14" t="s">
        <v>1757</v>
      </c>
      <c r="X296" s="14" t="s">
        <v>1758</v>
      </c>
      <c r="Y296" s="14">
        <v>9.8000000000000004E-2</v>
      </c>
      <c r="Z296" s="14" t="s">
        <v>1759</v>
      </c>
    </row>
    <row r="297" spans="1:26" x14ac:dyDescent="0.25">
      <c r="A297" t="s">
        <v>1760</v>
      </c>
      <c r="B297" s="14" t="s">
        <v>168</v>
      </c>
      <c r="C297" s="14" t="s">
        <v>97</v>
      </c>
      <c r="D297" s="14" t="s">
        <v>1761</v>
      </c>
      <c r="E297" s="14" t="s">
        <v>151</v>
      </c>
      <c r="F297" s="14">
        <v>0</v>
      </c>
      <c r="I297" s="14" t="s">
        <v>1762</v>
      </c>
      <c r="J297" s="14">
        <v>0.1</v>
      </c>
      <c r="K297" s="14" t="s">
        <v>32</v>
      </c>
      <c r="L297" s="14" t="s">
        <v>1762</v>
      </c>
      <c r="M297">
        <v>0.1</v>
      </c>
      <c r="N297" s="14" t="s">
        <v>1763</v>
      </c>
      <c r="X297" s="14" t="s">
        <v>1764</v>
      </c>
      <c r="Y297" s="14">
        <v>9.8000000000000004E-2</v>
      </c>
      <c r="Z297" s="14" t="s">
        <v>1765</v>
      </c>
    </row>
    <row r="298" spans="1:26" x14ac:dyDescent="0.25">
      <c r="A298" t="s">
        <v>1766</v>
      </c>
      <c r="B298" s="14" t="s">
        <v>168</v>
      </c>
      <c r="C298" s="14" t="s">
        <v>97</v>
      </c>
      <c r="D298" s="14" t="s">
        <v>1767</v>
      </c>
      <c r="E298" s="14" t="s">
        <v>151</v>
      </c>
      <c r="F298" s="14">
        <v>0</v>
      </c>
      <c r="I298" s="14" t="s">
        <v>1768</v>
      </c>
      <c r="J298" s="14">
        <v>0.1</v>
      </c>
      <c r="K298" s="14" t="s">
        <v>32</v>
      </c>
      <c r="L298" s="14" t="s">
        <v>1768</v>
      </c>
      <c r="M298">
        <v>0.1</v>
      </c>
      <c r="N298" s="14" t="s">
        <v>1769</v>
      </c>
      <c r="X298" s="14" t="s">
        <v>1770</v>
      </c>
      <c r="Y298" s="14">
        <v>9.8000000000000004E-2</v>
      </c>
      <c r="Z298" s="14" t="s">
        <v>1771</v>
      </c>
    </row>
    <row r="299" spans="1:26" x14ac:dyDescent="0.25">
      <c r="A299" t="s">
        <v>1772</v>
      </c>
      <c r="B299" s="14" t="s">
        <v>168</v>
      </c>
      <c r="C299" s="14" t="s">
        <v>97</v>
      </c>
      <c r="D299" s="14" t="s">
        <v>1773</v>
      </c>
      <c r="E299" s="14" t="s">
        <v>151</v>
      </c>
      <c r="F299" s="14">
        <v>0</v>
      </c>
      <c r="I299" s="14" t="s">
        <v>1774</v>
      </c>
      <c r="J299" s="14">
        <v>0.1</v>
      </c>
      <c r="K299" s="14" t="s">
        <v>32</v>
      </c>
      <c r="L299" s="14" t="s">
        <v>1774</v>
      </c>
      <c r="M299">
        <v>0.1</v>
      </c>
      <c r="N299" s="14" t="s">
        <v>1775</v>
      </c>
      <c r="X299" s="14" t="s">
        <v>1776</v>
      </c>
      <c r="Y299" s="14">
        <v>9.8000000000000004E-2</v>
      </c>
      <c r="Z299" s="14" t="s">
        <v>1777</v>
      </c>
    </row>
    <row r="300" spans="1:26" x14ac:dyDescent="0.25">
      <c r="A300" t="s">
        <v>1778</v>
      </c>
      <c r="B300" s="14" t="s">
        <v>168</v>
      </c>
      <c r="C300" s="14" t="s">
        <v>97</v>
      </c>
      <c r="D300" s="14" t="s">
        <v>1779</v>
      </c>
      <c r="E300" s="14" t="s">
        <v>151</v>
      </c>
      <c r="F300" s="14">
        <v>0</v>
      </c>
      <c r="I300" s="14" t="s">
        <v>1780</v>
      </c>
      <c r="J300" s="14">
        <v>0.1</v>
      </c>
      <c r="K300" s="14" t="s">
        <v>32</v>
      </c>
      <c r="L300" s="14" t="s">
        <v>1780</v>
      </c>
      <c r="M300">
        <v>0.1</v>
      </c>
      <c r="N300" s="14" t="s">
        <v>1781</v>
      </c>
      <c r="X300" s="14" t="s">
        <v>1782</v>
      </c>
      <c r="Y300" s="14">
        <v>9.8000000000000004E-2</v>
      </c>
      <c r="Z300" s="14" t="s">
        <v>1783</v>
      </c>
    </row>
    <row r="301" spans="1:26" x14ac:dyDescent="0.25">
      <c r="A301" t="s">
        <v>184</v>
      </c>
      <c r="B301" s="14" t="s">
        <v>168</v>
      </c>
      <c r="C301" s="14" t="s">
        <v>1784</v>
      </c>
      <c r="D301" s="14" t="s">
        <v>1785</v>
      </c>
      <c r="E301" s="14" t="s">
        <v>151</v>
      </c>
      <c r="F301" s="14">
        <v>10</v>
      </c>
      <c r="G301" s="14">
        <v>10</v>
      </c>
      <c r="H301" s="14">
        <v>1</v>
      </c>
      <c r="I301" s="14" t="s">
        <v>1786</v>
      </c>
      <c r="J301" s="14">
        <v>0.1</v>
      </c>
      <c r="K301" s="14" t="s">
        <v>32</v>
      </c>
      <c r="L301" s="14" t="s">
        <v>1786</v>
      </c>
      <c r="M301">
        <v>0.1</v>
      </c>
      <c r="N301" s="14" t="s">
        <v>1787</v>
      </c>
      <c r="X301" s="14" t="s">
        <v>1788</v>
      </c>
      <c r="Y301" s="14">
        <v>9.8000000000000004E-2</v>
      </c>
      <c r="Z301" s="14" t="s">
        <v>1789</v>
      </c>
    </row>
    <row r="302" spans="1:26" x14ac:dyDescent="0.25">
      <c r="A302" t="s">
        <v>1790</v>
      </c>
      <c r="B302" s="14" t="s">
        <v>168</v>
      </c>
      <c r="C302" s="14" t="s">
        <v>97</v>
      </c>
      <c r="D302" s="14" t="s">
        <v>1791</v>
      </c>
      <c r="E302" s="14" t="s">
        <v>151</v>
      </c>
      <c r="F302" s="14">
        <v>0</v>
      </c>
      <c r="I302" s="14" t="s">
        <v>1792</v>
      </c>
      <c r="J302" s="14">
        <v>0.1</v>
      </c>
      <c r="K302" s="14" t="s">
        <v>32</v>
      </c>
      <c r="L302" s="14" t="s">
        <v>1792</v>
      </c>
      <c r="M302">
        <v>0.1</v>
      </c>
      <c r="N302" s="14" t="s">
        <v>1793</v>
      </c>
      <c r="X302" s="14" t="s">
        <v>1794</v>
      </c>
      <c r="Y302" s="14">
        <v>9.8000000000000004E-2</v>
      </c>
      <c r="Z302" s="14" t="s">
        <v>1795</v>
      </c>
    </row>
    <row r="303" spans="1:26" x14ac:dyDescent="0.25">
      <c r="A303" t="s">
        <v>1796</v>
      </c>
      <c r="B303" s="14" t="s">
        <v>168</v>
      </c>
      <c r="C303" s="14" t="s">
        <v>97</v>
      </c>
      <c r="D303" s="14" t="s">
        <v>1797</v>
      </c>
      <c r="E303" s="14" t="s">
        <v>151</v>
      </c>
      <c r="F303" s="14">
        <v>0</v>
      </c>
      <c r="I303" s="14" t="s">
        <v>1798</v>
      </c>
      <c r="J303" s="14">
        <v>0.1</v>
      </c>
      <c r="K303" s="14" t="s">
        <v>32</v>
      </c>
      <c r="L303" s="14" t="s">
        <v>1798</v>
      </c>
      <c r="M303">
        <v>0.1</v>
      </c>
      <c r="N303" s="14" t="s">
        <v>1799</v>
      </c>
      <c r="X303" s="14" t="s">
        <v>1800</v>
      </c>
      <c r="Y303" s="14">
        <v>9.8000000000000004E-2</v>
      </c>
      <c r="Z303" s="14" t="s">
        <v>1801</v>
      </c>
    </row>
    <row r="304" spans="1:26" x14ac:dyDescent="0.25">
      <c r="A304" t="s">
        <v>1802</v>
      </c>
      <c r="B304" s="14" t="s">
        <v>168</v>
      </c>
      <c r="C304" s="14" t="s">
        <v>97</v>
      </c>
      <c r="D304" s="14" t="s">
        <v>1803</v>
      </c>
      <c r="E304" s="14" t="s">
        <v>151</v>
      </c>
      <c r="F304" s="14">
        <v>0</v>
      </c>
      <c r="I304" s="14" t="s">
        <v>1804</v>
      </c>
      <c r="J304" s="14">
        <v>0.1</v>
      </c>
      <c r="K304" s="14" t="s">
        <v>32</v>
      </c>
      <c r="L304" s="14" t="s">
        <v>1804</v>
      </c>
      <c r="M304">
        <v>0.1</v>
      </c>
      <c r="N304" s="14" t="s">
        <v>1805</v>
      </c>
      <c r="X304" s="14" t="s">
        <v>1806</v>
      </c>
      <c r="Y304" s="14">
        <v>9.8000000000000004E-2</v>
      </c>
      <c r="Z304" s="14" t="s">
        <v>1807</v>
      </c>
    </row>
    <row r="305" spans="1:26" x14ac:dyDescent="0.25">
      <c r="A305" t="s">
        <v>1808</v>
      </c>
      <c r="B305" s="14" t="s">
        <v>168</v>
      </c>
      <c r="C305" s="14" t="s">
        <v>97</v>
      </c>
      <c r="D305" s="14" t="s">
        <v>1809</v>
      </c>
      <c r="E305" s="14" t="s">
        <v>151</v>
      </c>
      <c r="F305" s="14">
        <v>0</v>
      </c>
      <c r="I305" s="14" t="s">
        <v>1810</v>
      </c>
      <c r="J305" s="14">
        <v>0.1</v>
      </c>
      <c r="K305" s="14" t="s">
        <v>32</v>
      </c>
      <c r="L305" s="14" t="s">
        <v>1810</v>
      </c>
      <c r="M305">
        <v>0.1</v>
      </c>
      <c r="N305" s="14" t="s">
        <v>1811</v>
      </c>
      <c r="X305" s="14" t="s">
        <v>1812</v>
      </c>
      <c r="Y305" s="14">
        <v>9.8000000000000004E-2</v>
      </c>
      <c r="Z305" s="14" t="s">
        <v>1813</v>
      </c>
    </row>
    <row r="306" spans="1:26" x14ac:dyDescent="0.25">
      <c r="A306" t="s">
        <v>1814</v>
      </c>
      <c r="B306" s="14" t="s">
        <v>168</v>
      </c>
      <c r="C306" s="14" t="s">
        <v>97</v>
      </c>
      <c r="D306" s="14" t="s">
        <v>1815</v>
      </c>
      <c r="E306" s="14" t="s">
        <v>151</v>
      </c>
      <c r="F306" s="14">
        <v>0</v>
      </c>
      <c r="I306" s="14" t="s">
        <v>1816</v>
      </c>
      <c r="J306" s="14">
        <v>0.1</v>
      </c>
      <c r="K306" s="14" t="s">
        <v>32</v>
      </c>
      <c r="L306" s="14" t="s">
        <v>1816</v>
      </c>
      <c r="M306">
        <v>0.1</v>
      </c>
      <c r="N306" s="14" t="s">
        <v>1817</v>
      </c>
      <c r="X306" s="14" t="s">
        <v>1818</v>
      </c>
      <c r="Y306" s="14">
        <v>9.8000000000000004E-2</v>
      </c>
      <c r="Z306" s="14" t="s">
        <v>1819</v>
      </c>
    </row>
    <row r="307" spans="1:26" x14ac:dyDescent="0.25">
      <c r="A307" t="s">
        <v>1820</v>
      </c>
      <c r="B307" s="14" t="s">
        <v>168</v>
      </c>
      <c r="C307" s="14" t="s">
        <v>97</v>
      </c>
      <c r="D307" s="14" t="s">
        <v>1821</v>
      </c>
      <c r="E307" s="14" t="s">
        <v>151</v>
      </c>
      <c r="F307" s="14">
        <v>0</v>
      </c>
      <c r="I307" s="14" t="s">
        <v>1822</v>
      </c>
      <c r="J307" s="14">
        <v>0.1</v>
      </c>
      <c r="K307" s="14" t="s">
        <v>32</v>
      </c>
      <c r="L307" s="14" t="s">
        <v>1822</v>
      </c>
      <c r="M307">
        <v>0.1</v>
      </c>
      <c r="N307" s="14" t="s">
        <v>1823</v>
      </c>
      <c r="X307" s="14" t="s">
        <v>1824</v>
      </c>
      <c r="Y307" s="14">
        <v>9.8000000000000004E-2</v>
      </c>
      <c r="Z307" s="14" t="s">
        <v>1825</v>
      </c>
    </row>
    <row r="308" spans="1:26" x14ac:dyDescent="0.25">
      <c r="A308" t="s">
        <v>1826</v>
      </c>
      <c r="B308" s="14" t="s">
        <v>168</v>
      </c>
      <c r="C308" s="14" t="s">
        <v>97</v>
      </c>
      <c r="D308" s="14" t="s">
        <v>1827</v>
      </c>
      <c r="E308" s="14" t="s">
        <v>151</v>
      </c>
      <c r="F308" s="14">
        <v>0</v>
      </c>
      <c r="I308" s="14" t="s">
        <v>1828</v>
      </c>
      <c r="J308" s="14">
        <v>0.1</v>
      </c>
      <c r="K308" s="14" t="s">
        <v>32</v>
      </c>
      <c r="L308" s="14" t="s">
        <v>1828</v>
      </c>
      <c r="M308">
        <v>0.1</v>
      </c>
      <c r="N308" s="14" t="s">
        <v>1829</v>
      </c>
      <c r="X308" s="14" t="s">
        <v>1830</v>
      </c>
      <c r="Y308" s="14">
        <v>9.8000000000000004E-2</v>
      </c>
      <c r="Z308" s="14" t="s">
        <v>1831</v>
      </c>
    </row>
    <row r="309" spans="1:26" x14ac:dyDescent="0.25">
      <c r="A309" t="s">
        <v>1832</v>
      </c>
      <c r="B309" s="14" t="s">
        <v>168</v>
      </c>
      <c r="C309" s="14" t="s">
        <v>97</v>
      </c>
      <c r="D309" s="14" t="s">
        <v>1833</v>
      </c>
      <c r="E309" s="14" t="s">
        <v>151</v>
      </c>
      <c r="F309" s="14">
        <v>0</v>
      </c>
      <c r="I309" s="14" t="s">
        <v>1834</v>
      </c>
      <c r="J309" s="14">
        <v>0.1</v>
      </c>
      <c r="K309" s="14" t="s">
        <v>32</v>
      </c>
      <c r="L309" s="14" t="s">
        <v>1834</v>
      </c>
      <c r="M309">
        <v>0.1</v>
      </c>
      <c r="N309" s="14" t="s">
        <v>1835</v>
      </c>
      <c r="X309" s="14" t="s">
        <v>1836</v>
      </c>
      <c r="Y309" s="14">
        <v>9.8000000000000004E-2</v>
      </c>
      <c r="Z309" s="14" t="s">
        <v>1837</v>
      </c>
    </row>
    <row r="310" spans="1:26" x14ac:dyDescent="0.25">
      <c r="A310" t="s">
        <v>1838</v>
      </c>
      <c r="B310" s="14" t="s">
        <v>168</v>
      </c>
      <c r="C310" s="14" t="s">
        <v>97</v>
      </c>
      <c r="D310" s="14" t="s">
        <v>1839</v>
      </c>
      <c r="E310" s="14" t="s">
        <v>151</v>
      </c>
      <c r="F310" s="14">
        <v>0</v>
      </c>
      <c r="I310" s="14" t="s">
        <v>1840</v>
      </c>
      <c r="J310" s="14">
        <v>0.1</v>
      </c>
      <c r="K310" s="14" t="s">
        <v>32</v>
      </c>
      <c r="L310" s="14" t="s">
        <v>1840</v>
      </c>
      <c r="M310">
        <v>0.1</v>
      </c>
      <c r="N310" s="14" t="s">
        <v>1841</v>
      </c>
      <c r="X310" s="14" t="s">
        <v>1842</v>
      </c>
      <c r="Y310" s="14">
        <v>9.8000000000000004E-2</v>
      </c>
      <c r="Z310" s="14" t="s">
        <v>1843</v>
      </c>
    </row>
    <row r="311" spans="1:26" x14ac:dyDescent="0.25">
      <c r="A311" t="s">
        <v>1844</v>
      </c>
      <c r="B311" s="14" t="s">
        <v>168</v>
      </c>
      <c r="C311" s="14" t="s">
        <v>97</v>
      </c>
      <c r="D311" s="14" t="s">
        <v>1845</v>
      </c>
      <c r="E311" s="14" t="s">
        <v>151</v>
      </c>
      <c r="F311" s="14">
        <v>0</v>
      </c>
      <c r="I311" s="14" t="s">
        <v>1846</v>
      </c>
      <c r="J311" s="14">
        <v>0.1</v>
      </c>
      <c r="K311" s="14" t="s">
        <v>32</v>
      </c>
      <c r="L311" s="14" t="s">
        <v>1846</v>
      </c>
      <c r="M311">
        <v>0.1</v>
      </c>
      <c r="N311" s="14" t="s">
        <v>1847</v>
      </c>
      <c r="X311" s="14" t="s">
        <v>1848</v>
      </c>
      <c r="Y311" s="14">
        <v>9.8000000000000004E-2</v>
      </c>
      <c r="Z311" s="14" t="s">
        <v>1849</v>
      </c>
    </row>
    <row r="312" spans="1:26" x14ac:dyDescent="0.25">
      <c r="A312" t="s">
        <v>1850</v>
      </c>
      <c r="B312" s="14" t="s">
        <v>168</v>
      </c>
      <c r="C312" s="14" t="s">
        <v>97</v>
      </c>
      <c r="D312" s="14" t="s">
        <v>1851</v>
      </c>
      <c r="E312" s="14" t="s">
        <v>151</v>
      </c>
      <c r="F312" s="14">
        <v>0</v>
      </c>
      <c r="I312" s="14" t="s">
        <v>1852</v>
      </c>
      <c r="J312" s="14">
        <v>0.1</v>
      </c>
      <c r="K312" s="14" t="s">
        <v>32</v>
      </c>
      <c r="L312" s="14" t="s">
        <v>1852</v>
      </c>
      <c r="M312">
        <v>0.1</v>
      </c>
      <c r="N312" s="14" t="s">
        <v>1853</v>
      </c>
      <c r="X312" s="14" t="s">
        <v>1854</v>
      </c>
      <c r="Y312" s="14">
        <v>9.8000000000000004E-2</v>
      </c>
      <c r="Z312" s="14" t="s">
        <v>1855</v>
      </c>
    </row>
    <row r="313" spans="1:26" x14ac:dyDescent="0.25">
      <c r="A313" t="s">
        <v>1856</v>
      </c>
      <c r="B313" s="14" t="s">
        <v>168</v>
      </c>
      <c r="C313" s="14" t="s">
        <v>97</v>
      </c>
      <c r="D313" s="14" t="s">
        <v>1857</v>
      </c>
      <c r="E313" s="14" t="s">
        <v>151</v>
      </c>
      <c r="F313" s="14">
        <v>0</v>
      </c>
      <c r="I313" s="14" t="s">
        <v>1858</v>
      </c>
      <c r="J313" s="14">
        <v>0.1</v>
      </c>
      <c r="K313" s="14" t="s">
        <v>32</v>
      </c>
      <c r="L313" s="14" t="s">
        <v>1858</v>
      </c>
      <c r="M313">
        <v>0.1</v>
      </c>
      <c r="N313" s="14" t="s">
        <v>1859</v>
      </c>
      <c r="X313" s="14" t="s">
        <v>1860</v>
      </c>
      <c r="Y313" s="14">
        <v>9.8000000000000004E-2</v>
      </c>
      <c r="Z313" s="14" t="s">
        <v>1861</v>
      </c>
    </row>
    <row r="314" spans="1:26" x14ac:dyDescent="0.25">
      <c r="A314" t="s">
        <v>192</v>
      </c>
      <c r="B314" s="14" t="s">
        <v>168</v>
      </c>
      <c r="C314" s="14" t="s">
        <v>1862</v>
      </c>
      <c r="D314" s="14" t="s">
        <v>1863</v>
      </c>
      <c r="E314" s="14" t="s">
        <v>151</v>
      </c>
      <c r="F314" s="14">
        <v>9</v>
      </c>
      <c r="I314" s="14" t="s">
        <v>1864</v>
      </c>
      <c r="J314" s="14">
        <v>0.1</v>
      </c>
      <c r="K314" s="14" t="s">
        <v>32</v>
      </c>
      <c r="L314" s="14" t="s">
        <v>1864</v>
      </c>
      <c r="M314">
        <v>0.1</v>
      </c>
      <c r="N314" s="14" t="s">
        <v>1865</v>
      </c>
      <c r="X314" s="14" t="s">
        <v>1866</v>
      </c>
      <c r="Y314" s="14">
        <v>9.8000000000000004E-2</v>
      </c>
      <c r="Z314" s="14" t="s">
        <v>1867</v>
      </c>
    </row>
    <row r="315" spans="1:26" x14ac:dyDescent="0.25">
      <c r="A315" t="s">
        <v>1868</v>
      </c>
      <c r="B315" s="14" t="s">
        <v>168</v>
      </c>
      <c r="C315" s="14" t="s">
        <v>1869</v>
      </c>
      <c r="D315" s="14" t="s">
        <v>1870</v>
      </c>
      <c r="E315" s="14" t="s">
        <v>151</v>
      </c>
      <c r="F315" s="14">
        <v>10</v>
      </c>
      <c r="G315" s="14">
        <v>10</v>
      </c>
      <c r="H315" s="14">
        <v>1</v>
      </c>
      <c r="I315" s="14" t="s">
        <v>1871</v>
      </c>
      <c r="J315" s="14">
        <v>0.1</v>
      </c>
      <c r="K315" s="14" t="s">
        <v>32</v>
      </c>
      <c r="L315" s="14" t="s">
        <v>1871</v>
      </c>
      <c r="M315">
        <v>0.1</v>
      </c>
      <c r="N315" s="14" t="s">
        <v>1872</v>
      </c>
      <c r="X315" s="14" t="s">
        <v>1873</v>
      </c>
      <c r="Y315" s="14">
        <v>9.8000000000000004E-2</v>
      </c>
      <c r="Z315" s="14" t="s">
        <v>1874</v>
      </c>
    </row>
    <row r="316" spans="1:26" x14ac:dyDescent="0.25">
      <c r="A316" t="s">
        <v>1875</v>
      </c>
      <c r="B316" s="14" t="s">
        <v>168</v>
      </c>
      <c r="C316" s="14" t="s">
        <v>97</v>
      </c>
      <c r="D316" s="14" t="s">
        <v>1876</v>
      </c>
      <c r="E316" s="14" t="s">
        <v>151</v>
      </c>
      <c r="F316" s="14">
        <v>0</v>
      </c>
      <c r="I316" s="14" t="s">
        <v>1877</v>
      </c>
      <c r="J316" s="14">
        <v>0.1</v>
      </c>
      <c r="K316" s="14" t="s">
        <v>32</v>
      </c>
      <c r="L316" s="14" t="s">
        <v>1877</v>
      </c>
      <c r="M316">
        <v>0.1</v>
      </c>
      <c r="N316" s="14" t="s">
        <v>1878</v>
      </c>
      <c r="X316" s="14" t="s">
        <v>1879</v>
      </c>
      <c r="Y316" s="14">
        <v>9.8000000000000004E-2</v>
      </c>
      <c r="Z316" s="14" t="s">
        <v>1880</v>
      </c>
    </row>
    <row r="317" spans="1:26" x14ac:dyDescent="0.25">
      <c r="A317" t="s">
        <v>1881</v>
      </c>
      <c r="B317" s="14" t="s">
        <v>168</v>
      </c>
      <c r="C317" s="14" t="s">
        <v>97</v>
      </c>
      <c r="D317" s="14" t="s">
        <v>1882</v>
      </c>
      <c r="E317" s="14" t="s">
        <v>151</v>
      </c>
      <c r="F317" s="14">
        <v>0</v>
      </c>
      <c r="I317" s="14" t="s">
        <v>1883</v>
      </c>
      <c r="J317" s="14">
        <v>0.1</v>
      </c>
      <c r="K317" s="14" t="s">
        <v>32</v>
      </c>
      <c r="L317" s="14" t="s">
        <v>1883</v>
      </c>
      <c r="M317">
        <v>0.1</v>
      </c>
      <c r="N317" s="14" t="s">
        <v>1884</v>
      </c>
      <c r="X317" s="14" t="s">
        <v>1885</v>
      </c>
      <c r="Y317" s="14">
        <v>9.8000000000000004E-2</v>
      </c>
      <c r="Z317" s="14" t="s">
        <v>1886</v>
      </c>
    </row>
    <row r="318" spans="1:26" x14ac:dyDescent="0.25">
      <c r="A318" t="s">
        <v>1887</v>
      </c>
      <c r="B318" s="14" t="s">
        <v>168</v>
      </c>
      <c r="C318" s="14" t="s">
        <v>97</v>
      </c>
      <c r="D318" s="14" t="s">
        <v>1888</v>
      </c>
      <c r="E318" s="14" t="s">
        <v>151</v>
      </c>
      <c r="F318" s="14">
        <v>0</v>
      </c>
      <c r="I318" s="14" t="s">
        <v>1889</v>
      </c>
      <c r="J318" s="14">
        <v>0.1</v>
      </c>
      <c r="K318" s="14" t="s">
        <v>32</v>
      </c>
      <c r="L318" s="14" t="s">
        <v>1889</v>
      </c>
      <c r="M318">
        <v>0.1</v>
      </c>
      <c r="N318" s="14" t="s">
        <v>1890</v>
      </c>
      <c r="X318" s="14" t="s">
        <v>1891</v>
      </c>
      <c r="Y318" s="14">
        <v>9.8000000000000004E-2</v>
      </c>
      <c r="Z318" s="14" t="s">
        <v>1892</v>
      </c>
    </row>
    <row r="319" spans="1:26" x14ac:dyDescent="0.25">
      <c r="A319" t="s">
        <v>1893</v>
      </c>
      <c r="B319" s="14" t="s">
        <v>168</v>
      </c>
      <c r="C319" s="14" t="s">
        <v>97</v>
      </c>
      <c r="D319" s="14" t="s">
        <v>1894</v>
      </c>
      <c r="E319" s="14" t="s">
        <v>151</v>
      </c>
      <c r="F319" s="14">
        <v>0</v>
      </c>
      <c r="I319" s="14" t="s">
        <v>1895</v>
      </c>
      <c r="J319" s="14">
        <v>0.1</v>
      </c>
      <c r="K319" s="14" t="s">
        <v>32</v>
      </c>
      <c r="L319" s="14" t="s">
        <v>1895</v>
      </c>
      <c r="M319">
        <v>0.1</v>
      </c>
      <c r="N319" s="14" t="s">
        <v>1896</v>
      </c>
      <c r="X319" s="14" t="s">
        <v>1897</v>
      </c>
      <c r="Y319" s="14">
        <v>9.8000000000000004E-2</v>
      </c>
      <c r="Z319" s="14" t="s">
        <v>1898</v>
      </c>
    </row>
    <row r="320" spans="1:26" x14ac:dyDescent="0.25">
      <c r="A320" t="s">
        <v>1899</v>
      </c>
      <c r="B320" s="14" t="s">
        <v>168</v>
      </c>
      <c r="C320" s="14" t="s">
        <v>97</v>
      </c>
      <c r="D320" s="14" t="s">
        <v>1900</v>
      </c>
      <c r="E320" s="14" t="s">
        <v>151</v>
      </c>
      <c r="F320" s="14">
        <v>0</v>
      </c>
      <c r="I320" s="14" t="s">
        <v>1901</v>
      </c>
      <c r="J320" s="14">
        <v>0.1</v>
      </c>
      <c r="K320" s="14" t="s">
        <v>32</v>
      </c>
      <c r="L320" s="14" t="s">
        <v>1901</v>
      </c>
      <c r="M320">
        <v>0.1</v>
      </c>
      <c r="N320" s="14" t="s">
        <v>1902</v>
      </c>
      <c r="X320" s="14" t="s">
        <v>1903</v>
      </c>
      <c r="Y320" s="14">
        <v>9.8000000000000004E-2</v>
      </c>
      <c r="Z320" s="14" t="s">
        <v>1904</v>
      </c>
    </row>
    <row r="321" spans="1:26" x14ac:dyDescent="0.25">
      <c r="A321" t="s">
        <v>1905</v>
      </c>
      <c r="B321" s="14" t="s">
        <v>168</v>
      </c>
      <c r="C321" s="14" t="s">
        <v>97</v>
      </c>
      <c r="D321" s="14" t="s">
        <v>1906</v>
      </c>
      <c r="E321" s="14" t="s">
        <v>151</v>
      </c>
      <c r="F321" s="14">
        <v>0</v>
      </c>
      <c r="I321" s="14" t="s">
        <v>1907</v>
      </c>
      <c r="J321" s="14">
        <v>0.1</v>
      </c>
      <c r="K321" s="14" t="s">
        <v>32</v>
      </c>
      <c r="L321" s="14" t="s">
        <v>1907</v>
      </c>
      <c r="M321">
        <v>0.1</v>
      </c>
      <c r="N321" s="14" t="s">
        <v>1908</v>
      </c>
      <c r="X321" s="14" t="s">
        <v>1909</v>
      </c>
      <c r="Y321" s="14">
        <v>9.8000000000000004E-2</v>
      </c>
      <c r="Z321" s="14" t="s">
        <v>1910</v>
      </c>
    </row>
    <row r="322" spans="1:26" x14ac:dyDescent="0.25">
      <c r="A322" t="s">
        <v>1911</v>
      </c>
      <c r="B322" s="14" t="s">
        <v>168</v>
      </c>
      <c r="C322" s="14" t="s">
        <v>97</v>
      </c>
      <c r="D322" s="14" t="s">
        <v>1912</v>
      </c>
      <c r="E322" s="14" t="s">
        <v>151</v>
      </c>
      <c r="F322" s="14">
        <v>0</v>
      </c>
      <c r="I322" s="14" t="s">
        <v>1913</v>
      </c>
      <c r="J322" s="14">
        <v>0.1</v>
      </c>
      <c r="K322" s="14" t="s">
        <v>32</v>
      </c>
      <c r="L322" s="14" t="s">
        <v>1913</v>
      </c>
      <c r="M322">
        <v>0.1</v>
      </c>
      <c r="N322" s="14" t="s">
        <v>1914</v>
      </c>
      <c r="X322" s="14" t="s">
        <v>1915</v>
      </c>
      <c r="Y322" s="14">
        <v>9.8000000000000004E-2</v>
      </c>
      <c r="Z322" s="14" t="s">
        <v>1916</v>
      </c>
    </row>
    <row r="323" spans="1:26" x14ac:dyDescent="0.25">
      <c r="A323" t="s">
        <v>1917</v>
      </c>
      <c r="B323" s="14" t="s">
        <v>168</v>
      </c>
      <c r="C323" s="14" t="s">
        <v>97</v>
      </c>
      <c r="D323" s="14" t="s">
        <v>1918</v>
      </c>
      <c r="E323" s="14" t="s">
        <v>151</v>
      </c>
      <c r="F323" s="14">
        <v>0</v>
      </c>
      <c r="I323" s="14" t="s">
        <v>1919</v>
      </c>
      <c r="J323" s="14">
        <v>0.1</v>
      </c>
      <c r="K323" s="14" t="s">
        <v>32</v>
      </c>
      <c r="L323" s="14" t="s">
        <v>1919</v>
      </c>
      <c r="M323">
        <v>0.1</v>
      </c>
      <c r="N323" s="14" t="s">
        <v>1920</v>
      </c>
      <c r="X323" s="14" t="s">
        <v>1921</v>
      </c>
      <c r="Y323" s="14">
        <v>9.8000000000000004E-2</v>
      </c>
      <c r="Z323" s="14" t="s">
        <v>1922</v>
      </c>
    </row>
    <row r="324" spans="1:26" x14ac:dyDescent="0.25">
      <c r="A324" t="s">
        <v>1923</v>
      </c>
      <c r="B324" s="14" t="s">
        <v>168</v>
      </c>
      <c r="C324" s="14" t="s">
        <v>97</v>
      </c>
      <c r="D324" s="14" t="s">
        <v>1924</v>
      </c>
      <c r="E324" s="14" t="s">
        <v>151</v>
      </c>
      <c r="F324" s="14">
        <v>0</v>
      </c>
      <c r="I324" s="14" t="s">
        <v>1925</v>
      </c>
      <c r="J324" s="14">
        <v>0.1</v>
      </c>
      <c r="K324" s="14" t="s">
        <v>32</v>
      </c>
      <c r="L324" s="14" t="s">
        <v>1925</v>
      </c>
      <c r="M324">
        <v>0.1</v>
      </c>
      <c r="N324" s="14" t="s">
        <v>1926</v>
      </c>
      <c r="X324" s="14" t="s">
        <v>1927</v>
      </c>
      <c r="Y324" s="14">
        <v>9.8000000000000004E-2</v>
      </c>
      <c r="Z324" s="14" t="s">
        <v>1928</v>
      </c>
    </row>
    <row r="325" spans="1:26" x14ac:dyDescent="0.25">
      <c r="A325" t="s">
        <v>1929</v>
      </c>
      <c r="B325" s="14" t="s">
        <v>168</v>
      </c>
      <c r="C325" s="14" t="s">
        <v>97</v>
      </c>
      <c r="D325" s="14" t="s">
        <v>1930</v>
      </c>
      <c r="E325" s="14" t="s">
        <v>151</v>
      </c>
      <c r="F325" s="14">
        <v>0</v>
      </c>
      <c r="I325" s="14" t="s">
        <v>1931</v>
      </c>
      <c r="J325" s="14">
        <v>0.1</v>
      </c>
      <c r="K325" s="14" t="s">
        <v>32</v>
      </c>
      <c r="L325" s="14" t="s">
        <v>1931</v>
      </c>
      <c r="M325">
        <v>0.1</v>
      </c>
      <c r="N325" s="14" t="s">
        <v>1932</v>
      </c>
      <c r="X325" s="14" t="s">
        <v>1933</v>
      </c>
      <c r="Y325" s="14">
        <v>9.8000000000000004E-2</v>
      </c>
      <c r="Z325" s="14" t="s">
        <v>1934</v>
      </c>
    </row>
    <row r="326" spans="1:26" x14ac:dyDescent="0.25">
      <c r="A326" t="s">
        <v>1935</v>
      </c>
      <c r="B326" s="14" t="s">
        <v>168</v>
      </c>
      <c r="C326" s="14" t="s">
        <v>1936</v>
      </c>
      <c r="D326" s="14" t="s">
        <v>1937</v>
      </c>
      <c r="E326" s="14" t="s">
        <v>151</v>
      </c>
      <c r="F326" s="14">
        <v>10</v>
      </c>
      <c r="G326" s="14">
        <v>10</v>
      </c>
      <c r="H326" s="14">
        <v>1</v>
      </c>
      <c r="I326" s="14" t="s">
        <v>1938</v>
      </c>
      <c r="J326" s="14">
        <v>0.1</v>
      </c>
      <c r="K326" s="14" t="s">
        <v>32</v>
      </c>
      <c r="L326" s="14" t="s">
        <v>1938</v>
      </c>
      <c r="M326">
        <v>0.1</v>
      </c>
      <c r="N326" s="14" t="s">
        <v>1939</v>
      </c>
      <c r="X326" s="14" t="s">
        <v>1940</v>
      </c>
      <c r="Y326" s="14">
        <v>9.8000000000000004E-2</v>
      </c>
      <c r="Z326" s="14" t="s">
        <v>1941</v>
      </c>
    </row>
    <row r="327" spans="1:26" x14ac:dyDescent="0.25">
      <c r="A327" t="s">
        <v>1942</v>
      </c>
      <c r="B327" s="14" t="s">
        <v>168</v>
      </c>
      <c r="C327" s="14" t="s">
        <v>97</v>
      </c>
      <c r="D327" s="14" t="s">
        <v>1943</v>
      </c>
      <c r="E327" s="14" t="s">
        <v>151</v>
      </c>
      <c r="F327" s="14">
        <v>0</v>
      </c>
      <c r="I327" s="14" t="s">
        <v>1944</v>
      </c>
      <c r="J327" s="14">
        <v>0.1</v>
      </c>
      <c r="K327" s="14" t="s">
        <v>32</v>
      </c>
      <c r="L327" s="14" t="s">
        <v>1944</v>
      </c>
      <c r="M327">
        <v>0.1</v>
      </c>
      <c r="N327" s="14" t="s">
        <v>1945</v>
      </c>
      <c r="X327" s="14" t="s">
        <v>1946</v>
      </c>
      <c r="Y327" s="14">
        <v>9.8000000000000004E-2</v>
      </c>
      <c r="Z327" s="14" t="s">
        <v>1947</v>
      </c>
    </row>
    <row r="328" spans="1:26" x14ac:dyDescent="0.25">
      <c r="A328" t="s">
        <v>1948</v>
      </c>
      <c r="B328" s="14" t="s">
        <v>168</v>
      </c>
      <c r="C328" s="14" t="s">
        <v>97</v>
      </c>
      <c r="D328" s="14" t="s">
        <v>1949</v>
      </c>
      <c r="E328" s="14" t="s">
        <v>151</v>
      </c>
      <c r="F328" s="14">
        <v>0</v>
      </c>
      <c r="I328" s="14" t="s">
        <v>1950</v>
      </c>
      <c r="J328" s="14">
        <v>0.1</v>
      </c>
      <c r="K328" s="14" t="s">
        <v>32</v>
      </c>
      <c r="L328" s="14" t="s">
        <v>1950</v>
      </c>
      <c r="M328">
        <v>0.1</v>
      </c>
      <c r="N328" s="14" t="s">
        <v>1951</v>
      </c>
      <c r="X328" s="14" t="s">
        <v>1952</v>
      </c>
      <c r="Y328" s="14">
        <v>9.8000000000000004E-2</v>
      </c>
      <c r="Z328" s="14" t="s">
        <v>1953</v>
      </c>
    </row>
    <row r="329" spans="1:26" x14ac:dyDescent="0.25">
      <c r="A329" t="s">
        <v>1954</v>
      </c>
      <c r="B329" s="14" t="s">
        <v>168</v>
      </c>
      <c r="C329" s="14" t="s">
        <v>97</v>
      </c>
      <c r="D329" s="14" t="s">
        <v>1955</v>
      </c>
      <c r="E329" s="14" t="s">
        <v>151</v>
      </c>
      <c r="F329" s="14">
        <v>0</v>
      </c>
      <c r="I329" s="14" t="s">
        <v>1956</v>
      </c>
      <c r="J329" s="14">
        <v>0.1</v>
      </c>
      <c r="K329" s="14" t="s">
        <v>32</v>
      </c>
      <c r="L329" s="14" t="s">
        <v>1956</v>
      </c>
      <c r="M329">
        <v>0.1</v>
      </c>
      <c r="N329" s="14" t="s">
        <v>1957</v>
      </c>
      <c r="X329" s="14" t="s">
        <v>1958</v>
      </c>
      <c r="Y329" s="14">
        <v>9.8000000000000004E-2</v>
      </c>
      <c r="Z329" s="14" t="s">
        <v>1959</v>
      </c>
    </row>
    <row r="330" spans="1:26" x14ac:dyDescent="0.25">
      <c r="A330" t="s">
        <v>1960</v>
      </c>
      <c r="B330" s="14" t="s">
        <v>168</v>
      </c>
      <c r="C330" s="14" t="s">
        <v>97</v>
      </c>
      <c r="D330" s="14" t="s">
        <v>1961</v>
      </c>
      <c r="E330" s="14" t="s">
        <v>151</v>
      </c>
      <c r="F330" s="14">
        <v>0</v>
      </c>
      <c r="I330" s="14" t="s">
        <v>1962</v>
      </c>
      <c r="J330" s="14">
        <v>0.1</v>
      </c>
      <c r="K330" s="14" t="s">
        <v>32</v>
      </c>
      <c r="L330" s="14" t="s">
        <v>1962</v>
      </c>
      <c r="M330">
        <v>0.1</v>
      </c>
      <c r="N330" s="14" t="s">
        <v>1963</v>
      </c>
      <c r="X330" s="14" t="s">
        <v>1964</v>
      </c>
      <c r="Y330" s="14">
        <v>9.8000000000000004E-2</v>
      </c>
      <c r="Z330" s="14" t="s">
        <v>1965</v>
      </c>
    </row>
    <row r="331" spans="1:26" x14ac:dyDescent="0.25">
      <c r="A331" t="s">
        <v>1966</v>
      </c>
      <c r="B331" s="14" t="s">
        <v>168</v>
      </c>
      <c r="C331" s="14" t="s">
        <v>97</v>
      </c>
      <c r="D331" s="14" t="s">
        <v>1967</v>
      </c>
      <c r="E331" s="14" t="s">
        <v>151</v>
      </c>
      <c r="F331" s="14">
        <v>0</v>
      </c>
      <c r="I331" s="14" t="s">
        <v>1968</v>
      </c>
      <c r="J331" s="14">
        <v>0.1</v>
      </c>
      <c r="K331" s="14" t="s">
        <v>32</v>
      </c>
      <c r="L331" s="14" t="s">
        <v>1968</v>
      </c>
      <c r="M331">
        <v>0.1</v>
      </c>
      <c r="N331" s="14" t="s">
        <v>1969</v>
      </c>
      <c r="X331" s="14" t="s">
        <v>1970</v>
      </c>
      <c r="Y331" s="14">
        <v>9.8000000000000004E-2</v>
      </c>
      <c r="Z331" s="14" t="s">
        <v>1971</v>
      </c>
    </row>
    <row r="332" spans="1:26" x14ac:dyDescent="0.25">
      <c r="A332" t="s">
        <v>1972</v>
      </c>
      <c r="B332" s="14" t="s">
        <v>168</v>
      </c>
      <c r="C332" s="14" t="s">
        <v>97</v>
      </c>
      <c r="D332" s="14" t="s">
        <v>1973</v>
      </c>
      <c r="E332" s="14" t="s">
        <v>151</v>
      </c>
      <c r="F332" s="14">
        <v>0</v>
      </c>
      <c r="I332" s="14" t="s">
        <v>1974</v>
      </c>
      <c r="J332" s="14">
        <v>0.1</v>
      </c>
      <c r="K332" s="14" t="s">
        <v>32</v>
      </c>
      <c r="L332" s="14" t="s">
        <v>1974</v>
      </c>
      <c r="M332">
        <v>0.1</v>
      </c>
      <c r="N332" s="14" t="s">
        <v>1975</v>
      </c>
      <c r="X332" s="14" t="s">
        <v>1976</v>
      </c>
      <c r="Y332" s="14">
        <v>9.8000000000000004E-2</v>
      </c>
      <c r="Z332" s="14" t="s">
        <v>1977</v>
      </c>
    </row>
    <row r="333" spans="1:26" x14ac:dyDescent="0.25">
      <c r="A333" t="s">
        <v>1978</v>
      </c>
      <c r="B333" s="14" t="s">
        <v>168</v>
      </c>
      <c r="C333" s="14" t="s">
        <v>97</v>
      </c>
      <c r="D333" s="14" t="s">
        <v>1979</v>
      </c>
      <c r="E333" s="14" t="s">
        <v>151</v>
      </c>
      <c r="F333" s="14">
        <v>0</v>
      </c>
      <c r="I333" s="14" t="s">
        <v>1980</v>
      </c>
      <c r="J333" s="14">
        <v>0.1</v>
      </c>
      <c r="K333" s="14" t="s">
        <v>32</v>
      </c>
      <c r="L333" s="14" t="s">
        <v>1980</v>
      </c>
      <c r="M333">
        <v>0.1</v>
      </c>
      <c r="N333" s="14" t="s">
        <v>1981</v>
      </c>
      <c r="X333" s="14" t="s">
        <v>1982</v>
      </c>
      <c r="Y333" s="14">
        <v>9.8000000000000004E-2</v>
      </c>
      <c r="Z333" s="14" t="s">
        <v>1983</v>
      </c>
    </row>
    <row r="334" spans="1:26" x14ac:dyDescent="0.25">
      <c r="A334" t="s">
        <v>1984</v>
      </c>
      <c r="B334" s="14" t="s">
        <v>168</v>
      </c>
      <c r="C334" s="14" t="s">
        <v>97</v>
      </c>
      <c r="D334" s="14" t="s">
        <v>1985</v>
      </c>
      <c r="E334" s="14" t="s">
        <v>151</v>
      </c>
      <c r="F334" s="14">
        <v>0</v>
      </c>
      <c r="I334" s="14" t="s">
        <v>1986</v>
      </c>
      <c r="J334" s="14">
        <v>0.1</v>
      </c>
      <c r="K334" s="14" t="s">
        <v>32</v>
      </c>
      <c r="L334" s="14" t="s">
        <v>1986</v>
      </c>
      <c r="M334">
        <v>0.1</v>
      </c>
      <c r="N334" s="14" t="s">
        <v>1987</v>
      </c>
      <c r="X334" s="14" t="s">
        <v>1988</v>
      </c>
      <c r="Y334" s="14">
        <v>9.8000000000000004E-2</v>
      </c>
      <c r="Z334" s="14" t="s">
        <v>1989</v>
      </c>
    </row>
    <row r="335" spans="1:26" x14ac:dyDescent="0.25">
      <c r="A335" t="s">
        <v>1990</v>
      </c>
      <c r="B335" s="14" t="s">
        <v>168</v>
      </c>
      <c r="C335" s="14" t="s">
        <v>97</v>
      </c>
      <c r="D335" s="14" t="s">
        <v>1991</v>
      </c>
      <c r="E335" s="14" t="s">
        <v>151</v>
      </c>
      <c r="F335" s="14">
        <v>0</v>
      </c>
      <c r="I335" s="14" t="s">
        <v>1992</v>
      </c>
      <c r="J335" s="14">
        <v>0.1</v>
      </c>
      <c r="K335" s="14" t="s">
        <v>32</v>
      </c>
      <c r="L335" s="14" t="s">
        <v>1992</v>
      </c>
      <c r="M335">
        <v>0.1</v>
      </c>
      <c r="N335" s="14" t="s">
        <v>1993</v>
      </c>
      <c r="X335" s="14" t="s">
        <v>1994</v>
      </c>
      <c r="Y335" s="14">
        <v>9.8000000000000004E-2</v>
      </c>
      <c r="Z335" s="14" t="s">
        <v>1995</v>
      </c>
    </row>
    <row r="336" spans="1:26" x14ac:dyDescent="0.25">
      <c r="A336" t="s">
        <v>1996</v>
      </c>
      <c r="B336" s="14" t="s">
        <v>168</v>
      </c>
      <c r="C336" s="14" t="s">
        <v>97</v>
      </c>
      <c r="D336" s="14" t="s">
        <v>1997</v>
      </c>
      <c r="E336" s="14" t="s">
        <v>151</v>
      </c>
      <c r="F336" s="14">
        <v>0</v>
      </c>
      <c r="I336" s="14" t="s">
        <v>1998</v>
      </c>
      <c r="J336" s="14">
        <v>0.1</v>
      </c>
      <c r="K336" s="14" t="s">
        <v>32</v>
      </c>
      <c r="L336" s="14" t="s">
        <v>1998</v>
      </c>
      <c r="M336">
        <v>0.1</v>
      </c>
      <c r="N336" s="14" t="s">
        <v>1999</v>
      </c>
      <c r="X336" s="14" t="s">
        <v>2000</v>
      </c>
      <c r="Y336" s="14">
        <v>9.8000000000000004E-2</v>
      </c>
      <c r="Z336" s="14" t="s">
        <v>2001</v>
      </c>
    </row>
    <row r="337" spans="1:26" x14ac:dyDescent="0.25">
      <c r="A337" t="s">
        <v>2002</v>
      </c>
      <c r="B337" s="14" t="s">
        <v>168</v>
      </c>
      <c r="C337" s="14" t="s">
        <v>97</v>
      </c>
      <c r="D337" s="14" t="s">
        <v>2003</v>
      </c>
      <c r="E337" s="14" t="s">
        <v>151</v>
      </c>
      <c r="F337" s="14">
        <v>0</v>
      </c>
      <c r="I337" s="14" t="s">
        <v>2004</v>
      </c>
      <c r="J337" s="14">
        <v>0.1</v>
      </c>
      <c r="K337" s="14" t="s">
        <v>32</v>
      </c>
      <c r="L337" s="14" t="s">
        <v>2004</v>
      </c>
      <c r="M337">
        <v>0.1</v>
      </c>
      <c r="N337" s="14" t="s">
        <v>2005</v>
      </c>
      <c r="X337" s="14" t="s">
        <v>2006</v>
      </c>
      <c r="Y337" s="14">
        <v>9.8000000000000004E-2</v>
      </c>
      <c r="Z337" s="14" t="s">
        <v>2007</v>
      </c>
    </row>
    <row r="338" spans="1:26" x14ac:dyDescent="0.25">
      <c r="A338" t="s">
        <v>2008</v>
      </c>
      <c r="B338" s="14" t="s">
        <v>168</v>
      </c>
      <c r="C338" s="14" t="s">
        <v>97</v>
      </c>
      <c r="D338" s="14" t="s">
        <v>2009</v>
      </c>
      <c r="E338" s="14" t="s">
        <v>151</v>
      </c>
      <c r="F338" s="14">
        <v>0</v>
      </c>
      <c r="I338" s="14" t="s">
        <v>2010</v>
      </c>
      <c r="J338" s="14">
        <v>0.1</v>
      </c>
      <c r="K338" s="14" t="s">
        <v>32</v>
      </c>
      <c r="L338" s="14" t="s">
        <v>2010</v>
      </c>
      <c r="M338">
        <v>0.1</v>
      </c>
      <c r="N338" s="14" t="s">
        <v>2011</v>
      </c>
      <c r="X338" s="14" t="s">
        <v>2012</v>
      </c>
      <c r="Y338" s="14">
        <v>9.8000000000000004E-2</v>
      </c>
      <c r="Z338" s="14" t="s">
        <v>2013</v>
      </c>
    </row>
    <row r="339" spans="1:26" x14ac:dyDescent="0.25">
      <c r="A339" t="s">
        <v>2014</v>
      </c>
      <c r="B339" s="14" t="s">
        <v>168</v>
      </c>
      <c r="C339" s="14" t="s">
        <v>97</v>
      </c>
      <c r="D339" s="14" t="s">
        <v>2015</v>
      </c>
      <c r="E339" s="14" t="s">
        <v>151</v>
      </c>
      <c r="F339" s="14">
        <v>0</v>
      </c>
      <c r="I339" s="14" t="s">
        <v>2016</v>
      </c>
      <c r="J339" s="14">
        <v>0.1</v>
      </c>
      <c r="K339" s="14" t="s">
        <v>32</v>
      </c>
      <c r="L339" s="14" t="s">
        <v>2016</v>
      </c>
      <c r="M339">
        <v>0.1</v>
      </c>
      <c r="N339" s="14" t="s">
        <v>2017</v>
      </c>
      <c r="X339" s="14" t="s">
        <v>2018</v>
      </c>
      <c r="Y339" s="14">
        <v>9.8000000000000004E-2</v>
      </c>
      <c r="Z339" s="14" t="s">
        <v>2019</v>
      </c>
    </row>
    <row r="340" spans="1:26" x14ac:dyDescent="0.25">
      <c r="A340" t="s">
        <v>2020</v>
      </c>
      <c r="B340" s="14" t="s">
        <v>168</v>
      </c>
      <c r="C340" s="14" t="s">
        <v>97</v>
      </c>
      <c r="D340" s="14" t="s">
        <v>2021</v>
      </c>
      <c r="E340" s="14" t="s">
        <v>151</v>
      </c>
      <c r="F340" s="14">
        <v>0</v>
      </c>
      <c r="I340" s="14" t="s">
        <v>2022</v>
      </c>
      <c r="J340" s="14">
        <v>0.1</v>
      </c>
      <c r="K340" s="14" t="s">
        <v>32</v>
      </c>
      <c r="L340" s="14" t="s">
        <v>2022</v>
      </c>
      <c r="M340">
        <v>0.1</v>
      </c>
      <c r="N340" s="14" t="s">
        <v>2023</v>
      </c>
      <c r="X340" s="14" t="s">
        <v>2024</v>
      </c>
      <c r="Y340" s="14">
        <v>9.8000000000000004E-2</v>
      </c>
      <c r="Z340" s="14" t="s">
        <v>2025</v>
      </c>
    </row>
    <row r="341" spans="1:26" x14ac:dyDescent="0.25">
      <c r="A341" t="s">
        <v>2026</v>
      </c>
      <c r="B341" s="14" t="s">
        <v>168</v>
      </c>
      <c r="C341" s="14" t="s">
        <v>2027</v>
      </c>
      <c r="D341" s="14" t="s">
        <v>2028</v>
      </c>
      <c r="E341" s="14" t="s">
        <v>151</v>
      </c>
      <c r="F341" s="14">
        <v>10</v>
      </c>
      <c r="G341" s="14">
        <v>10</v>
      </c>
      <c r="H341" s="14">
        <v>1</v>
      </c>
      <c r="I341" s="14" t="s">
        <v>2029</v>
      </c>
      <c r="J341" s="14">
        <v>0.1</v>
      </c>
      <c r="K341" s="14" t="s">
        <v>32</v>
      </c>
      <c r="L341" s="14" t="s">
        <v>2029</v>
      </c>
      <c r="M341">
        <v>0.1</v>
      </c>
      <c r="N341" s="14" t="s">
        <v>2030</v>
      </c>
      <c r="X341" s="14" t="s">
        <v>2031</v>
      </c>
      <c r="Y341" s="14">
        <v>9.8000000000000004E-2</v>
      </c>
      <c r="Z341" s="14" t="s">
        <v>2032</v>
      </c>
    </row>
    <row r="342" spans="1:26" x14ac:dyDescent="0.25">
      <c r="A342" t="s">
        <v>2033</v>
      </c>
      <c r="B342" s="14" t="s">
        <v>168</v>
      </c>
      <c r="C342" s="14" t="s">
        <v>97</v>
      </c>
      <c r="D342" s="14" t="s">
        <v>2034</v>
      </c>
      <c r="E342" s="14" t="s">
        <v>151</v>
      </c>
      <c r="F342" s="14">
        <v>0</v>
      </c>
      <c r="I342" s="14" t="s">
        <v>2035</v>
      </c>
      <c r="J342" s="14">
        <v>0.1</v>
      </c>
      <c r="K342" s="14" t="s">
        <v>32</v>
      </c>
      <c r="L342" s="14" t="s">
        <v>2035</v>
      </c>
      <c r="M342">
        <v>0.1</v>
      </c>
      <c r="N342" s="14" t="s">
        <v>2036</v>
      </c>
      <c r="X342" s="14" t="s">
        <v>2037</v>
      </c>
      <c r="Y342" s="14">
        <v>9.8000000000000004E-2</v>
      </c>
      <c r="Z342" s="14" t="s">
        <v>2038</v>
      </c>
    </row>
    <row r="343" spans="1:26" x14ac:dyDescent="0.25">
      <c r="A343" t="s">
        <v>2039</v>
      </c>
      <c r="B343" s="14" t="s">
        <v>168</v>
      </c>
      <c r="C343" s="14" t="s">
        <v>97</v>
      </c>
      <c r="D343" s="14" t="s">
        <v>2040</v>
      </c>
      <c r="E343" s="14" t="s">
        <v>151</v>
      </c>
      <c r="F343" s="14">
        <v>0</v>
      </c>
      <c r="I343" s="14" t="s">
        <v>2041</v>
      </c>
      <c r="J343" s="14">
        <v>0.1</v>
      </c>
      <c r="K343" s="14" t="s">
        <v>32</v>
      </c>
      <c r="L343" s="14" t="s">
        <v>2041</v>
      </c>
      <c r="M343">
        <v>0.1</v>
      </c>
      <c r="N343" s="14" t="s">
        <v>2042</v>
      </c>
      <c r="X343" s="14" t="s">
        <v>2043</v>
      </c>
      <c r="Y343" s="14">
        <v>9.8000000000000004E-2</v>
      </c>
      <c r="Z343" s="14" t="s">
        <v>2044</v>
      </c>
    </row>
    <row r="344" spans="1:26" x14ac:dyDescent="0.25">
      <c r="A344" t="s">
        <v>2045</v>
      </c>
      <c r="B344" s="14" t="s">
        <v>168</v>
      </c>
      <c r="C344" s="14" t="s">
        <v>97</v>
      </c>
      <c r="D344" s="14" t="s">
        <v>2046</v>
      </c>
      <c r="E344" s="14" t="s">
        <v>151</v>
      </c>
      <c r="F344" s="14">
        <v>0</v>
      </c>
      <c r="I344" s="14" t="s">
        <v>2047</v>
      </c>
      <c r="J344" s="14">
        <v>0.1</v>
      </c>
      <c r="K344" s="14" t="s">
        <v>32</v>
      </c>
      <c r="L344" s="14" t="s">
        <v>2047</v>
      </c>
      <c r="M344">
        <v>0.1</v>
      </c>
      <c r="N344" s="14" t="s">
        <v>2048</v>
      </c>
      <c r="X344" s="14" t="s">
        <v>2049</v>
      </c>
      <c r="Y344" s="14">
        <v>9.8000000000000004E-2</v>
      </c>
      <c r="Z344" s="14" t="s">
        <v>2050</v>
      </c>
    </row>
    <row r="345" spans="1:26" x14ac:dyDescent="0.25">
      <c r="A345" t="s">
        <v>2051</v>
      </c>
      <c r="B345" s="14" t="s">
        <v>168</v>
      </c>
      <c r="C345" s="14" t="s">
        <v>97</v>
      </c>
      <c r="D345" s="14" t="s">
        <v>2052</v>
      </c>
      <c r="E345" s="14" t="s">
        <v>151</v>
      </c>
      <c r="F345" s="14">
        <v>0</v>
      </c>
      <c r="I345" s="14" t="s">
        <v>2053</v>
      </c>
      <c r="J345" s="14">
        <v>0.1</v>
      </c>
      <c r="K345" s="14" t="s">
        <v>32</v>
      </c>
      <c r="L345" s="14" t="s">
        <v>2053</v>
      </c>
      <c r="M345">
        <v>0.1</v>
      </c>
      <c r="N345" s="14" t="s">
        <v>2054</v>
      </c>
      <c r="X345" s="14" t="s">
        <v>2055</v>
      </c>
      <c r="Y345" s="14">
        <v>9.8000000000000004E-2</v>
      </c>
      <c r="Z345" s="14" t="s">
        <v>2056</v>
      </c>
    </row>
    <row r="346" spans="1:26" x14ac:dyDescent="0.25">
      <c r="A346" t="s">
        <v>2057</v>
      </c>
      <c r="B346" s="14" t="s">
        <v>168</v>
      </c>
      <c r="C346" s="14" t="s">
        <v>97</v>
      </c>
      <c r="D346" s="14" t="s">
        <v>2058</v>
      </c>
      <c r="E346" s="14" t="s">
        <v>151</v>
      </c>
      <c r="F346" s="14">
        <v>0</v>
      </c>
      <c r="I346" s="14" t="s">
        <v>2059</v>
      </c>
      <c r="J346" s="14">
        <v>0.1</v>
      </c>
      <c r="K346" s="14" t="s">
        <v>32</v>
      </c>
      <c r="L346" s="14" t="s">
        <v>2059</v>
      </c>
      <c r="M346">
        <v>0.1</v>
      </c>
      <c r="N346" s="14" t="s">
        <v>2060</v>
      </c>
      <c r="X346" s="14" t="s">
        <v>2061</v>
      </c>
      <c r="Y346" s="14">
        <v>9.8000000000000004E-2</v>
      </c>
      <c r="Z346" s="14" t="s">
        <v>2062</v>
      </c>
    </row>
    <row r="347" spans="1:26" x14ac:dyDescent="0.25">
      <c r="A347" t="s">
        <v>2063</v>
      </c>
      <c r="B347" s="14" t="s">
        <v>168</v>
      </c>
      <c r="C347" s="14" t="s">
        <v>97</v>
      </c>
      <c r="D347" s="14" t="s">
        <v>2064</v>
      </c>
      <c r="E347" s="14" t="s">
        <v>151</v>
      </c>
      <c r="F347" s="14">
        <v>0</v>
      </c>
      <c r="I347" s="14" t="s">
        <v>2065</v>
      </c>
      <c r="J347" s="14">
        <v>0.1</v>
      </c>
      <c r="K347" s="14" t="s">
        <v>32</v>
      </c>
      <c r="L347" s="14" t="s">
        <v>2065</v>
      </c>
      <c r="M347">
        <v>0.1</v>
      </c>
      <c r="N347" s="14" t="s">
        <v>2066</v>
      </c>
      <c r="X347" s="14" t="s">
        <v>2067</v>
      </c>
      <c r="Y347" s="14">
        <v>9.8000000000000004E-2</v>
      </c>
      <c r="Z347" s="14" t="s">
        <v>2068</v>
      </c>
    </row>
    <row r="348" spans="1:26" x14ac:dyDescent="0.25">
      <c r="A348" t="s">
        <v>2069</v>
      </c>
      <c r="B348" s="14" t="s">
        <v>168</v>
      </c>
      <c r="C348" s="14" t="s">
        <v>97</v>
      </c>
      <c r="D348" s="14" t="s">
        <v>2070</v>
      </c>
      <c r="E348" s="14" t="s">
        <v>151</v>
      </c>
      <c r="F348" s="14">
        <v>0</v>
      </c>
      <c r="I348" s="14" t="s">
        <v>2071</v>
      </c>
      <c r="J348" s="14">
        <v>0.1</v>
      </c>
      <c r="K348" s="14" t="s">
        <v>32</v>
      </c>
      <c r="L348" s="14" t="s">
        <v>2071</v>
      </c>
      <c r="M348">
        <v>0.1</v>
      </c>
      <c r="N348" s="14" t="s">
        <v>2072</v>
      </c>
      <c r="X348" s="14" t="s">
        <v>2073</v>
      </c>
      <c r="Y348" s="14">
        <v>9.8000000000000004E-2</v>
      </c>
      <c r="Z348" s="14" t="s">
        <v>2074</v>
      </c>
    </row>
    <row r="349" spans="1:26" x14ac:dyDescent="0.25">
      <c r="A349" t="s">
        <v>2075</v>
      </c>
      <c r="B349" s="14" t="s">
        <v>168</v>
      </c>
      <c r="C349" s="14" t="s">
        <v>97</v>
      </c>
      <c r="D349" s="14" t="s">
        <v>2076</v>
      </c>
      <c r="E349" s="14" t="s">
        <v>151</v>
      </c>
      <c r="F349" s="14">
        <v>0</v>
      </c>
      <c r="I349" s="14" t="s">
        <v>2077</v>
      </c>
      <c r="J349" s="14">
        <v>0.1</v>
      </c>
      <c r="K349" s="14" t="s">
        <v>32</v>
      </c>
      <c r="L349" s="14" t="s">
        <v>2077</v>
      </c>
      <c r="M349">
        <v>0.1</v>
      </c>
      <c r="N349" s="14" t="s">
        <v>2078</v>
      </c>
      <c r="X349" s="14" t="s">
        <v>2079</v>
      </c>
      <c r="Y349" s="14">
        <v>9.8000000000000004E-2</v>
      </c>
      <c r="Z349" s="14" t="s">
        <v>2080</v>
      </c>
    </row>
    <row r="350" spans="1:26" x14ac:dyDescent="0.25">
      <c r="A350" t="s">
        <v>2081</v>
      </c>
      <c r="B350" s="14" t="s">
        <v>168</v>
      </c>
      <c r="C350" s="14" t="s">
        <v>97</v>
      </c>
      <c r="D350" s="14" t="s">
        <v>2082</v>
      </c>
      <c r="E350" s="14" t="s">
        <v>151</v>
      </c>
      <c r="F350" s="14">
        <v>0</v>
      </c>
      <c r="I350" s="14" t="s">
        <v>2083</v>
      </c>
      <c r="J350" s="14">
        <v>0.1</v>
      </c>
      <c r="K350" s="14" t="s">
        <v>32</v>
      </c>
      <c r="L350" s="14" t="s">
        <v>2083</v>
      </c>
      <c r="M350">
        <v>0.1</v>
      </c>
      <c r="N350" s="14" t="s">
        <v>2084</v>
      </c>
      <c r="X350" s="14" t="s">
        <v>2085</v>
      </c>
      <c r="Y350" s="14">
        <v>9.8000000000000004E-2</v>
      </c>
      <c r="Z350" s="14" t="s">
        <v>2086</v>
      </c>
    </row>
    <row r="351" spans="1:26" x14ac:dyDescent="0.25">
      <c r="A351" t="s">
        <v>2087</v>
      </c>
      <c r="B351" s="14" t="s">
        <v>168</v>
      </c>
      <c r="C351" s="14" t="s">
        <v>97</v>
      </c>
      <c r="D351" s="14" t="s">
        <v>2088</v>
      </c>
      <c r="E351" s="14" t="s">
        <v>151</v>
      </c>
      <c r="F351" s="14">
        <v>0</v>
      </c>
      <c r="I351" s="14" t="s">
        <v>2089</v>
      </c>
      <c r="J351" s="14">
        <v>0.1</v>
      </c>
      <c r="K351" s="14" t="s">
        <v>32</v>
      </c>
      <c r="L351" s="14" t="s">
        <v>2089</v>
      </c>
      <c r="M351">
        <v>0.1</v>
      </c>
      <c r="N351" s="14" t="s">
        <v>2090</v>
      </c>
      <c r="X351" s="14" t="s">
        <v>2091</v>
      </c>
      <c r="Y351" s="14">
        <v>9.8000000000000004E-2</v>
      </c>
      <c r="Z351" s="14" t="s">
        <v>2092</v>
      </c>
    </row>
    <row r="352" spans="1:26" x14ac:dyDescent="0.25">
      <c r="A352" t="s">
        <v>2093</v>
      </c>
      <c r="B352" s="14" t="s">
        <v>168</v>
      </c>
      <c r="C352" s="14" t="s">
        <v>97</v>
      </c>
      <c r="D352" s="14" t="s">
        <v>2094</v>
      </c>
      <c r="E352" s="14" t="s">
        <v>151</v>
      </c>
      <c r="F352" s="14">
        <v>0</v>
      </c>
      <c r="I352" s="14" t="s">
        <v>2095</v>
      </c>
      <c r="J352" s="14">
        <v>0.1</v>
      </c>
      <c r="K352" s="14" t="s">
        <v>32</v>
      </c>
      <c r="L352" s="14" t="s">
        <v>2095</v>
      </c>
      <c r="M352">
        <v>0.1</v>
      </c>
      <c r="N352" s="14" t="s">
        <v>2096</v>
      </c>
      <c r="X352" s="14" t="s">
        <v>2097</v>
      </c>
      <c r="Y352" s="14">
        <v>9.8000000000000004E-2</v>
      </c>
      <c r="Z352" s="14" t="s">
        <v>2098</v>
      </c>
    </row>
    <row r="353" spans="1:37" x14ac:dyDescent="0.25">
      <c r="A353" t="s">
        <v>2099</v>
      </c>
      <c r="B353" s="14" t="s">
        <v>168</v>
      </c>
      <c r="C353" s="14" t="s">
        <v>2100</v>
      </c>
      <c r="D353" s="14" t="s">
        <v>2101</v>
      </c>
      <c r="E353" s="14" t="s">
        <v>151</v>
      </c>
      <c r="F353" s="14">
        <v>6</v>
      </c>
      <c r="I353" s="14" t="s">
        <v>2102</v>
      </c>
      <c r="J353" s="14">
        <v>0.1</v>
      </c>
      <c r="K353" s="14" t="s">
        <v>32</v>
      </c>
      <c r="L353" s="14" t="s">
        <v>2102</v>
      </c>
      <c r="M353">
        <v>0.1</v>
      </c>
      <c r="N353" s="14" t="s">
        <v>2103</v>
      </c>
    </row>
    <row r="354" spans="1:37" x14ac:dyDescent="0.25">
      <c r="A354" t="s">
        <v>193</v>
      </c>
      <c r="B354" s="14" t="s">
        <v>168</v>
      </c>
      <c r="C354" s="14" t="s">
        <v>2104</v>
      </c>
      <c r="D354" s="14" t="s">
        <v>2105</v>
      </c>
      <c r="E354" s="14" t="s">
        <v>151</v>
      </c>
      <c r="F354" s="14">
        <v>6</v>
      </c>
      <c r="I354" s="14" t="s">
        <v>2106</v>
      </c>
      <c r="J354" s="14">
        <v>0.1</v>
      </c>
      <c r="K354" s="14" t="s">
        <v>32</v>
      </c>
      <c r="L354" s="14" t="s">
        <v>2106</v>
      </c>
      <c r="M354">
        <v>0.1</v>
      </c>
      <c r="N354" s="14" t="s">
        <v>2107</v>
      </c>
      <c r="X354" s="14" t="s">
        <v>2108</v>
      </c>
      <c r="Y354" s="14">
        <v>9.8000000000000004E-2</v>
      </c>
      <c r="Z354" s="14" t="s">
        <v>2109</v>
      </c>
    </row>
    <row r="355" spans="1:37" x14ac:dyDescent="0.25">
      <c r="A355" t="s">
        <v>2110</v>
      </c>
      <c r="B355" s="14" t="s">
        <v>168</v>
      </c>
      <c r="C355" s="14" t="s">
        <v>2111</v>
      </c>
      <c r="D355" s="14" t="s">
        <v>2112</v>
      </c>
      <c r="E355" s="14" t="s">
        <v>151</v>
      </c>
      <c r="F355" s="14">
        <v>8</v>
      </c>
      <c r="I355" s="14" t="s">
        <v>2113</v>
      </c>
      <c r="J355" s="14">
        <v>0.1</v>
      </c>
      <c r="K355" s="14" t="s">
        <v>32</v>
      </c>
      <c r="L355" s="14" t="s">
        <v>2113</v>
      </c>
      <c r="M355">
        <v>0.1</v>
      </c>
      <c r="N355" s="14" t="s">
        <v>2114</v>
      </c>
    </row>
    <row r="356" spans="1:37" x14ac:dyDescent="0.25">
      <c r="A356" t="s">
        <v>185</v>
      </c>
      <c r="B356" s="14" t="s">
        <v>168</v>
      </c>
      <c r="C356" s="14" t="s">
        <v>2115</v>
      </c>
      <c r="D356" s="14" t="s">
        <v>2116</v>
      </c>
      <c r="E356" s="14" t="s">
        <v>151</v>
      </c>
      <c r="F356" s="14">
        <v>10</v>
      </c>
      <c r="I356" s="14" t="s">
        <v>2117</v>
      </c>
      <c r="J356" s="14">
        <v>0.1</v>
      </c>
      <c r="K356" s="14" t="s">
        <v>32</v>
      </c>
      <c r="L356" s="14" t="s">
        <v>2117</v>
      </c>
      <c r="M356">
        <v>0.1</v>
      </c>
      <c r="N356" s="14" t="s">
        <v>2118</v>
      </c>
      <c r="X356" s="14" t="s">
        <v>2119</v>
      </c>
      <c r="Y356" s="14">
        <v>9.8000000000000004E-2</v>
      </c>
      <c r="Z356" s="14" t="s">
        <v>2120</v>
      </c>
    </row>
    <row r="357" spans="1:37" x14ac:dyDescent="0.25">
      <c r="A357" t="s">
        <v>2121</v>
      </c>
      <c r="B357" s="14" t="s">
        <v>168</v>
      </c>
      <c r="C357" s="14" t="s">
        <v>2122</v>
      </c>
      <c r="D357" s="14" t="s">
        <v>2123</v>
      </c>
      <c r="E357" s="14" t="s">
        <v>151</v>
      </c>
      <c r="F357" s="14">
        <v>7</v>
      </c>
      <c r="I357" s="14" t="s">
        <v>2124</v>
      </c>
      <c r="J357" s="14">
        <v>0.1</v>
      </c>
      <c r="K357" s="14" t="s">
        <v>32</v>
      </c>
      <c r="L357" s="14" t="s">
        <v>2124</v>
      </c>
      <c r="M357">
        <v>0.1</v>
      </c>
      <c r="N357" s="14" t="s">
        <v>2125</v>
      </c>
    </row>
    <row r="358" spans="1:37" x14ac:dyDescent="0.25">
      <c r="A358" t="s">
        <v>163</v>
      </c>
      <c r="B358" s="14" t="s">
        <v>168</v>
      </c>
      <c r="C358" s="14" t="s">
        <v>2126</v>
      </c>
      <c r="D358" s="14" t="s">
        <v>2127</v>
      </c>
      <c r="E358" s="14" t="s">
        <v>151</v>
      </c>
      <c r="F358" s="14">
        <v>7</v>
      </c>
      <c r="I358" s="14" t="s">
        <v>2128</v>
      </c>
      <c r="J358" s="14">
        <v>0.1</v>
      </c>
      <c r="K358" s="14" t="s">
        <v>32</v>
      </c>
      <c r="L358" s="14" t="s">
        <v>2128</v>
      </c>
      <c r="M358">
        <v>0.1</v>
      </c>
      <c r="N358" s="14" t="s">
        <v>2129</v>
      </c>
      <c r="X358" s="14" t="s">
        <v>2130</v>
      </c>
      <c r="Y358" s="14">
        <v>9.8000000000000004E-2</v>
      </c>
      <c r="Z358" s="14" t="s">
        <v>2131</v>
      </c>
    </row>
    <row r="359" spans="1:37" x14ac:dyDescent="0.25">
      <c r="A359" t="s">
        <v>191</v>
      </c>
      <c r="B359" s="14" t="s">
        <v>168</v>
      </c>
      <c r="C359" s="14" t="s">
        <v>2132</v>
      </c>
      <c r="D359" s="14" t="s">
        <v>2133</v>
      </c>
      <c r="E359" s="14" t="s">
        <v>151</v>
      </c>
      <c r="F359" s="14">
        <v>5</v>
      </c>
      <c r="I359" s="14" t="s">
        <v>2134</v>
      </c>
      <c r="J359" s="14">
        <v>0.1</v>
      </c>
      <c r="K359" s="14" t="s">
        <v>32</v>
      </c>
      <c r="L359" s="14" t="s">
        <v>2134</v>
      </c>
      <c r="M359">
        <v>0.1</v>
      </c>
      <c r="N359" s="14" t="s">
        <v>2135</v>
      </c>
      <c r="X359" s="14" t="s">
        <v>2136</v>
      </c>
      <c r="Y359" s="14">
        <v>9.8000000000000004E-2</v>
      </c>
      <c r="Z359" s="14" t="s">
        <v>2137</v>
      </c>
    </row>
    <row r="360" spans="1:37" x14ac:dyDescent="0.25">
      <c r="A360" t="s">
        <v>264</v>
      </c>
      <c r="B360" s="14" t="s">
        <v>168</v>
      </c>
      <c r="C360" s="14" t="s">
        <v>2138</v>
      </c>
      <c r="D360" s="14" t="s">
        <v>2139</v>
      </c>
      <c r="E360" s="14" t="s">
        <v>151</v>
      </c>
      <c r="F360" s="14">
        <v>8</v>
      </c>
      <c r="I360" s="14" t="s">
        <v>2140</v>
      </c>
      <c r="J360" s="14">
        <v>0.1</v>
      </c>
      <c r="K360" s="14" t="s">
        <v>32</v>
      </c>
      <c r="L360" s="14" t="s">
        <v>2140</v>
      </c>
      <c r="M360">
        <v>0.1</v>
      </c>
      <c r="N360" s="14" t="s">
        <v>2141</v>
      </c>
    </row>
    <row r="361" spans="1:37" x14ac:dyDescent="0.25">
      <c r="A361" t="s">
        <v>190</v>
      </c>
      <c r="B361" s="14" t="s">
        <v>168</v>
      </c>
      <c r="C361" s="14" t="s">
        <v>2142</v>
      </c>
      <c r="D361" s="14" t="s">
        <v>2143</v>
      </c>
      <c r="E361" s="14" t="s">
        <v>151</v>
      </c>
      <c r="F361" s="14">
        <v>7</v>
      </c>
      <c r="I361" s="14" t="s">
        <v>2144</v>
      </c>
      <c r="J361" s="14">
        <v>0.1</v>
      </c>
      <c r="K361" s="14" t="s">
        <v>32</v>
      </c>
      <c r="L361" s="14" t="s">
        <v>2144</v>
      </c>
      <c r="M361">
        <v>0.1</v>
      </c>
      <c r="N361" s="14" t="s">
        <v>2145</v>
      </c>
      <c r="X361" s="14" t="s">
        <v>2146</v>
      </c>
      <c r="Y361" s="14">
        <v>9.8000000000000004E-2</v>
      </c>
      <c r="Z361" s="14" t="s">
        <v>2147</v>
      </c>
    </row>
    <row r="362" spans="1:37" x14ac:dyDescent="0.25">
      <c r="A362" t="s">
        <v>170</v>
      </c>
      <c r="B362" s="14" t="s">
        <v>168</v>
      </c>
      <c r="C362" s="14" t="s">
        <v>2148</v>
      </c>
      <c r="D362" s="14" t="s">
        <v>2149</v>
      </c>
      <c r="E362" s="14" t="s">
        <v>151</v>
      </c>
      <c r="F362" s="14">
        <v>10</v>
      </c>
      <c r="I362" s="14" t="s">
        <v>2150</v>
      </c>
      <c r="J362" s="14">
        <v>0.15</v>
      </c>
      <c r="K362" s="14" t="s">
        <v>32</v>
      </c>
      <c r="L362" s="14" t="s">
        <v>2150</v>
      </c>
      <c r="M362">
        <v>0.15</v>
      </c>
      <c r="N362" s="14" t="s">
        <v>2151</v>
      </c>
      <c r="X362" s="14" t="s">
        <v>2152</v>
      </c>
      <c r="Y362" s="14">
        <v>9.8000000000000004E-2</v>
      </c>
      <c r="Z362" s="14" t="s">
        <v>2153</v>
      </c>
    </row>
    <row r="363" spans="1:37" x14ac:dyDescent="0.25">
      <c r="A363" t="s">
        <v>171</v>
      </c>
      <c r="B363" s="14" t="s">
        <v>168</v>
      </c>
      <c r="C363" s="14" t="s">
        <v>2154</v>
      </c>
      <c r="D363" s="14" t="s">
        <v>2155</v>
      </c>
      <c r="E363" s="14" t="s">
        <v>151</v>
      </c>
      <c r="F363" s="14">
        <v>0</v>
      </c>
      <c r="I363" s="14" t="s">
        <v>2156</v>
      </c>
      <c r="J363" s="14">
        <v>0.15</v>
      </c>
      <c r="K363" s="14" t="s">
        <v>32</v>
      </c>
      <c r="L363" s="14" t="s">
        <v>2156</v>
      </c>
      <c r="M363">
        <v>0.15</v>
      </c>
      <c r="N363" s="14" t="s">
        <v>2157</v>
      </c>
      <c r="X363" s="14" t="s">
        <v>2158</v>
      </c>
      <c r="Y363" s="14">
        <v>9.8000000000000004E-2</v>
      </c>
      <c r="Z363" s="14" t="s">
        <v>2159</v>
      </c>
    </row>
    <row r="364" spans="1:37" x14ac:dyDescent="0.25">
      <c r="A364" t="s">
        <v>27</v>
      </c>
      <c r="B364" s="14" t="s">
        <v>300</v>
      </c>
      <c r="C364" s="14" t="s">
        <v>2160</v>
      </c>
      <c r="D364" s="14" t="s">
        <v>2161</v>
      </c>
      <c r="E364" s="14" t="s">
        <v>151</v>
      </c>
      <c r="F364" s="14">
        <v>9</v>
      </c>
      <c r="I364" s="14">
        <v>1576507</v>
      </c>
      <c r="J364" s="14">
        <v>4.4499999999999998E-2</v>
      </c>
      <c r="K364" s="14" t="s">
        <v>5</v>
      </c>
      <c r="O364" s="14">
        <v>1576507</v>
      </c>
      <c r="P364" s="14">
        <v>4.4499999999999998E-2</v>
      </c>
      <c r="Q364" s="14" t="s">
        <v>2162</v>
      </c>
      <c r="AK364" s="14">
        <v>4.4499999999999998E-2</v>
      </c>
    </row>
    <row r="365" spans="1:37" x14ac:dyDescent="0.25">
      <c r="A365" t="s">
        <v>25</v>
      </c>
      <c r="B365" s="14" t="s">
        <v>300</v>
      </c>
      <c r="C365" s="14" t="s">
        <v>2163</v>
      </c>
      <c r="D365" s="14" t="s">
        <v>2164</v>
      </c>
      <c r="E365" s="14" t="s">
        <v>151</v>
      </c>
      <c r="F365" s="14">
        <v>9</v>
      </c>
      <c r="I365" s="14">
        <v>2073701</v>
      </c>
      <c r="J365" s="14">
        <v>1.55E-2</v>
      </c>
      <c r="K365" s="14" t="s">
        <v>5</v>
      </c>
      <c r="O365" s="14">
        <v>2073701</v>
      </c>
      <c r="P365" s="14">
        <v>1.55E-2</v>
      </c>
      <c r="Q365" s="14" t="s">
        <v>2165</v>
      </c>
      <c r="AK365" s="14">
        <v>1.55E-2</v>
      </c>
    </row>
    <row r="366" spans="1:37" x14ac:dyDescent="0.25">
      <c r="A366" t="s">
        <v>2166</v>
      </c>
      <c r="B366" s="14" t="s">
        <v>300</v>
      </c>
      <c r="C366" s="14" t="s">
        <v>97</v>
      </c>
      <c r="D366" s="14" t="s">
        <v>2167</v>
      </c>
      <c r="E366" s="14" t="s">
        <v>151</v>
      </c>
      <c r="F366" s="14">
        <v>0</v>
      </c>
      <c r="I366" s="14">
        <v>2073779</v>
      </c>
      <c r="J366" s="14">
        <v>2.3E-2</v>
      </c>
      <c r="K366" s="14" t="s">
        <v>5</v>
      </c>
      <c r="O366" s="14">
        <v>2073779</v>
      </c>
      <c r="P366" s="14">
        <v>2.3E-2</v>
      </c>
      <c r="Q366" s="14" t="s">
        <v>2168</v>
      </c>
      <c r="AK366" s="14">
        <v>2.3E-2</v>
      </c>
    </row>
    <row r="367" spans="1:37" x14ac:dyDescent="0.25">
      <c r="A367" t="s">
        <v>28</v>
      </c>
      <c r="B367" s="14" t="s">
        <v>300</v>
      </c>
      <c r="C367" s="14" t="s">
        <v>2169</v>
      </c>
      <c r="D367" s="14" t="s">
        <v>2170</v>
      </c>
      <c r="E367" s="14" t="s">
        <v>151</v>
      </c>
      <c r="F367" s="14">
        <v>7</v>
      </c>
      <c r="I367" s="14">
        <v>2694097</v>
      </c>
      <c r="J367" s="14">
        <v>2.3900000000000001E-2</v>
      </c>
      <c r="K367" s="14" t="s">
        <v>5</v>
      </c>
      <c r="O367" s="14">
        <v>2694097</v>
      </c>
      <c r="P367" s="14">
        <v>2.3900000000000001E-2</v>
      </c>
      <c r="Q367" s="14" t="s">
        <v>2171</v>
      </c>
      <c r="AK367" s="14">
        <v>2.3900000000000001E-2</v>
      </c>
    </row>
    <row r="368" spans="1:37" x14ac:dyDescent="0.25">
      <c r="A368" t="s">
        <v>24</v>
      </c>
      <c r="B368" s="14" t="s">
        <v>2172</v>
      </c>
      <c r="C368" s="14" t="s">
        <v>2173</v>
      </c>
      <c r="D368" s="14" t="s">
        <v>2174</v>
      </c>
      <c r="E368" s="14" t="s">
        <v>151</v>
      </c>
      <c r="F368" s="14">
        <v>9</v>
      </c>
      <c r="I368" s="14">
        <v>2447573</v>
      </c>
      <c r="J368" s="14">
        <v>1.0999999999999999E-2</v>
      </c>
      <c r="K368" s="14" t="s">
        <v>5</v>
      </c>
      <c r="O368" s="14">
        <v>2447573</v>
      </c>
      <c r="P368" s="14">
        <v>1.0999999999999999E-2</v>
      </c>
      <c r="Q368" s="14" t="s">
        <v>2175</v>
      </c>
      <c r="AK368" s="14">
        <v>1.0999999999999999E-2</v>
      </c>
    </row>
    <row r="369" spans="1:37" x14ac:dyDescent="0.25">
      <c r="A369" t="s">
        <v>2176</v>
      </c>
      <c r="B369" s="14" t="s">
        <v>168</v>
      </c>
      <c r="C369" s="14" t="s">
        <v>2177</v>
      </c>
      <c r="D369" s="14" t="s">
        <v>2178</v>
      </c>
      <c r="E369" s="14" t="s">
        <v>151</v>
      </c>
      <c r="F369" s="14">
        <v>10</v>
      </c>
      <c r="I369" s="14" t="s">
        <v>2179</v>
      </c>
      <c r="J369" s="14">
        <v>0.1</v>
      </c>
      <c r="K369" s="14" t="s">
        <v>32</v>
      </c>
      <c r="L369" s="14" t="s">
        <v>2179</v>
      </c>
      <c r="M369">
        <v>0.1</v>
      </c>
      <c r="N369" s="14" t="s">
        <v>2180</v>
      </c>
      <c r="X369" s="14" t="s">
        <v>2181</v>
      </c>
      <c r="Y369" s="14">
        <v>9.8000000000000004E-2</v>
      </c>
      <c r="Z369" s="14" t="s">
        <v>2182</v>
      </c>
    </row>
    <row r="370" spans="1:37" x14ac:dyDescent="0.25">
      <c r="A370" t="s">
        <v>2183</v>
      </c>
      <c r="B370" s="14" t="s">
        <v>168</v>
      </c>
      <c r="C370" s="14" t="s">
        <v>2184</v>
      </c>
      <c r="D370" s="14" t="s">
        <v>2185</v>
      </c>
      <c r="E370" s="14" t="s">
        <v>151</v>
      </c>
      <c r="F370" s="14">
        <v>10</v>
      </c>
      <c r="I370" s="14" t="s">
        <v>2186</v>
      </c>
      <c r="J370" s="14">
        <v>6.6000000000000003E-2</v>
      </c>
      <c r="K370" s="14" t="s">
        <v>32</v>
      </c>
      <c r="L370" s="14" t="s">
        <v>2186</v>
      </c>
      <c r="M370">
        <v>6.6000000000000003E-2</v>
      </c>
      <c r="N370" s="14" t="s">
        <v>2187</v>
      </c>
    </row>
    <row r="371" spans="1:37" x14ac:dyDescent="0.25">
      <c r="A371" t="s">
        <v>2188</v>
      </c>
      <c r="B371" s="14" t="s">
        <v>168</v>
      </c>
      <c r="C371" s="14" t="s">
        <v>2189</v>
      </c>
      <c r="D371" s="14" t="s">
        <v>2190</v>
      </c>
      <c r="E371" s="14" t="s">
        <v>151</v>
      </c>
      <c r="F371" s="14">
        <v>10</v>
      </c>
      <c r="I371" s="14" t="s">
        <v>2191</v>
      </c>
      <c r="J371" s="14">
        <v>6.6000000000000003E-2</v>
      </c>
      <c r="K371" s="14" t="s">
        <v>32</v>
      </c>
      <c r="L371" s="14" t="s">
        <v>2191</v>
      </c>
      <c r="M371">
        <v>6.6000000000000003E-2</v>
      </c>
      <c r="N371" s="14" t="s">
        <v>2192</v>
      </c>
    </row>
    <row r="372" spans="1:37" x14ac:dyDescent="0.25">
      <c r="A372" t="s">
        <v>2330</v>
      </c>
      <c r="B372" s="14" t="s">
        <v>2331</v>
      </c>
      <c r="C372" s="14" t="s">
        <v>2332</v>
      </c>
      <c r="D372" s="14" t="s">
        <v>2452</v>
      </c>
      <c r="E372" s="14" t="s">
        <v>2333</v>
      </c>
      <c r="F372" s="14">
        <v>2</v>
      </c>
      <c r="I372" s="14" t="s">
        <v>2334</v>
      </c>
      <c r="J372" s="14">
        <v>2.0699999999999998</v>
      </c>
      <c r="K372" s="14" t="s">
        <v>32</v>
      </c>
      <c r="L372" s="14" t="s">
        <v>2334</v>
      </c>
      <c r="M372">
        <v>2.0699999999999998</v>
      </c>
      <c r="N372" s="14" t="s">
        <v>2335</v>
      </c>
    </row>
    <row r="373" spans="1:37" x14ac:dyDescent="0.25">
      <c r="A373" t="s">
        <v>234</v>
      </c>
      <c r="B373" s="14" t="s">
        <v>454</v>
      </c>
      <c r="C373" s="14" t="s">
        <v>450</v>
      </c>
      <c r="D373" s="14" t="s">
        <v>455</v>
      </c>
      <c r="E373" s="14" t="s">
        <v>456</v>
      </c>
      <c r="F373" s="14">
        <v>2</v>
      </c>
      <c r="I373" s="14" t="s">
        <v>457</v>
      </c>
      <c r="J373" s="14">
        <v>0.16</v>
      </c>
      <c r="K373" s="14" t="s">
        <v>32</v>
      </c>
      <c r="L373" s="14" t="s">
        <v>457</v>
      </c>
      <c r="M373">
        <v>0.16</v>
      </c>
      <c r="N373" s="14" t="s">
        <v>458</v>
      </c>
    </row>
    <row r="374" spans="1:37" x14ac:dyDescent="0.25">
      <c r="A374">
        <v>29351</v>
      </c>
      <c r="B374" s="14" t="s">
        <v>449</v>
      </c>
      <c r="C374" s="14" t="s">
        <v>97</v>
      </c>
      <c r="D374" s="14" t="s">
        <v>2193</v>
      </c>
      <c r="E374" s="14" t="s">
        <v>456</v>
      </c>
      <c r="F374" s="14">
        <v>0</v>
      </c>
      <c r="I374" s="14" t="s">
        <v>2194</v>
      </c>
      <c r="J374" s="14">
        <v>0.23</v>
      </c>
      <c r="K374" s="14" t="s">
        <v>32</v>
      </c>
      <c r="L374" s="14" t="s">
        <v>2194</v>
      </c>
      <c r="M374">
        <v>0.23</v>
      </c>
      <c r="N374" s="14" t="s">
        <v>2195</v>
      </c>
    </row>
    <row r="375" spans="1:37" x14ac:dyDescent="0.25">
      <c r="A375" t="s">
        <v>2200</v>
      </c>
      <c r="B375" s="14" t="s">
        <v>2201</v>
      </c>
      <c r="C375" s="14" t="s">
        <v>97</v>
      </c>
      <c r="D375" s="14" t="s">
        <v>2202</v>
      </c>
      <c r="E375" s="14" t="s">
        <v>2203</v>
      </c>
      <c r="F375" s="14">
        <v>0</v>
      </c>
      <c r="I375" s="14" t="s">
        <v>2204</v>
      </c>
      <c r="J375" s="14">
        <v>16.78</v>
      </c>
      <c r="K375" s="14" t="s">
        <v>32</v>
      </c>
      <c r="L375" s="14" t="s">
        <v>2204</v>
      </c>
      <c r="M375">
        <v>16.78</v>
      </c>
      <c r="N375" s="14" t="s">
        <v>2205</v>
      </c>
    </row>
    <row r="376" spans="1:37" x14ac:dyDescent="0.25">
      <c r="A376" t="s">
        <v>2206</v>
      </c>
      <c r="B376" s="14" t="s">
        <v>2201</v>
      </c>
      <c r="C376" s="14" t="s">
        <v>97</v>
      </c>
      <c r="D376" s="14" t="s">
        <v>2207</v>
      </c>
      <c r="E376" s="14" t="s">
        <v>2203</v>
      </c>
      <c r="F376" s="14">
        <v>0</v>
      </c>
      <c r="I376" s="14" t="s">
        <v>2208</v>
      </c>
      <c r="J376" s="14">
        <v>17.77</v>
      </c>
      <c r="K376" s="14" t="s">
        <v>32</v>
      </c>
      <c r="L376" s="14" t="s">
        <v>2208</v>
      </c>
      <c r="M376">
        <v>17.77</v>
      </c>
      <c r="N376" s="14" t="s">
        <v>2209</v>
      </c>
    </row>
    <row r="377" spans="1:37" x14ac:dyDescent="0.25">
      <c r="A377" t="s">
        <v>2210</v>
      </c>
      <c r="B377" s="14" t="s">
        <v>313</v>
      </c>
      <c r="C377" s="14" t="s">
        <v>97</v>
      </c>
      <c r="D377" s="14" t="s">
        <v>2211</v>
      </c>
      <c r="E377" s="14" t="s">
        <v>2212</v>
      </c>
      <c r="F377" s="14">
        <v>0</v>
      </c>
      <c r="I377" s="14" t="s">
        <v>2213</v>
      </c>
      <c r="J377" s="14">
        <v>5.05</v>
      </c>
      <c r="K377" s="14" t="s">
        <v>32</v>
      </c>
      <c r="L377" s="14" t="s">
        <v>2213</v>
      </c>
      <c r="M377">
        <v>5.05</v>
      </c>
      <c r="N377" s="14" t="s">
        <v>2214</v>
      </c>
    </row>
    <row r="378" spans="1:37" x14ac:dyDescent="0.25">
      <c r="A378" t="s">
        <v>2215</v>
      </c>
      <c r="B378" s="14" t="s">
        <v>313</v>
      </c>
      <c r="C378" s="14" t="s">
        <v>97</v>
      </c>
      <c r="D378" s="14" t="s">
        <v>2216</v>
      </c>
      <c r="E378" s="14" t="s">
        <v>2212</v>
      </c>
      <c r="F378" s="14">
        <v>0</v>
      </c>
      <c r="I378" s="14" t="s">
        <v>2217</v>
      </c>
      <c r="J378" s="14">
        <v>5.05</v>
      </c>
      <c r="K378" s="14" t="s">
        <v>32</v>
      </c>
      <c r="L378" s="14" t="s">
        <v>2217</v>
      </c>
      <c r="M378">
        <v>5.05</v>
      </c>
      <c r="N378" s="14" t="s">
        <v>2218</v>
      </c>
    </row>
    <row r="379" spans="1:37" x14ac:dyDescent="0.25">
      <c r="A379" t="s">
        <v>2219</v>
      </c>
      <c r="B379" s="14" t="s">
        <v>313</v>
      </c>
      <c r="C379" s="14" t="s">
        <v>97</v>
      </c>
      <c r="D379" s="14" t="s">
        <v>2220</v>
      </c>
      <c r="E379" s="14" t="s">
        <v>2212</v>
      </c>
      <c r="F379" s="14">
        <v>1</v>
      </c>
      <c r="I379" s="14" t="s">
        <v>2221</v>
      </c>
      <c r="J379" s="14">
        <v>5.25</v>
      </c>
      <c r="K379" s="14" t="s">
        <v>32</v>
      </c>
      <c r="L379" s="14" t="s">
        <v>2221</v>
      </c>
      <c r="M379">
        <v>5.25</v>
      </c>
      <c r="N379" s="14" t="s">
        <v>2222</v>
      </c>
    </row>
    <row r="380" spans="1:37" x14ac:dyDescent="0.25">
      <c r="A380" t="s">
        <v>2223</v>
      </c>
      <c r="B380" s="14" t="s">
        <v>313</v>
      </c>
      <c r="C380" s="14" t="s">
        <v>97</v>
      </c>
      <c r="D380" s="14" t="s">
        <v>2224</v>
      </c>
      <c r="E380" s="14" t="s">
        <v>2212</v>
      </c>
      <c r="F380" s="14">
        <v>1</v>
      </c>
      <c r="I380" s="14" t="s">
        <v>2225</v>
      </c>
      <c r="J380" s="14">
        <v>4.8499999999999996</v>
      </c>
      <c r="K380" s="14" t="s">
        <v>32</v>
      </c>
      <c r="L380" s="14" t="s">
        <v>2225</v>
      </c>
      <c r="M380">
        <v>4.8499999999999996</v>
      </c>
      <c r="N380" s="14" t="s">
        <v>2226</v>
      </c>
    </row>
    <row r="381" spans="1:37" x14ac:dyDescent="0.25">
      <c r="A381" t="s">
        <v>2227</v>
      </c>
      <c r="B381" s="14" t="s">
        <v>313</v>
      </c>
      <c r="C381" s="14" t="s">
        <v>97</v>
      </c>
      <c r="D381" s="14" t="s">
        <v>2228</v>
      </c>
      <c r="E381" s="14" t="s">
        <v>2212</v>
      </c>
      <c r="F381" s="14">
        <v>1</v>
      </c>
      <c r="I381" s="14" t="s">
        <v>2229</v>
      </c>
      <c r="J381" s="14">
        <v>0.53</v>
      </c>
      <c r="K381" s="14" t="s">
        <v>32</v>
      </c>
      <c r="L381" s="14" t="s">
        <v>2230</v>
      </c>
      <c r="M381">
        <v>5.05</v>
      </c>
      <c r="N381" s="14" t="s">
        <v>2231</v>
      </c>
    </row>
    <row r="382" spans="1:37" x14ac:dyDescent="0.25">
      <c r="A382" t="s">
        <v>2232</v>
      </c>
      <c r="B382" s="14" t="s">
        <v>313</v>
      </c>
      <c r="C382" s="14" t="s">
        <v>97</v>
      </c>
      <c r="D382" s="14" t="s">
        <v>2233</v>
      </c>
      <c r="E382" s="14" t="s">
        <v>2212</v>
      </c>
      <c r="F382" s="14">
        <v>1</v>
      </c>
      <c r="I382" s="14" t="s">
        <v>2234</v>
      </c>
      <c r="J382" s="14">
        <v>5.05</v>
      </c>
      <c r="K382" s="14" t="s">
        <v>32</v>
      </c>
      <c r="L382" s="14" t="s">
        <v>2234</v>
      </c>
      <c r="M382">
        <v>5.05</v>
      </c>
      <c r="N382" s="14" t="s">
        <v>2235</v>
      </c>
    </row>
    <row r="383" spans="1:37" x14ac:dyDescent="0.25">
      <c r="A383">
        <v>25521</v>
      </c>
      <c r="B383" s="14" t="s">
        <v>449</v>
      </c>
      <c r="C383" s="14" t="s">
        <v>450</v>
      </c>
      <c r="D383" s="14" t="s">
        <v>2453</v>
      </c>
      <c r="E383" s="14" t="s">
        <v>475</v>
      </c>
      <c r="F383" s="14">
        <v>6</v>
      </c>
      <c r="I383" s="14" t="s">
        <v>476</v>
      </c>
      <c r="J383" s="14">
        <v>0.47</v>
      </c>
      <c r="K383" s="14" t="s">
        <v>32</v>
      </c>
      <c r="L383" s="14" t="s">
        <v>476</v>
      </c>
      <c r="M383">
        <v>0.47</v>
      </c>
      <c r="N383" s="14" t="s">
        <v>477</v>
      </c>
    </row>
    <row r="384" spans="1:37" x14ac:dyDescent="0.25">
      <c r="A384" t="s">
        <v>2238</v>
      </c>
      <c r="B384" s="14" t="s">
        <v>352</v>
      </c>
      <c r="C384" s="14" t="s">
        <v>97</v>
      </c>
      <c r="D384" s="14" t="s">
        <v>2239</v>
      </c>
      <c r="E384" s="14" t="s">
        <v>2240</v>
      </c>
      <c r="F384" s="14">
        <v>19</v>
      </c>
      <c r="G384" s="14">
        <v>2</v>
      </c>
      <c r="H384" s="14">
        <v>1</v>
      </c>
      <c r="I384" s="14" t="s">
        <v>2241</v>
      </c>
      <c r="J384" s="14">
        <v>0.28000000000000003</v>
      </c>
      <c r="K384" s="14" t="s">
        <v>32</v>
      </c>
      <c r="L384" s="14" t="s">
        <v>2241</v>
      </c>
      <c r="M384">
        <v>0.28000000000000003</v>
      </c>
      <c r="N384" s="14" t="s">
        <v>2242</v>
      </c>
      <c r="O384" s="14">
        <v>2445623</v>
      </c>
      <c r="P384" s="14">
        <v>0.191</v>
      </c>
      <c r="Q384" s="14" t="s">
        <v>2243</v>
      </c>
      <c r="AK384" s="14">
        <v>0.191</v>
      </c>
    </row>
    <row r="385" spans="1:37" x14ac:dyDescent="0.25">
      <c r="A385" t="s">
        <v>2244</v>
      </c>
      <c r="B385" s="14" t="s">
        <v>717</v>
      </c>
      <c r="C385" s="14" t="s">
        <v>97</v>
      </c>
      <c r="D385" s="14" t="s">
        <v>2245</v>
      </c>
      <c r="E385" s="14" t="s">
        <v>2240</v>
      </c>
      <c r="F385" s="14">
        <v>10</v>
      </c>
      <c r="G385" s="14">
        <v>2</v>
      </c>
      <c r="H385" s="14">
        <v>1</v>
      </c>
      <c r="I385" s="14" t="s">
        <v>2246</v>
      </c>
      <c r="J385" s="14">
        <v>0.61</v>
      </c>
      <c r="K385" s="14" t="s">
        <v>32</v>
      </c>
      <c r="L385" s="14" t="s">
        <v>2246</v>
      </c>
      <c r="M385">
        <v>0.61</v>
      </c>
      <c r="N385" s="14" t="s">
        <v>2247</v>
      </c>
      <c r="O385" s="14">
        <v>2672298</v>
      </c>
      <c r="P385" s="14">
        <v>0.34899999999999998</v>
      </c>
      <c r="Q385" s="14" t="s">
        <v>2248</v>
      </c>
      <c r="AK385" s="14">
        <v>0.34899999999999998</v>
      </c>
    </row>
    <row r="386" spans="1:37" x14ac:dyDescent="0.25">
      <c r="A386" t="s">
        <v>2249</v>
      </c>
      <c r="B386" s="14" t="s">
        <v>300</v>
      </c>
      <c r="C386" s="14" t="s">
        <v>97</v>
      </c>
      <c r="D386" s="14" t="s">
        <v>2250</v>
      </c>
      <c r="E386" s="14" t="s">
        <v>2240</v>
      </c>
      <c r="F386" s="14">
        <v>15</v>
      </c>
      <c r="G386" s="14">
        <v>2</v>
      </c>
      <c r="H386" s="14">
        <v>1</v>
      </c>
      <c r="I386" s="14">
        <v>2678574</v>
      </c>
      <c r="J386" s="14">
        <v>0.26500000000000001</v>
      </c>
      <c r="K386" s="14" t="s">
        <v>5</v>
      </c>
      <c r="O386" s="14">
        <v>2678574</v>
      </c>
      <c r="P386" s="14">
        <v>0.26500000000000001</v>
      </c>
      <c r="Q386" s="14" t="s">
        <v>2251</v>
      </c>
      <c r="AK386" s="14">
        <v>0.26500000000000001</v>
      </c>
    </row>
    <row r="387" spans="1:37" x14ac:dyDescent="0.25">
      <c r="A387" t="s">
        <v>922</v>
      </c>
      <c r="B387" s="14" t="s">
        <v>923</v>
      </c>
      <c r="C387" s="14" t="s">
        <v>924</v>
      </c>
      <c r="D387" s="14" t="s">
        <v>925</v>
      </c>
      <c r="E387" s="14" t="s">
        <v>926</v>
      </c>
      <c r="F387" s="14">
        <v>4</v>
      </c>
      <c r="G387" s="14">
        <v>2</v>
      </c>
      <c r="H387" s="14">
        <v>1</v>
      </c>
      <c r="I387" s="14" t="s">
        <v>927</v>
      </c>
      <c r="J387" s="14">
        <v>0.85</v>
      </c>
      <c r="K387" s="14" t="s">
        <v>32</v>
      </c>
      <c r="L387" s="14" t="s">
        <v>927</v>
      </c>
      <c r="M387">
        <v>0.85</v>
      </c>
      <c r="N387" s="14" t="s">
        <v>928</v>
      </c>
    </row>
    <row r="388" spans="1:37" x14ac:dyDescent="0.25">
      <c r="A388" t="s">
        <v>59</v>
      </c>
      <c r="B388" s="14" t="s">
        <v>929</v>
      </c>
      <c r="C388" s="14" t="s">
        <v>924</v>
      </c>
      <c r="D388" s="14" t="s">
        <v>930</v>
      </c>
      <c r="E388" s="14" t="s">
        <v>926</v>
      </c>
      <c r="F388" s="14">
        <v>2</v>
      </c>
      <c r="G388" s="14">
        <v>2</v>
      </c>
      <c r="H388" s="14">
        <v>1</v>
      </c>
      <c r="I388" s="14" t="s">
        <v>931</v>
      </c>
      <c r="J388" s="14">
        <v>1.39</v>
      </c>
      <c r="K388" s="14" t="s">
        <v>32</v>
      </c>
      <c r="L388" s="14" t="s">
        <v>931</v>
      </c>
      <c r="M388">
        <v>1.39</v>
      </c>
      <c r="N388" s="14" t="s">
        <v>932</v>
      </c>
    </row>
    <row r="389" spans="1:37" x14ac:dyDescent="0.25">
      <c r="A389" t="s">
        <v>2262</v>
      </c>
      <c r="B389" s="14" t="s">
        <v>2263</v>
      </c>
      <c r="C389" s="14" t="s">
        <v>97</v>
      </c>
      <c r="D389" s="14" t="s">
        <v>2264</v>
      </c>
      <c r="E389" s="14" t="s">
        <v>926</v>
      </c>
      <c r="F389" s="14">
        <v>0</v>
      </c>
      <c r="I389" s="14" t="s">
        <v>2229</v>
      </c>
      <c r="J389" s="14">
        <v>0.53</v>
      </c>
      <c r="K389" s="14" t="s">
        <v>32</v>
      </c>
      <c r="L389" s="14" t="s">
        <v>2229</v>
      </c>
      <c r="M389">
        <v>0.53</v>
      </c>
      <c r="N389" s="14" t="s">
        <v>2265</v>
      </c>
    </row>
    <row r="390" spans="1:37" x14ac:dyDescent="0.25">
      <c r="A390" t="s">
        <v>2266</v>
      </c>
      <c r="B390" s="14" t="s">
        <v>2267</v>
      </c>
      <c r="C390" s="14" t="s">
        <v>97</v>
      </c>
      <c r="D390" s="14" t="s">
        <v>2268</v>
      </c>
      <c r="E390" s="14" t="s">
        <v>926</v>
      </c>
      <c r="F390" s="14">
        <v>1</v>
      </c>
      <c r="I390" s="14" t="s">
        <v>2269</v>
      </c>
      <c r="J390" s="14">
        <v>2.1800000000000002</v>
      </c>
      <c r="K390" s="14" t="s">
        <v>138</v>
      </c>
      <c r="R390" s="14" t="s">
        <v>2269</v>
      </c>
      <c r="S390" s="14">
        <v>2.1800000000000002</v>
      </c>
      <c r="T390" s="14" t="s">
        <v>2270</v>
      </c>
    </row>
    <row r="391" spans="1:37" x14ac:dyDescent="0.25">
      <c r="A391">
        <v>638111000</v>
      </c>
      <c r="B391" s="14" t="s">
        <v>508</v>
      </c>
      <c r="C391" s="14" t="s">
        <v>97</v>
      </c>
      <c r="D391" s="14" t="s">
        <v>2271</v>
      </c>
      <c r="E391" s="14" t="s">
        <v>2272</v>
      </c>
      <c r="F391" s="14">
        <v>0</v>
      </c>
      <c r="I391" s="14" t="s">
        <v>2273</v>
      </c>
      <c r="J391" s="14">
        <v>56.67</v>
      </c>
      <c r="K391" s="14" t="s">
        <v>32</v>
      </c>
      <c r="L391" s="14" t="s">
        <v>2273</v>
      </c>
      <c r="M391">
        <v>56.67</v>
      </c>
      <c r="N391" s="14" t="s">
        <v>2274</v>
      </c>
    </row>
    <row r="392" spans="1:37" x14ac:dyDescent="0.25">
      <c r="A392" t="s">
        <v>2275</v>
      </c>
      <c r="B392" s="14" t="s">
        <v>2276</v>
      </c>
      <c r="C392" s="14" t="s">
        <v>97</v>
      </c>
      <c r="D392" s="14" t="s">
        <v>2277</v>
      </c>
      <c r="E392" s="14" t="s">
        <v>2272</v>
      </c>
      <c r="F392" s="14">
        <v>1</v>
      </c>
      <c r="I392" s="14" t="s">
        <v>2278</v>
      </c>
      <c r="J392" s="14">
        <v>399.95</v>
      </c>
      <c r="K392" s="14" t="s">
        <v>137</v>
      </c>
      <c r="U392" s="14" t="s">
        <v>2278</v>
      </c>
      <c r="V392" s="14">
        <v>399.95</v>
      </c>
      <c r="W392" s="14" t="s">
        <v>2279</v>
      </c>
    </row>
    <row r="393" spans="1:37" x14ac:dyDescent="0.25">
      <c r="A393" t="s">
        <v>2280</v>
      </c>
      <c r="B393" s="14" t="s">
        <v>2281</v>
      </c>
      <c r="C393" s="14" t="s">
        <v>97</v>
      </c>
      <c r="D393" s="14" t="s">
        <v>2282</v>
      </c>
      <c r="E393" s="14" t="s">
        <v>2272</v>
      </c>
      <c r="F393" s="14">
        <v>0</v>
      </c>
      <c r="I393" s="14" t="s">
        <v>2283</v>
      </c>
      <c r="J393" s="14">
        <v>14.6</v>
      </c>
      <c r="K393" s="14" t="s">
        <v>138</v>
      </c>
      <c r="R393" s="14" t="s">
        <v>2283</v>
      </c>
      <c r="S393" s="14">
        <v>14.6</v>
      </c>
      <c r="T393" s="14" t="s">
        <v>2284</v>
      </c>
    </row>
    <row r="394" spans="1:37" x14ac:dyDescent="0.25">
      <c r="A394" t="s">
        <v>2285</v>
      </c>
      <c r="B394" s="14" t="s">
        <v>313</v>
      </c>
      <c r="C394" s="14" t="s">
        <v>97</v>
      </c>
      <c r="D394" s="14" t="s">
        <v>2454</v>
      </c>
      <c r="E394" s="14" t="s">
        <v>2272</v>
      </c>
      <c r="F394" s="14">
        <v>1</v>
      </c>
      <c r="I394" s="14" t="s">
        <v>2286</v>
      </c>
      <c r="J394" s="14">
        <v>9.17</v>
      </c>
      <c r="K394" s="14" t="s">
        <v>139</v>
      </c>
      <c r="X394" s="14" t="s">
        <v>2286</v>
      </c>
      <c r="Y394" s="14">
        <v>9.17</v>
      </c>
      <c r="Z394" s="14" t="s">
        <v>2287</v>
      </c>
    </row>
    <row r="395" spans="1:37" x14ac:dyDescent="0.25">
      <c r="A395" t="s">
        <v>22</v>
      </c>
      <c r="B395" s="14" t="s">
        <v>695</v>
      </c>
      <c r="C395" s="14" t="s">
        <v>2288</v>
      </c>
      <c r="D395" s="14" t="s">
        <v>2289</v>
      </c>
      <c r="E395" s="14" t="s">
        <v>2290</v>
      </c>
      <c r="F395" s="14">
        <v>12</v>
      </c>
      <c r="G395" s="14">
        <v>10</v>
      </c>
      <c r="H395" s="14">
        <v>1</v>
      </c>
      <c r="I395" s="14" t="s">
        <v>2291</v>
      </c>
      <c r="J395" s="14">
        <v>0.55000000000000004</v>
      </c>
      <c r="K395" s="14" t="s">
        <v>32</v>
      </c>
      <c r="L395" s="14" t="s">
        <v>2291</v>
      </c>
      <c r="M395">
        <v>0.55000000000000004</v>
      </c>
      <c r="N395" s="14" t="s">
        <v>2292</v>
      </c>
      <c r="O395" s="14">
        <v>9845356</v>
      </c>
      <c r="P395" s="14">
        <v>0.42199999999999999</v>
      </c>
      <c r="Q395" s="14" t="s">
        <v>2293</v>
      </c>
      <c r="AK395" s="14">
        <v>0.42199999999999999</v>
      </c>
    </row>
    <row r="396" spans="1:37" x14ac:dyDescent="0.25">
      <c r="A396" t="s">
        <v>21</v>
      </c>
      <c r="B396" s="14" t="s">
        <v>717</v>
      </c>
      <c r="C396" s="14" t="s">
        <v>2294</v>
      </c>
      <c r="D396" s="14" t="s">
        <v>2295</v>
      </c>
      <c r="E396" s="14" t="s">
        <v>2290</v>
      </c>
      <c r="F396" s="14">
        <v>18</v>
      </c>
      <c r="G396" s="14">
        <v>10</v>
      </c>
      <c r="H396" s="14">
        <v>1</v>
      </c>
      <c r="I396" s="14" t="s">
        <v>2296</v>
      </c>
      <c r="J396" s="14">
        <v>0.56999999999999995</v>
      </c>
      <c r="K396" s="14" t="s">
        <v>32</v>
      </c>
      <c r="L396" s="14" t="s">
        <v>2296</v>
      </c>
      <c r="M396">
        <v>0.56999999999999995</v>
      </c>
      <c r="N396" s="14" t="s">
        <v>2297</v>
      </c>
      <c r="O396" s="14">
        <v>1779259</v>
      </c>
      <c r="P396" s="14">
        <v>0.27100000000000002</v>
      </c>
      <c r="Q396" s="14" t="s">
        <v>2298</v>
      </c>
      <c r="AK396" s="14">
        <v>0.27100000000000002</v>
      </c>
    </row>
    <row r="397" spans="1:37" x14ac:dyDescent="0.25">
      <c r="A397" t="s">
        <v>2299</v>
      </c>
      <c r="B397" s="14" t="s">
        <v>2300</v>
      </c>
      <c r="C397" s="14" t="s">
        <v>97</v>
      </c>
      <c r="D397" s="14" t="s">
        <v>2301</v>
      </c>
      <c r="E397" s="14" t="s">
        <v>2290</v>
      </c>
      <c r="F397" s="14">
        <v>0</v>
      </c>
      <c r="I397" s="14" t="s">
        <v>2302</v>
      </c>
      <c r="J397" s="14">
        <v>0.53</v>
      </c>
      <c r="K397" s="14" t="s">
        <v>32</v>
      </c>
      <c r="L397" s="14" t="s">
        <v>2302</v>
      </c>
      <c r="M397">
        <v>0.53</v>
      </c>
      <c r="N397" s="14" t="s">
        <v>2303</v>
      </c>
    </row>
    <row r="398" spans="1:37" x14ac:dyDescent="0.25">
      <c r="A398" t="s">
        <v>20</v>
      </c>
      <c r="B398" s="14" t="s">
        <v>975</v>
      </c>
      <c r="C398" s="14" t="s">
        <v>924</v>
      </c>
      <c r="D398" s="14" t="s">
        <v>976</v>
      </c>
      <c r="E398" s="14" t="s">
        <v>977</v>
      </c>
      <c r="F398" s="14">
        <v>0</v>
      </c>
      <c r="I398" s="14" t="s">
        <v>978</v>
      </c>
      <c r="J398" s="14">
        <v>2.08</v>
      </c>
      <c r="K398" s="14" t="s">
        <v>32</v>
      </c>
      <c r="L398" s="14" t="s">
        <v>978</v>
      </c>
      <c r="M398">
        <v>2.08</v>
      </c>
      <c r="N398" s="14" t="s">
        <v>979</v>
      </c>
      <c r="O398" s="14">
        <v>9352260</v>
      </c>
      <c r="P398" s="14">
        <v>2.76</v>
      </c>
      <c r="Q398" s="14" t="s">
        <v>980</v>
      </c>
      <c r="AK398" s="14">
        <v>2.76</v>
      </c>
    </row>
    <row r="399" spans="1:37" x14ac:dyDescent="0.25">
      <c r="A399" t="s">
        <v>23</v>
      </c>
      <c r="B399" s="14" t="s">
        <v>1006</v>
      </c>
      <c r="C399" s="14" t="s">
        <v>924</v>
      </c>
      <c r="D399" s="14" t="s">
        <v>1007</v>
      </c>
      <c r="E399" s="14" t="s">
        <v>977</v>
      </c>
      <c r="F399" s="14">
        <v>2</v>
      </c>
      <c r="I399" s="14" t="s">
        <v>1008</v>
      </c>
      <c r="J399" s="14">
        <v>1.81</v>
      </c>
      <c r="K399" s="14" t="s">
        <v>32</v>
      </c>
      <c r="L399" s="14" t="s">
        <v>1008</v>
      </c>
      <c r="M399">
        <v>1.81</v>
      </c>
      <c r="N399" s="14" t="s">
        <v>1009</v>
      </c>
      <c r="O399" s="14">
        <v>1141380</v>
      </c>
      <c r="P399" s="14">
        <v>1.62</v>
      </c>
      <c r="Q399" s="14" t="s">
        <v>1010</v>
      </c>
      <c r="AK399" s="14">
        <v>1.62</v>
      </c>
    </row>
    <row r="400" spans="1:37" x14ac:dyDescent="0.25">
      <c r="A400" t="s">
        <v>2315</v>
      </c>
      <c r="B400" s="14" t="s">
        <v>802</v>
      </c>
      <c r="C400" s="14" t="s">
        <v>97</v>
      </c>
      <c r="D400" s="14" t="s">
        <v>2316</v>
      </c>
      <c r="E400" s="14" t="s">
        <v>2317</v>
      </c>
      <c r="F400" s="14">
        <v>3</v>
      </c>
      <c r="I400" s="14" t="s">
        <v>2318</v>
      </c>
      <c r="J400" s="14">
        <v>0.48</v>
      </c>
      <c r="K400" s="14" t="s">
        <v>32</v>
      </c>
      <c r="L400" s="14" t="s">
        <v>2318</v>
      </c>
      <c r="M400">
        <v>0.48</v>
      </c>
      <c r="N400" s="14" t="s">
        <v>2319</v>
      </c>
    </row>
    <row r="401" spans="1:14" x14ac:dyDescent="0.25">
      <c r="A401" t="s">
        <v>2320</v>
      </c>
      <c r="B401" s="14" t="s">
        <v>2321</v>
      </c>
      <c r="C401" s="14" t="s">
        <v>97</v>
      </c>
      <c r="D401" s="14" t="s">
        <v>2322</v>
      </c>
      <c r="E401" s="14" t="s">
        <v>2323</v>
      </c>
      <c r="F401" s="14">
        <v>1</v>
      </c>
      <c r="I401" s="14" t="s">
        <v>2324</v>
      </c>
      <c r="J401" s="14">
        <v>18.96</v>
      </c>
      <c r="K401" s="14" t="s">
        <v>32</v>
      </c>
      <c r="L401" s="14" t="s">
        <v>2324</v>
      </c>
      <c r="M401">
        <v>18.96</v>
      </c>
      <c r="N401" s="14" t="s">
        <v>2325</v>
      </c>
    </row>
    <row r="402" spans="1:14" x14ac:dyDescent="0.25">
      <c r="A402" t="s">
        <v>2326</v>
      </c>
      <c r="B402" s="14" t="s">
        <v>454</v>
      </c>
      <c r="C402" s="14" t="s">
        <v>450</v>
      </c>
      <c r="D402" s="14" t="s">
        <v>2455</v>
      </c>
      <c r="E402" s="14" t="s">
        <v>2327</v>
      </c>
      <c r="F402" s="14">
        <v>4</v>
      </c>
      <c r="I402" s="14" t="s">
        <v>2328</v>
      </c>
      <c r="J402" s="14">
        <v>0.17</v>
      </c>
      <c r="K402" s="14" t="s">
        <v>32</v>
      </c>
      <c r="L402" s="14" t="s">
        <v>2328</v>
      </c>
      <c r="M402">
        <v>0.17</v>
      </c>
      <c r="N402" s="14" t="s">
        <v>2329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2020-12-04T18:00:45Z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